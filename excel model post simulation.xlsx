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TZS\Dropbox\Frank\Stranded assets\"/>
    </mc:Choice>
  </mc:AlternateContent>
  <xr:revisionPtr revIDLastSave="0" documentId="13_ncr:1_{64E66C6A-56FC-4E73-A3DE-BC1F1BA27736}" xr6:coauthVersionLast="47" xr6:coauthVersionMax="47" xr10:uidLastSave="{00000000-0000-0000-0000-000000000000}"/>
  <bookViews>
    <workbookView xWindow="28680" yWindow="-120" windowWidth="29040" windowHeight="15720" xr2:uid="{1FFC97B4-DE66-4F5D-8FE1-18DDD5502FA4}"/>
  </bookViews>
  <sheets>
    <sheet name="Parameters" sheetId="1" r:id="rId1"/>
    <sheet name="6states" sheetId="6" r:id="rId2"/>
    <sheet name="6states,ExoDamages" sheetId="10" r:id="rId3"/>
    <sheet name="6states,constantT&amp;epsilon" sheetId="11" r:id="rId4"/>
    <sheet name="Emissions" sheetId="12" r:id="rId5"/>
    <sheet name="Temperature" sheetId="13" r:id="rId6"/>
    <sheet name="SCC" sheetId="14" r:id="rId7"/>
    <sheet name="Energy capital" sheetId="15" r:id="rId8"/>
    <sheet name="Energy capital per AL" sheetId="16" r:id="rId9"/>
    <sheet name="Final energy" sheetId="17" r:id="rId10"/>
    <sheet name="Growth" sheetId="18" r:id="rId11"/>
  </sheets>
  <externalReferences>
    <externalReference r:id="rId12"/>
  </externalReference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3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2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3" hidden="1">0.0001</definedName>
    <definedName name="solver_cvg" localSheetId="2" hidden="1">0.0001</definedName>
    <definedName name="solver_cvg" localSheetId="0" hidden="1">0.0001</definedName>
    <definedName name="solver_drv" localSheetId="1" hidden="1">1</definedName>
    <definedName name="solver_drv" localSheetId="3" hidden="1">2</definedName>
    <definedName name="solver_drv" localSheetId="2" hidden="1">1</definedName>
    <definedName name="solver_drv" localSheetId="0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ng" localSheetId="0" hidden="1">1</definedName>
    <definedName name="solver_est" localSheetId="1" hidden="1">1</definedName>
    <definedName name="solver_est" localSheetId="3" hidden="1">1</definedName>
    <definedName name="solver_est" localSheetId="2" hidden="1">1</definedName>
    <definedName name="solver_est" localSheetId="0" hidden="1">1</definedName>
    <definedName name="solver_itr" localSheetId="1" hidden="1">100</definedName>
    <definedName name="solver_itr" localSheetId="3" hidden="1">2147483647</definedName>
    <definedName name="solver_itr" localSheetId="2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'6states,ExoDamages'!$C$94</definedName>
    <definedName name="solver_lhs1" localSheetId="0" hidden="1">Parameters!$B$12</definedName>
    <definedName name="solver_lhs10" localSheetId="1" hidden="1">'6states'!$C$59</definedName>
    <definedName name="solver_lhs11" localSheetId="1" hidden="1">'6states'!$C$59</definedName>
    <definedName name="solver_lhs12" localSheetId="1" hidden="1">'6states'!$C$59</definedName>
    <definedName name="solver_lhs13" localSheetId="1" hidden="1">'6states'!$C$59</definedName>
    <definedName name="solver_lhs14" localSheetId="1" hidden="1">'6states'!$C$59</definedName>
    <definedName name="solver_lhs15" localSheetId="1" hidden="1">'6states'!$C$59</definedName>
    <definedName name="solver_lhs16" localSheetId="1" hidden="1">'6states'!$C$59</definedName>
    <definedName name="solver_lhs17" localSheetId="1" hidden="1">'6states'!$C$59</definedName>
    <definedName name="solver_lhs18" localSheetId="1" hidden="1">'6states'!$C$59</definedName>
    <definedName name="solver_lhs19" localSheetId="1" hidden="1">'6states'!$C$59</definedName>
    <definedName name="solver_lhs2" localSheetId="1" hidden="1">'6states'!$C$4:$C$74</definedName>
    <definedName name="solver_lhs2" localSheetId="0" hidden="1">Parameters!$B$12</definedName>
    <definedName name="solver_lhs20" localSheetId="1" hidden="1">'6states'!$C$59</definedName>
    <definedName name="solver_lhs21" localSheetId="1" hidden="1">'6states'!$C$59</definedName>
    <definedName name="solver_lhs22" localSheetId="1" hidden="1">'6states'!$C$94</definedName>
    <definedName name="solver_lhs23" localSheetId="1" hidden="1">'6states'!$C$94</definedName>
    <definedName name="solver_lhs24" localSheetId="1" hidden="1">'6states'!$C$94</definedName>
    <definedName name="solver_lhs3" localSheetId="1" hidden="1">'6states'!$C$94</definedName>
    <definedName name="solver_lhs3" localSheetId="0" hidden="1">Parameters!$B$60</definedName>
    <definedName name="solver_lhs4" localSheetId="1" hidden="1">'6states'!$C$94</definedName>
    <definedName name="solver_lhs4" localSheetId="0" hidden="1">Parameters!$B$60</definedName>
    <definedName name="solver_lhs5" localSheetId="1" hidden="1">'6states'!$C$94</definedName>
    <definedName name="solver_lhs5" localSheetId="0" hidden="1">Parameters!$B$62</definedName>
    <definedName name="solver_lhs6" localSheetId="1" hidden="1">'6states'!$C$59</definedName>
    <definedName name="solver_lhs6" localSheetId="0" hidden="1">Parameters!$B$62</definedName>
    <definedName name="solver_lhs7" localSheetId="1" hidden="1">'6states'!$C$59</definedName>
    <definedName name="solver_lhs7" localSheetId="0" hidden="1">Parameters!$B$63</definedName>
    <definedName name="solver_lhs8" localSheetId="1" hidden="1">'6states'!$C$59</definedName>
    <definedName name="solver_lhs8" localSheetId="0" hidden="1">Parameters!$B$63</definedName>
    <definedName name="solver_lhs9" localSheetId="1" hidden="1">'6states'!$C$59</definedName>
    <definedName name="solver_mip" localSheetId="1" hidden="1">2147483647</definedName>
    <definedName name="solver_mip" localSheetId="3" hidden="1">2147483647</definedName>
    <definedName name="solver_mip" localSheetId="2" hidden="1">2147483647</definedName>
    <definedName name="solver_mip" localSheetId="0" hidden="1">2147483647</definedName>
    <definedName name="solver_mni" localSheetId="1" hidden="1">30</definedName>
    <definedName name="solver_mni" localSheetId="3" hidden="1">30</definedName>
    <definedName name="solver_mni" localSheetId="2" hidden="1">30</definedName>
    <definedName name="solver_mni" localSheetId="0" hidden="1">30</definedName>
    <definedName name="solver_mrt" localSheetId="1" hidden="1">0.075</definedName>
    <definedName name="solver_mrt" localSheetId="3" hidden="1">0.075</definedName>
    <definedName name="solver_mrt" localSheetId="2" hidden="1">0.075</definedName>
    <definedName name="solver_mrt" localSheetId="0" hidden="1">0.075</definedName>
    <definedName name="solver_msl" localSheetId="1" hidden="1">2</definedName>
    <definedName name="solver_msl" localSheetId="3" hidden="1">2</definedName>
    <definedName name="solver_msl" localSheetId="2" hidden="1">2</definedName>
    <definedName name="solver_msl" localSheetId="0" hidden="1">2</definedName>
    <definedName name="solver_neg" localSheetId="1" hidden="1">2</definedName>
    <definedName name="solver_neg" localSheetId="3" hidden="1">1</definedName>
    <definedName name="solver_neg" localSheetId="2" hidden="1">1</definedName>
    <definedName name="solver_neg" localSheetId="0" hidden="1">2</definedName>
    <definedName name="solver_nod" localSheetId="1" hidden="1">2147483647</definedName>
    <definedName name="solver_nod" localSheetId="3" hidden="1">2147483647</definedName>
    <definedName name="solver_nod" localSheetId="2" hidden="1">2147483647</definedName>
    <definedName name="solver_nod" localSheetId="0" hidden="1">2147483647</definedName>
    <definedName name="solver_num" localSheetId="1" hidden="1">0</definedName>
    <definedName name="solver_num" localSheetId="3" hidden="1">0</definedName>
    <definedName name="solver_num" localSheetId="2" hidden="1">1</definedName>
    <definedName name="solver_num" localSheetId="0" hidden="1">8</definedName>
    <definedName name="solver_nwt" localSheetId="1" hidden="1">1</definedName>
    <definedName name="solver_nwt" localSheetId="3" hidden="1">1</definedName>
    <definedName name="solver_nwt" localSheetId="2" hidden="1">1</definedName>
    <definedName name="solver_nwt" localSheetId="0" hidden="1">1</definedName>
    <definedName name="solver_opt" localSheetId="1" hidden="1">'6states'!#REF!</definedName>
    <definedName name="solver_opt" localSheetId="3" hidden="1">'6states,constantT&amp;epsilon'!$S$4</definedName>
    <definedName name="solver_opt" localSheetId="2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3" hidden="1">0.000001</definedName>
    <definedName name="solver_pre" localSheetId="2" hidden="1">0.000001</definedName>
    <definedName name="solver_pre" localSheetId="0" hidden="1">0.000001</definedName>
    <definedName name="solver_rbv" localSheetId="1" hidden="1">2</definedName>
    <definedName name="solver_rbv" localSheetId="3" hidden="1">2</definedName>
    <definedName name="solver_rbv" localSheetId="2" hidden="1">2</definedName>
    <definedName name="solver_rbv" localSheetId="0" hidden="1">1</definedName>
    <definedName name="solver_rel1" localSheetId="1" hidden="1">3</definedName>
    <definedName name="solver_rel1" localSheetId="2" hidden="1">1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-0.3</definedName>
    <definedName name="solver_rhs1" localSheetId="2" hidden="1">0.03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3" hidden="1">2</definedName>
    <definedName name="solver_rlx" localSheetId="2" hidden="1">2</definedName>
    <definedName name="solver_rlx" localSheetId="0" hidden="1">2</definedName>
    <definedName name="solver_rsd" localSheetId="1" hidden="1">0</definedName>
    <definedName name="solver_rsd" localSheetId="3" hidden="1">0</definedName>
    <definedName name="solver_rsd" localSheetId="2" hidden="1">0</definedName>
    <definedName name="solver_rsd" localSheetId="0" hidden="1">0</definedName>
    <definedName name="solver_scl" localSheetId="1" hidden="1">1</definedName>
    <definedName name="solver_scl" localSheetId="3" hidden="1">2</definedName>
    <definedName name="solver_scl" localSheetId="2" hidden="1">2</definedName>
    <definedName name="solver_scl" localSheetId="0" hidden="1">1</definedName>
    <definedName name="solver_sho" localSheetId="1" hidden="1">2</definedName>
    <definedName name="solver_sho" localSheetId="3" hidden="1">2</definedName>
    <definedName name="solver_sho" localSheetId="2" hidden="1">2</definedName>
    <definedName name="solver_sho" localSheetId="0" hidden="1">2</definedName>
    <definedName name="solver_ssz" localSheetId="1" hidden="1">0</definedName>
    <definedName name="solver_ssz" localSheetId="3" hidden="1">100</definedName>
    <definedName name="solver_ssz" localSheetId="2" hidden="1">0</definedName>
    <definedName name="solver_ssz" localSheetId="0" hidden="1">100</definedName>
    <definedName name="solver_tim" localSheetId="1" hidden="1">2147483647</definedName>
    <definedName name="solver_tim" localSheetId="3" hidden="1">2147483647</definedName>
    <definedName name="solver_tim" localSheetId="2" hidden="1">2147483647</definedName>
    <definedName name="solver_tim" localSheetId="0" hidden="1">2147483647</definedName>
    <definedName name="solver_tol" localSheetId="1" hidden="1">0.01</definedName>
    <definedName name="solver_tol" localSheetId="3" hidden="1">0.01</definedName>
    <definedName name="solver_tol" localSheetId="2" hidden="1">0.01</definedName>
    <definedName name="solver_tol" localSheetId="0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typ" localSheetId="0" hidden="1">2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al" localSheetId="0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" l="1"/>
  <c r="I6" i="6" l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H4" i="6" l="1"/>
  <c r="J4" i="6"/>
  <c r="N4" i="6"/>
  <c r="M4" i="6" s="1"/>
  <c r="Q4" i="6"/>
  <c r="J5" i="6" l="1"/>
  <c r="J6" i="6" s="1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E4" i="11" l="1"/>
  <c r="E2" i="11" s="1"/>
  <c r="F4" i="6"/>
  <c r="J7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Q5" i="6" l="1"/>
  <c r="J8" i="6"/>
  <c r="U4" i="6"/>
  <c r="V4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H5" i="6" l="1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F6" i="6" l="1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G7" i="6" l="1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G8" i="6" l="1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G9" i="6" l="1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G10" i="6" l="1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G11" i="6" l="1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G12" i="6" l="1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AF4" i="6" s="1"/>
  <c r="AG4" i="6" s="1"/>
  <c r="G27" i="1"/>
  <c r="G25" i="1" s="1"/>
  <c r="O8" i="11"/>
  <c r="P8" i="11" s="1"/>
  <c r="R8" i="11" s="1"/>
  <c r="Q15" i="11"/>
  <c r="A16" i="11"/>
  <c r="M10" i="11"/>
  <c r="N10" i="11"/>
  <c r="O10" i="11" s="1"/>
  <c r="AX4" i="6"/>
  <c r="G6" i="10"/>
  <c r="E31" i="1"/>
  <c r="E5" i="10"/>
  <c r="A14" i="6"/>
  <c r="A15" i="10"/>
  <c r="V14" i="10"/>
  <c r="X4" i="6" l="1"/>
  <c r="AH4" i="6"/>
  <c r="G13" i="6"/>
  <c r="AC4" i="6"/>
  <c r="AE4" i="6"/>
  <c r="AD4" i="6"/>
  <c r="K5" i="6"/>
  <c r="F14" i="6"/>
  <c r="Y14" i="6"/>
  <c r="Q14" i="6"/>
  <c r="H17" i="6"/>
  <c r="J17" i="6"/>
  <c r="P7" i="11"/>
  <c r="R7" i="11" s="1"/>
  <c r="E27" i="1"/>
  <c r="E25" i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G4" i="6"/>
  <c r="AW4" i="6"/>
  <c r="AY4" i="6" s="1"/>
  <c r="E6" i="10"/>
  <c r="G7" i="10"/>
  <c r="F5" i="10"/>
  <c r="A15" i="6"/>
  <c r="A16" i="10"/>
  <c r="V15" i="10"/>
  <c r="Z4" i="6" l="1"/>
  <c r="AI4" i="6"/>
  <c r="AC5" i="6"/>
  <c r="AD5" i="6"/>
  <c r="AE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G5" i="6"/>
  <c r="AX5" i="6"/>
  <c r="AN5" i="6"/>
  <c r="F6" i="10"/>
  <c r="E7" i="10"/>
  <c r="G8" i="10"/>
  <c r="AW5" i="6"/>
  <c r="A16" i="6"/>
  <c r="V16" i="10"/>
  <c r="A17" i="10"/>
  <c r="G15" i="6" l="1"/>
  <c r="AC6" i="6"/>
  <c r="AE6" i="6"/>
  <c r="AD6" i="6"/>
  <c r="F16" i="6"/>
  <c r="K7" i="6"/>
  <c r="H19" i="6"/>
  <c r="J19" i="6"/>
  <c r="Q16" i="6"/>
  <c r="Y16" i="6"/>
  <c r="AX6" i="6"/>
  <c r="P12" i="11"/>
  <c r="R12" i="11" s="1"/>
  <c r="W12" i="11"/>
  <c r="M13" i="11"/>
  <c r="N13" i="11"/>
  <c r="O13" i="11" s="1"/>
  <c r="Q18" i="11"/>
  <c r="A19" i="11"/>
  <c r="BG6" i="6"/>
  <c r="AW6" i="6"/>
  <c r="AY5" i="6"/>
  <c r="AM5" i="6"/>
  <c r="AN6" i="6"/>
  <c r="F7" i="10"/>
  <c r="E8" i="10"/>
  <c r="G9" i="10"/>
  <c r="A17" i="6"/>
  <c r="A18" i="10"/>
  <c r="V17" i="10"/>
  <c r="AD7" i="6" l="1"/>
  <c r="AC7" i="6"/>
  <c r="AE7" i="6"/>
  <c r="G16" i="6"/>
  <c r="F17" i="6"/>
  <c r="K8" i="6"/>
  <c r="H20" i="6"/>
  <c r="Y17" i="6"/>
  <c r="Q17" i="6"/>
  <c r="J20" i="6"/>
  <c r="AY6" i="6"/>
  <c r="A20" i="11"/>
  <c r="Q19" i="11"/>
  <c r="M14" i="11"/>
  <c r="N14" i="11"/>
  <c r="O14" i="11" s="1"/>
  <c r="P13" i="11"/>
  <c r="R13" i="11" s="1"/>
  <c r="W13" i="11"/>
  <c r="BG7" i="6"/>
  <c r="AM6" i="6"/>
  <c r="AN7" i="6"/>
  <c r="F8" i="10"/>
  <c r="F9" i="10" s="1"/>
  <c r="E9" i="10"/>
  <c r="G10" i="10"/>
  <c r="A18" i="6"/>
  <c r="A19" i="10"/>
  <c r="V18" i="10"/>
  <c r="AD8" i="6" l="1"/>
  <c r="AC8" i="6"/>
  <c r="AE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G8" i="6"/>
  <c r="AM7" i="6"/>
  <c r="AN8" i="6"/>
  <c r="G11" i="10"/>
  <c r="E10" i="10"/>
  <c r="F10" i="10"/>
  <c r="A19" i="6"/>
  <c r="V19" i="10"/>
  <c r="A20" i="10"/>
  <c r="AD9" i="6" l="1"/>
  <c r="AC9" i="6"/>
  <c r="AE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G9" i="6"/>
  <c r="AN9" i="6"/>
  <c r="AM8" i="6"/>
  <c r="E11" i="10"/>
  <c r="G12" i="10"/>
  <c r="F11" i="10"/>
  <c r="A20" i="6"/>
  <c r="A21" i="10"/>
  <c r="V20" i="10"/>
  <c r="AD10" i="6" l="1"/>
  <c r="AC10" i="6"/>
  <c r="AE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G10" i="6"/>
  <c r="AM9" i="6"/>
  <c r="AN10" i="6"/>
  <c r="G13" i="10"/>
  <c r="E12" i="10"/>
  <c r="F12" i="10"/>
  <c r="A21" i="6"/>
  <c r="A22" i="10"/>
  <c r="V21" i="10"/>
  <c r="AD11" i="6" l="1"/>
  <c r="AC11" i="6"/>
  <c r="AE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G11" i="6"/>
  <c r="AN11" i="6"/>
  <c r="AM10" i="6"/>
  <c r="E13" i="10"/>
  <c r="G14" i="10"/>
  <c r="F13" i="10"/>
  <c r="A22" i="6"/>
  <c r="V22" i="10"/>
  <c r="A23" i="10"/>
  <c r="AD12" i="6" l="1"/>
  <c r="AC12" i="6"/>
  <c r="AE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G12" i="6"/>
  <c r="AN12" i="6"/>
  <c r="AM11" i="6"/>
  <c r="G15" i="10"/>
  <c r="E14" i="10"/>
  <c r="F14" i="10"/>
  <c r="A23" i="6"/>
  <c r="A24" i="10"/>
  <c r="V23" i="10"/>
  <c r="AD13" i="6" l="1"/>
  <c r="AC13" i="6"/>
  <c r="AE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G13" i="6"/>
  <c r="AN13" i="6"/>
  <c r="AM12" i="6"/>
  <c r="E15" i="10"/>
  <c r="G16" i="10"/>
  <c r="F15" i="10"/>
  <c r="A24" i="6"/>
  <c r="V24" i="10"/>
  <c r="A25" i="10"/>
  <c r="AD14" i="6" l="1"/>
  <c r="AC14" i="6"/>
  <c r="AE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G14" i="6"/>
  <c r="AN14" i="6"/>
  <c r="AM13" i="6"/>
  <c r="G17" i="10"/>
  <c r="E16" i="10"/>
  <c r="F16" i="10"/>
  <c r="A25" i="6"/>
  <c r="V25" i="10"/>
  <c r="A26" i="10"/>
  <c r="AD15" i="6" l="1"/>
  <c r="AC15" i="6"/>
  <c r="AE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G15" i="6"/>
  <c r="AN15" i="6"/>
  <c r="AM14" i="6"/>
  <c r="E17" i="10"/>
  <c r="G18" i="10"/>
  <c r="F17" i="10"/>
  <c r="A26" i="6"/>
  <c r="A27" i="10"/>
  <c r="V26" i="10"/>
  <c r="AD16" i="6" l="1"/>
  <c r="AC16" i="6"/>
  <c r="AE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G16" i="6"/>
  <c r="AN16" i="6"/>
  <c r="AM15" i="6"/>
  <c r="G19" i="10"/>
  <c r="E18" i="10"/>
  <c r="F18" i="10"/>
  <c r="A27" i="6"/>
  <c r="A28" i="10"/>
  <c r="V27" i="10"/>
  <c r="AD17" i="6" l="1"/>
  <c r="AC17" i="6"/>
  <c r="AE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G17" i="6"/>
  <c r="AM16" i="6"/>
  <c r="AN17" i="6"/>
  <c r="E19" i="10"/>
  <c r="G20" i="10"/>
  <c r="F19" i="10"/>
  <c r="A28" i="6"/>
  <c r="A29" i="10"/>
  <c r="V28" i="10"/>
  <c r="AD18" i="6" l="1"/>
  <c r="AC18" i="6"/>
  <c r="AE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G18" i="6"/>
  <c r="AM17" i="6"/>
  <c r="AN18" i="6"/>
  <c r="G21" i="10"/>
  <c r="E20" i="10"/>
  <c r="F20" i="10"/>
  <c r="A29" i="6"/>
  <c r="A30" i="10"/>
  <c r="V29" i="10"/>
  <c r="AD19" i="6" l="1"/>
  <c r="AC19" i="6"/>
  <c r="AE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G19" i="6"/>
  <c r="AN19" i="6"/>
  <c r="AM18" i="6"/>
  <c r="G22" i="10"/>
  <c r="E21" i="10"/>
  <c r="F21" i="10"/>
  <c r="A30" i="6"/>
  <c r="V30" i="10"/>
  <c r="A31" i="10"/>
  <c r="AD20" i="6" l="1"/>
  <c r="AC20" i="6"/>
  <c r="AE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G20" i="6"/>
  <c r="AN20" i="6"/>
  <c r="AM19" i="6"/>
  <c r="E22" i="10"/>
  <c r="G23" i="10"/>
  <c r="F22" i="10"/>
  <c r="A31" i="6"/>
  <c r="A32" i="10"/>
  <c r="V31" i="10"/>
  <c r="AD21" i="6" l="1"/>
  <c r="AC21" i="6"/>
  <c r="AE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G21" i="6"/>
  <c r="AN21" i="6"/>
  <c r="AM20" i="6"/>
  <c r="G24" i="10"/>
  <c r="E23" i="10"/>
  <c r="F23" i="10"/>
  <c r="A32" i="6"/>
  <c r="A33" i="10"/>
  <c r="V32" i="10"/>
  <c r="AD22" i="6" l="1"/>
  <c r="AC22" i="6"/>
  <c r="AE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G22" i="6"/>
  <c r="AM21" i="6"/>
  <c r="AN22" i="6"/>
  <c r="E24" i="10"/>
  <c r="G25" i="10"/>
  <c r="F24" i="10"/>
  <c r="A33" i="6"/>
  <c r="A34" i="10"/>
  <c r="V33" i="10"/>
  <c r="AD23" i="6" l="1"/>
  <c r="AC23" i="6"/>
  <c r="AE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G23" i="6"/>
  <c r="AN23" i="6"/>
  <c r="AM22" i="6"/>
  <c r="G26" i="10"/>
  <c r="E25" i="10"/>
  <c r="F25" i="10"/>
  <c r="A34" i="6"/>
  <c r="V34" i="10"/>
  <c r="A35" i="10"/>
  <c r="AD24" i="6" l="1"/>
  <c r="AC24" i="6"/>
  <c r="AE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G24" i="6"/>
  <c r="AN24" i="6"/>
  <c r="AM23" i="6"/>
  <c r="E26" i="10"/>
  <c r="G27" i="10"/>
  <c r="F26" i="10"/>
  <c r="A35" i="6"/>
  <c r="A36" i="10"/>
  <c r="V35" i="10"/>
  <c r="AD25" i="6" l="1"/>
  <c r="AC25" i="6"/>
  <c r="AE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G25" i="6"/>
  <c r="AN25" i="6"/>
  <c r="AM24" i="6"/>
  <c r="G28" i="10"/>
  <c r="E27" i="10"/>
  <c r="F27" i="10"/>
  <c r="A36" i="6"/>
  <c r="A37" i="10"/>
  <c r="V36" i="10"/>
  <c r="AD26" i="6" l="1"/>
  <c r="AC26" i="6"/>
  <c r="AE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G26" i="6"/>
  <c r="AM25" i="6"/>
  <c r="AN26" i="6"/>
  <c r="E28" i="10"/>
  <c r="G29" i="10"/>
  <c r="F28" i="10"/>
  <c r="A37" i="6"/>
  <c r="A38" i="10"/>
  <c r="V37" i="10"/>
  <c r="AD27" i="6" l="1"/>
  <c r="AC27" i="6"/>
  <c r="AE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G27" i="6"/>
  <c r="AN27" i="6"/>
  <c r="AM26" i="6"/>
  <c r="G30" i="10"/>
  <c r="E29" i="10"/>
  <c r="F29" i="10"/>
  <c r="A38" i="6"/>
  <c r="V38" i="10"/>
  <c r="A39" i="10"/>
  <c r="AD28" i="6" l="1"/>
  <c r="AC28" i="6"/>
  <c r="AE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G28" i="6"/>
  <c r="AN28" i="6"/>
  <c r="AM27" i="6"/>
  <c r="E30" i="10"/>
  <c r="G31" i="10"/>
  <c r="F30" i="10"/>
  <c r="A39" i="6"/>
  <c r="V39" i="10"/>
  <c r="A40" i="10"/>
  <c r="AD29" i="6" l="1"/>
  <c r="AC29" i="6"/>
  <c r="AE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G29" i="6"/>
  <c r="AN29" i="6"/>
  <c r="AM28" i="6"/>
  <c r="G32" i="10"/>
  <c r="E31" i="10"/>
  <c r="F31" i="10"/>
  <c r="A40" i="6"/>
  <c r="A41" i="10"/>
  <c r="V40" i="10"/>
  <c r="AD30" i="6" l="1"/>
  <c r="AC30" i="6"/>
  <c r="AE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G30" i="6"/>
  <c r="AM29" i="6"/>
  <c r="AN30" i="6"/>
  <c r="E32" i="10"/>
  <c r="G33" i="10"/>
  <c r="F32" i="10"/>
  <c r="A41" i="6"/>
  <c r="A42" i="10"/>
  <c r="V41" i="10"/>
  <c r="AD31" i="6" l="1"/>
  <c r="AC31" i="6"/>
  <c r="AE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G31" i="6"/>
  <c r="AN31" i="6"/>
  <c r="AM30" i="6"/>
  <c r="E33" i="10"/>
  <c r="G34" i="10"/>
  <c r="F33" i="10"/>
  <c r="A42" i="6"/>
  <c r="V42" i="10"/>
  <c r="A43" i="10"/>
  <c r="AD32" i="6" l="1"/>
  <c r="AC32" i="6"/>
  <c r="AE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G32" i="6"/>
  <c r="AN32" i="6"/>
  <c r="AM31" i="6"/>
  <c r="G35" i="10"/>
  <c r="E34" i="10"/>
  <c r="F34" i="10"/>
  <c r="A43" i="6"/>
  <c r="A44" i="10"/>
  <c r="V43" i="10"/>
  <c r="AD33" i="6" l="1"/>
  <c r="AC33" i="6"/>
  <c r="AE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G33" i="6"/>
  <c r="AN33" i="6"/>
  <c r="AM32" i="6"/>
  <c r="E35" i="10"/>
  <c r="G36" i="10"/>
  <c r="F35" i="10"/>
  <c r="A44" i="6"/>
  <c r="A45" i="10"/>
  <c r="V44" i="10"/>
  <c r="G43" i="6" l="1"/>
  <c r="AD34" i="6"/>
  <c r="AC34" i="6"/>
  <c r="AE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G34" i="6"/>
  <c r="AM33" i="6"/>
  <c r="AN34" i="6"/>
  <c r="G37" i="10"/>
  <c r="E36" i="10"/>
  <c r="F36" i="10"/>
  <c r="A45" i="6"/>
  <c r="V45" i="10"/>
  <c r="A46" i="10"/>
  <c r="AD35" i="6" l="1"/>
  <c r="AC35" i="6"/>
  <c r="AE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G35" i="6"/>
  <c r="AM34" i="6"/>
  <c r="AN35" i="6"/>
  <c r="E37" i="10"/>
  <c r="G38" i="10"/>
  <c r="F37" i="10"/>
  <c r="A46" i="6"/>
  <c r="V46" i="10"/>
  <c r="A47" i="10"/>
  <c r="AD36" i="6" l="1"/>
  <c r="AC36" i="6"/>
  <c r="AE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G36" i="6"/>
  <c r="AN36" i="6"/>
  <c r="AM35" i="6"/>
  <c r="G39" i="10"/>
  <c r="E38" i="10"/>
  <c r="F38" i="10"/>
  <c r="A47" i="6"/>
  <c r="A48" i="10"/>
  <c r="V47" i="10"/>
  <c r="AD37" i="6" l="1"/>
  <c r="AC37" i="6"/>
  <c r="AE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G37" i="6"/>
  <c r="AN37" i="6"/>
  <c r="AM36" i="6"/>
  <c r="G40" i="10"/>
  <c r="E39" i="10"/>
  <c r="F39" i="10"/>
  <c r="A48" i="6"/>
  <c r="A49" i="10"/>
  <c r="V48" i="10"/>
  <c r="AD38" i="6" l="1"/>
  <c r="AC38" i="6"/>
  <c r="AE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G38" i="6"/>
  <c r="AN38" i="6"/>
  <c r="AM37" i="6"/>
  <c r="E40" i="10"/>
  <c r="G41" i="10"/>
  <c r="F40" i="10"/>
  <c r="A49" i="6"/>
  <c r="A50" i="10"/>
  <c r="V49" i="10"/>
  <c r="AD39" i="6" l="1"/>
  <c r="AC39" i="6"/>
  <c r="AE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G39" i="6"/>
  <c r="AM38" i="6"/>
  <c r="AN39" i="6"/>
  <c r="G42" i="10"/>
  <c r="E41" i="10"/>
  <c r="F41" i="10"/>
  <c r="A50" i="6"/>
  <c r="A51" i="10"/>
  <c r="V50" i="10"/>
  <c r="AD40" i="6" l="1"/>
  <c r="AC40" i="6"/>
  <c r="AE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G40" i="6"/>
  <c r="AN40" i="6"/>
  <c r="AM39" i="6"/>
  <c r="E42" i="10"/>
  <c r="G43" i="10"/>
  <c r="F42" i="10"/>
  <c r="A51" i="6"/>
  <c r="A52" i="10"/>
  <c r="V51" i="10"/>
  <c r="AD41" i="6" l="1"/>
  <c r="AC41" i="6"/>
  <c r="AE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G41" i="6"/>
  <c r="AN41" i="6"/>
  <c r="AM40" i="6"/>
  <c r="E43" i="10"/>
  <c r="G44" i="10"/>
  <c r="F43" i="10"/>
  <c r="A52" i="6"/>
  <c r="A53" i="10"/>
  <c r="V52" i="10"/>
  <c r="AD42" i="6" l="1"/>
  <c r="AC42" i="6"/>
  <c r="AE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G42" i="6"/>
  <c r="AM41" i="6"/>
  <c r="AN42" i="6"/>
  <c r="G45" i="10"/>
  <c r="E44" i="10"/>
  <c r="F44" i="10"/>
  <c r="A53" i="6"/>
  <c r="V53" i="10"/>
  <c r="A54" i="10"/>
  <c r="AD43" i="6" l="1"/>
  <c r="AC43" i="6"/>
  <c r="AE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G43" i="6"/>
  <c r="AM42" i="6"/>
  <c r="AN43" i="6"/>
  <c r="E45" i="10"/>
  <c r="G46" i="10"/>
  <c r="F45" i="10"/>
  <c r="A54" i="6"/>
  <c r="V54" i="10"/>
  <c r="A55" i="10"/>
  <c r="AD44" i="6" l="1"/>
  <c r="AC44" i="6"/>
  <c r="AE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G44" i="6"/>
  <c r="AN44" i="6"/>
  <c r="AM43" i="6"/>
  <c r="G47" i="10"/>
  <c r="E46" i="10"/>
  <c r="F46" i="10"/>
  <c r="A55" i="6"/>
  <c r="A56" i="10"/>
  <c r="V55" i="10"/>
  <c r="AD45" i="6" l="1"/>
  <c r="AC45" i="6"/>
  <c r="AE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G45" i="6"/>
  <c r="AN45" i="6"/>
  <c r="AM44" i="6"/>
  <c r="G48" i="10"/>
  <c r="E47" i="10"/>
  <c r="F47" i="10"/>
  <c r="A56" i="6"/>
  <c r="A57" i="10"/>
  <c r="V56" i="10"/>
  <c r="AD46" i="6" l="1"/>
  <c r="AC46" i="6"/>
  <c r="AE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G46" i="6"/>
  <c r="AM45" i="6"/>
  <c r="AN46" i="6"/>
  <c r="G49" i="10"/>
  <c r="E48" i="10"/>
  <c r="F48" i="10"/>
  <c r="A57" i="6"/>
  <c r="A58" i="10"/>
  <c r="V57" i="10"/>
  <c r="AD47" i="6" l="1"/>
  <c r="AC47" i="6"/>
  <c r="AE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G47" i="6"/>
  <c r="AM46" i="6"/>
  <c r="AN47" i="6"/>
  <c r="G50" i="10"/>
  <c r="E49" i="10"/>
  <c r="F49" i="10"/>
  <c r="A58" i="6"/>
  <c r="A59" i="10"/>
  <c r="V58" i="10"/>
  <c r="AD48" i="6" l="1"/>
  <c r="AC48" i="6"/>
  <c r="AE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G48" i="6"/>
  <c r="AN48" i="6"/>
  <c r="AM47" i="6"/>
  <c r="G51" i="10"/>
  <c r="E50" i="10"/>
  <c r="F50" i="10"/>
  <c r="A59" i="6"/>
  <c r="A60" i="10"/>
  <c r="V59" i="10"/>
  <c r="AD49" i="6" l="1"/>
  <c r="AC49" i="6"/>
  <c r="AE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G49" i="6"/>
  <c r="AN49" i="6"/>
  <c r="AM48" i="6"/>
  <c r="E51" i="10"/>
  <c r="G52" i="10"/>
  <c r="F51" i="10"/>
  <c r="A60" i="6"/>
  <c r="A61" i="10"/>
  <c r="V60" i="10"/>
  <c r="AD50" i="6" l="1"/>
  <c r="AC50" i="6"/>
  <c r="AE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G50" i="6"/>
  <c r="AN50" i="6"/>
  <c r="AM49" i="6"/>
  <c r="G53" i="10"/>
  <c r="E52" i="10"/>
  <c r="F52" i="10"/>
  <c r="A61" i="6"/>
  <c r="A62" i="10"/>
  <c r="V61" i="10"/>
  <c r="AD51" i="6" l="1"/>
  <c r="AC51" i="6"/>
  <c r="AE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G51" i="6"/>
  <c r="AN51" i="6"/>
  <c r="AM50" i="6"/>
  <c r="G54" i="10"/>
  <c r="E53" i="10"/>
  <c r="F53" i="10"/>
  <c r="A62" i="6"/>
  <c r="A63" i="10"/>
  <c r="V62" i="10"/>
  <c r="AD52" i="6" l="1"/>
  <c r="AC52" i="6"/>
  <c r="AE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G52" i="6"/>
  <c r="AM51" i="6"/>
  <c r="AN52" i="6"/>
  <c r="G55" i="10"/>
  <c r="E54" i="10"/>
  <c r="F54" i="10"/>
  <c r="A63" i="6"/>
  <c r="V63" i="10"/>
  <c r="A64" i="10"/>
  <c r="AD53" i="6" l="1"/>
  <c r="AC53" i="6"/>
  <c r="AE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G53" i="6"/>
  <c r="AN53" i="6"/>
  <c r="AM52" i="6"/>
  <c r="E55" i="10"/>
  <c r="G56" i="10"/>
  <c r="F55" i="10"/>
  <c r="A64" i="6"/>
  <c r="V64" i="10"/>
  <c r="A65" i="10"/>
  <c r="G63" i="6" l="1"/>
  <c r="AD54" i="6"/>
  <c r="AC54" i="6"/>
  <c r="AE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G54" i="6"/>
  <c r="AM53" i="6"/>
  <c r="AN54" i="6"/>
  <c r="G57" i="10"/>
  <c r="E56" i="10"/>
  <c r="F56" i="10"/>
  <c r="A65" i="6"/>
  <c r="A66" i="10"/>
  <c r="V65" i="10"/>
  <c r="AD55" i="6" l="1"/>
  <c r="AC55" i="6"/>
  <c r="AE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G55" i="6"/>
  <c r="AM54" i="6"/>
  <c r="AN55" i="6"/>
  <c r="G58" i="10"/>
  <c r="E57" i="10"/>
  <c r="F57" i="10"/>
  <c r="A66" i="6"/>
  <c r="A67" i="10"/>
  <c r="V66" i="10"/>
  <c r="G65" i="6" l="1"/>
  <c r="AD56" i="6"/>
  <c r="AC56" i="6"/>
  <c r="AE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G56" i="6"/>
  <c r="AN56" i="6"/>
  <c r="AM55" i="6"/>
  <c r="G59" i="10"/>
  <c r="E58" i="10"/>
  <c r="F58" i="10"/>
  <c r="A67" i="6"/>
  <c r="A68" i="10"/>
  <c r="V67" i="10"/>
  <c r="G66" i="6" l="1"/>
  <c r="AD57" i="6"/>
  <c r="AC57" i="6"/>
  <c r="AE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G57" i="6"/>
  <c r="AN57" i="6"/>
  <c r="AM56" i="6"/>
  <c r="E59" i="10"/>
  <c r="G60" i="10"/>
  <c r="F59" i="10"/>
  <c r="A68" i="6"/>
  <c r="V68" i="10"/>
  <c r="A69" i="10"/>
  <c r="AD58" i="6" l="1"/>
  <c r="AC58" i="6"/>
  <c r="AE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G58" i="6"/>
  <c r="AN58" i="6"/>
  <c r="AM57" i="6"/>
  <c r="G61" i="10"/>
  <c r="E60" i="10"/>
  <c r="F60" i="10"/>
  <c r="A69" i="6"/>
  <c r="V69" i="10"/>
  <c r="A70" i="10"/>
  <c r="AD59" i="6" l="1"/>
  <c r="AC59" i="6"/>
  <c r="AE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G59" i="6"/>
  <c r="AN59" i="6"/>
  <c r="AM58" i="6"/>
  <c r="G62" i="10"/>
  <c r="E61" i="10"/>
  <c r="F61" i="10"/>
  <c r="A70" i="6"/>
  <c r="V70" i="10"/>
  <c r="A71" i="10"/>
  <c r="AD60" i="6" l="1"/>
  <c r="AC60" i="6"/>
  <c r="AE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G60" i="6"/>
  <c r="AN60" i="6"/>
  <c r="AM59" i="6"/>
  <c r="G63" i="10"/>
  <c r="E62" i="10"/>
  <c r="F62" i="10"/>
  <c r="A71" i="6"/>
  <c r="A72" i="10"/>
  <c r="V71" i="10"/>
  <c r="AD61" i="6" l="1"/>
  <c r="AC61" i="6"/>
  <c r="AE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G61" i="6"/>
  <c r="AN61" i="6"/>
  <c r="AM60" i="6"/>
  <c r="E63" i="10"/>
  <c r="G64" i="10"/>
  <c r="F63" i="10"/>
  <c r="A72" i="6"/>
  <c r="A73" i="10"/>
  <c r="V72" i="10"/>
  <c r="AD62" i="6" l="1"/>
  <c r="AC62" i="6"/>
  <c r="AE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G62" i="6"/>
  <c r="AM61" i="6"/>
  <c r="AN62" i="6"/>
  <c r="E64" i="10"/>
  <c r="G65" i="10"/>
  <c r="F64" i="10"/>
  <c r="A73" i="6"/>
  <c r="V73" i="10"/>
  <c r="A74" i="10"/>
  <c r="AD63" i="6" l="1"/>
  <c r="AC63" i="6"/>
  <c r="AE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G63" i="6"/>
  <c r="AM62" i="6"/>
  <c r="AN63" i="6"/>
  <c r="G66" i="10"/>
  <c r="E65" i="10"/>
  <c r="F65" i="10"/>
  <c r="A74" i="6"/>
  <c r="A75" i="10"/>
  <c r="V74" i="10"/>
  <c r="G73" i="6" l="1"/>
  <c r="AC64" i="6"/>
  <c r="AD64" i="6"/>
  <c r="AE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G64" i="6"/>
  <c r="AN64" i="6"/>
  <c r="AM63" i="6"/>
  <c r="G67" i="10"/>
  <c r="E66" i="10"/>
  <c r="F66" i="10"/>
  <c r="A75" i="6"/>
  <c r="A76" i="10"/>
  <c r="V75" i="10"/>
  <c r="AD65" i="6" l="1"/>
  <c r="AC65" i="6"/>
  <c r="AE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G65" i="6"/>
  <c r="G68" i="10"/>
  <c r="E67" i="10"/>
  <c r="F67" i="10"/>
  <c r="A76" i="6"/>
  <c r="A77" i="10"/>
  <c r="V76" i="10"/>
  <c r="AD66" i="6" l="1"/>
  <c r="AC66" i="6"/>
  <c r="AE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G66" i="6"/>
  <c r="AN65" i="6"/>
  <c r="AM64" i="6"/>
  <c r="E68" i="10"/>
  <c r="G69" i="10"/>
  <c r="F68" i="10"/>
  <c r="A77" i="6"/>
  <c r="V77" i="10"/>
  <c r="A78" i="10"/>
  <c r="AD67" i="6" l="1"/>
  <c r="AC67" i="6"/>
  <c r="AE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G67" i="6"/>
  <c r="AN66" i="6"/>
  <c r="AM65" i="6"/>
  <c r="G70" i="10"/>
  <c r="E69" i="10"/>
  <c r="F69" i="10"/>
  <c r="A78" i="6"/>
  <c r="A79" i="10"/>
  <c r="V78" i="10"/>
  <c r="AD68" i="6" l="1"/>
  <c r="AC68" i="6"/>
  <c r="AE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G68" i="6"/>
  <c r="AM66" i="6"/>
  <c r="AN67" i="6"/>
  <c r="E70" i="10"/>
  <c r="G71" i="10"/>
  <c r="F70" i="10"/>
  <c r="A79" i="6"/>
  <c r="A80" i="10"/>
  <c r="V79" i="10"/>
  <c r="AD69" i="6" l="1"/>
  <c r="AC69" i="6"/>
  <c r="AE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G69" i="6"/>
  <c r="AM67" i="6"/>
  <c r="AN68" i="6"/>
  <c r="G72" i="10"/>
  <c r="E71" i="10"/>
  <c r="F71" i="10"/>
  <c r="A80" i="6"/>
  <c r="A81" i="10"/>
  <c r="V80" i="10"/>
  <c r="AD70" i="6" l="1"/>
  <c r="AC70" i="6"/>
  <c r="AE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G70" i="6"/>
  <c r="AM68" i="6"/>
  <c r="AN69" i="6"/>
  <c r="E72" i="10"/>
  <c r="G73" i="10"/>
  <c r="F72" i="10"/>
  <c r="A81" i="6"/>
  <c r="V81" i="10"/>
  <c r="A82" i="10"/>
  <c r="AC71" i="6" l="1"/>
  <c r="AD71" i="6"/>
  <c r="AE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G71" i="6"/>
  <c r="AN70" i="6"/>
  <c r="AM69" i="6"/>
  <c r="G74" i="10"/>
  <c r="E73" i="10"/>
  <c r="F73" i="10"/>
  <c r="A82" i="6"/>
  <c r="V82" i="10"/>
  <c r="A83" i="10"/>
  <c r="AD72" i="6" l="1"/>
  <c r="AC72" i="6"/>
  <c r="AE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G72" i="6"/>
  <c r="AN71" i="6"/>
  <c r="AM70" i="6"/>
  <c r="E74" i="10"/>
  <c r="G75" i="10"/>
  <c r="F74" i="10"/>
  <c r="A83" i="6"/>
  <c r="V83" i="10"/>
  <c r="A84" i="10"/>
  <c r="G82" i="6" l="1"/>
  <c r="AC73" i="6"/>
  <c r="AD73" i="6"/>
  <c r="AE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G73" i="6"/>
  <c r="G76" i="10"/>
  <c r="E75" i="10"/>
  <c r="F75" i="10"/>
  <c r="A84" i="6"/>
  <c r="A85" i="10"/>
  <c r="V84" i="10"/>
  <c r="G83" i="6" l="1"/>
  <c r="AD74" i="6"/>
  <c r="AC74" i="6"/>
  <c r="AE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G74" i="6"/>
  <c r="AM71" i="6"/>
  <c r="AN72" i="6"/>
  <c r="E76" i="10"/>
  <c r="G77" i="10"/>
  <c r="F76" i="10"/>
  <c r="A85" i="6"/>
  <c r="V85" i="10"/>
  <c r="A86" i="10"/>
  <c r="G84" i="6" l="1"/>
  <c r="AC75" i="6"/>
  <c r="AD75" i="6"/>
  <c r="AE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G75" i="6"/>
  <c r="AM72" i="6"/>
  <c r="AN73" i="6"/>
  <c r="G78" i="10"/>
  <c r="E77" i="10"/>
  <c r="F77" i="10"/>
  <c r="A86" i="6"/>
  <c r="A87" i="10"/>
  <c r="V86" i="10"/>
  <c r="G85" i="6" l="1"/>
  <c r="AD76" i="6"/>
  <c r="AC76" i="6"/>
  <c r="AE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G76" i="6"/>
  <c r="AN74" i="6"/>
  <c r="AM73" i="6"/>
  <c r="AM74" i="6"/>
  <c r="E78" i="10"/>
  <c r="G79" i="10"/>
  <c r="F78" i="10"/>
  <c r="A87" i="6"/>
  <c r="A88" i="10"/>
  <c r="V87" i="10"/>
  <c r="AD77" i="6" l="1"/>
  <c r="AC77" i="6"/>
  <c r="AE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G77" i="6"/>
  <c r="G80" i="10"/>
  <c r="E79" i="10"/>
  <c r="F79" i="10"/>
  <c r="A88" i="6"/>
  <c r="A89" i="10"/>
  <c r="V88" i="10"/>
  <c r="G87" i="6" l="1"/>
  <c r="AC78" i="6"/>
  <c r="AD78" i="6"/>
  <c r="AE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G78" i="6"/>
  <c r="E80" i="10"/>
  <c r="G81" i="10"/>
  <c r="F80" i="10"/>
  <c r="A89" i="6"/>
  <c r="V89" i="10"/>
  <c r="A90" i="10"/>
  <c r="AD79" i="6" l="1"/>
  <c r="AC79" i="6"/>
  <c r="AE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G79" i="6"/>
  <c r="G82" i="10"/>
  <c r="E81" i="10"/>
  <c r="F81" i="10"/>
  <c r="A90" i="6"/>
  <c r="A91" i="10"/>
  <c r="V90" i="10"/>
  <c r="AD80" i="6" l="1"/>
  <c r="AC80" i="6"/>
  <c r="AE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G80" i="6"/>
  <c r="E82" i="10"/>
  <c r="G83" i="10"/>
  <c r="F82" i="10"/>
  <c r="A91" i="6"/>
  <c r="A92" i="10"/>
  <c r="V91" i="10"/>
  <c r="AD81" i="6" l="1"/>
  <c r="AC81" i="6"/>
  <c r="AE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G81" i="6"/>
  <c r="G84" i="10"/>
  <c r="E83" i="10"/>
  <c r="F83" i="10"/>
  <c r="A92" i="6"/>
  <c r="A93" i="10"/>
  <c r="V92" i="10"/>
  <c r="AD82" i="6" l="1"/>
  <c r="AC82" i="6"/>
  <c r="AE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G82" i="6"/>
  <c r="E84" i="10"/>
  <c r="G85" i="10"/>
  <c r="F84" i="10"/>
  <c r="A93" i="6"/>
  <c r="V93" i="10"/>
  <c r="A94" i="10"/>
  <c r="AD83" i="6" l="1"/>
  <c r="AC83" i="6"/>
  <c r="AE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G83" i="6"/>
  <c r="G86" i="10"/>
  <c r="E85" i="10"/>
  <c r="F85" i="10"/>
  <c r="A94" i="6"/>
  <c r="A95" i="10"/>
  <c r="V94" i="10"/>
  <c r="G93" i="6" l="1"/>
  <c r="AD84" i="6"/>
  <c r="AC84" i="6"/>
  <c r="AE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G84" i="6"/>
  <c r="E86" i="10"/>
  <c r="G87" i="10"/>
  <c r="F86" i="10"/>
  <c r="A95" i="6"/>
  <c r="A96" i="10"/>
  <c r="V95" i="10"/>
  <c r="AD85" i="6" l="1"/>
  <c r="AC85" i="6"/>
  <c r="AE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G85" i="6"/>
  <c r="G88" i="10"/>
  <c r="E87" i="10"/>
  <c r="F87" i="10"/>
  <c r="A96" i="6"/>
  <c r="A97" i="10"/>
  <c r="V96" i="10"/>
  <c r="AD86" i="6" l="1"/>
  <c r="AC86" i="6"/>
  <c r="AE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G86" i="6"/>
  <c r="E88" i="10"/>
  <c r="G89" i="10"/>
  <c r="F88" i="10"/>
  <c r="A97" i="6"/>
  <c r="V97" i="10"/>
  <c r="A98" i="10"/>
  <c r="G96" i="6" l="1"/>
  <c r="AD87" i="6"/>
  <c r="AC87" i="6"/>
  <c r="AE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G87" i="6"/>
  <c r="G90" i="10"/>
  <c r="E89" i="10"/>
  <c r="F89" i="10"/>
  <c r="A98" i="6"/>
  <c r="V98" i="10"/>
  <c r="A99" i="10"/>
  <c r="AC88" i="6" l="1"/>
  <c r="AD88" i="6"/>
  <c r="AE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G88" i="6"/>
  <c r="E90" i="10"/>
  <c r="G91" i="10"/>
  <c r="F90" i="10"/>
  <c r="A99" i="6"/>
  <c r="V99" i="10"/>
  <c r="A100" i="10"/>
  <c r="AD89" i="6" l="1"/>
  <c r="AC89" i="6"/>
  <c r="AE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G89" i="6"/>
  <c r="E91" i="10"/>
  <c r="G92" i="10"/>
  <c r="F91" i="10"/>
  <c r="A100" i="6"/>
  <c r="A101" i="10"/>
  <c r="V100" i="10"/>
  <c r="AD90" i="6" l="1"/>
  <c r="AC90" i="6"/>
  <c r="AE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G90" i="6"/>
  <c r="G93" i="10"/>
  <c r="E92" i="10"/>
  <c r="F92" i="10"/>
  <c r="A101" i="6"/>
  <c r="V101" i="10"/>
  <c r="A102" i="10"/>
  <c r="AD91" i="6" l="1"/>
  <c r="AC91" i="6"/>
  <c r="AE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G91" i="6"/>
  <c r="E93" i="10"/>
  <c r="G94" i="10"/>
  <c r="F93" i="10"/>
  <c r="F94" i="10" s="1"/>
  <c r="F95" i="10" s="1"/>
  <c r="A102" i="6"/>
  <c r="A103" i="10"/>
  <c r="V102" i="10"/>
  <c r="AD92" i="6" l="1"/>
  <c r="AC92" i="6"/>
  <c r="AE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G92" i="6"/>
  <c r="G95" i="10"/>
  <c r="E94" i="10"/>
  <c r="A103" i="6"/>
  <c r="A104" i="10"/>
  <c r="V103" i="10"/>
  <c r="AD93" i="6" l="1"/>
  <c r="AC93" i="6"/>
  <c r="AE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G93" i="6"/>
  <c r="G96" i="10"/>
  <c r="E95" i="10"/>
  <c r="A105" i="10"/>
  <c r="V105" i="10" s="1"/>
  <c r="A104" i="6"/>
  <c r="V104" i="10"/>
  <c r="AD94" i="6" l="1"/>
  <c r="AC94" i="6"/>
  <c r="AE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G94" i="6"/>
  <c r="E96" i="10"/>
  <c r="G97" i="10"/>
  <c r="F96" i="10"/>
  <c r="A106" i="10"/>
  <c r="V106" i="10" s="1"/>
  <c r="A105" i="6"/>
  <c r="AD95" i="6" l="1"/>
  <c r="AC95" i="6"/>
  <c r="AE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G95" i="6"/>
  <c r="G98" i="10"/>
  <c r="E97" i="10"/>
  <c r="F97" i="10"/>
  <c r="A107" i="10"/>
  <c r="V107" i="10" s="1"/>
  <c r="A106" i="6"/>
  <c r="AD96" i="6" l="1"/>
  <c r="AC96" i="6"/>
  <c r="AE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G96" i="6"/>
  <c r="E98" i="10"/>
  <c r="G99" i="10"/>
  <c r="F98" i="10"/>
  <c r="A108" i="10"/>
  <c r="A109" i="10" s="1"/>
  <c r="A107" i="6"/>
  <c r="AD97" i="6" l="1"/>
  <c r="AC97" i="6"/>
  <c r="AE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G97" i="6"/>
  <c r="V108" i="10"/>
  <c r="G100" i="10"/>
  <c r="E99" i="10"/>
  <c r="F99" i="10"/>
  <c r="V109" i="10"/>
  <c r="A110" i="10"/>
  <c r="A108" i="6"/>
  <c r="AD98" i="6" l="1"/>
  <c r="AC98" i="6"/>
  <c r="AE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G98" i="6"/>
  <c r="E100" i="10"/>
  <c r="G101" i="10"/>
  <c r="F100" i="10"/>
  <c r="V110" i="10"/>
  <c r="A111" i="10"/>
  <c r="A109" i="6"/>
  <c r="AD99" i="6" l="1"/>
  <c r="AC99" i="6"/>
  <c r="AE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G99" i="6"/>
  <c r="E101" i="10"/>
  <c r="G102" i="10"/>
  <c r="F101" i="10"/>
  <c r="A112" i="10"/>
  <c r="V111" i="10"/>
  <c r="A110" i="6"/>
  <c r="AD100" i="6" l="1"/>
  <c r="AC100" i="6"/>
  <c r="AE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G100" i="6"/>
  <c r="G103" i="10"/>
  <c r="E102" i="10"/>
  <c r="F102" i="10"/>
  <c r="A113" i="10"/>
  <c r="V112" i="10"/>
  <c r="A111" i="6"/>
  <c r="AD101" i="6" l="1"/>
  <c r="AC101" i="6"/>
  <c r="AE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G101" i="6"/>
  <c r="E103" i="10"/>
  <c r="G104" i="10"/>
  <c r="F103" i="10"/>
  <c r="V113" i="10"/>
  <c r="A114" i="10"/>
  <c r="A112" i="6"/>
  <c r="AD102" i="6" l="1"/>
  <c r="AC102" i="6"/>
  <c r="AE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G102" i="6"/>
  <c r="G105" i="10"/>
  <c r="E104" i="10"/>
  <c r="F104" i="10"/>
  <c r="A115" i="10"/>
  <c r="V114" i="10"/>
  <c r="A113" i="6"/>
  <c r="AD103" i="6" l="1"/>
  <c r="AC103" i="6"/>
  <c r="AE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G103" i="6"/>
  <c r="E105" i="10"/>
  <c r="G106" i="10"/>
  <c r="F105" i="10"/>
  <c r="A116" i="10"/>
  <c r="V115" i="10"/>
  <c r="A114" i="6"/>
  <c r="AD104" i="6" l="1"/>
  <c r="AC104" i="6"/>
  <c r="AE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G104" i="6"/>
  <c r="G107" i="10"/>
  <c r="E106" i="10"/>
  <c r="F106" i="10"/>
  <c r="A117" i="10"/>
  <c r="V116" i="10"/>
  <c r="A115" i="6"/>
  <c r="AD105" i="6" l="1"/>
  <c r="AC105" i="6"/>
  <c r="AE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G105" i="6"/>
  <c r="E107" i="10"/>
  <c r="G108" i="10"/>
  <c r="F107" i="10"/>
  <c r="A118" i="10"/>
  <c r="V117" i="10"/>
  <c r="A116" i="6"/>
  <c r="AD106" i="6" l="1"/>
  <c r="AC106" i="6"/>
  <c r="AE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G106" i="6"/>
  <c r="G109" i="10"/>
  <c r="E108" i="10"/>
  <c r="F108" i="10"/>
  <c r="A119" i="10"/>
  <c r="V118" i="10"/>
  <c r="A117" i="6"/>
  <c r="AD107" i="6" l="1"/>
  <c r="AC107" i="6"/>
  <c r="AE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G107" i="6"/>
  <c r="E109" i="10"/>
  <c r="G110" i="10"/>
  <c r="F109" i="10"/>
  <c r="A120" i="10"/>
  <c r="V119" i="10"/>
  <c r="A118" i="6"/>
  <c r="AD108" i="6" l="1"/>
  <c r="AC108" i="6"/>
  <c r="AE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G108" i="6"/>
  <c r="G111" i="10"/>
  <c r="E110" i="10"/>
  <c r="F110" i="10"/>
  <c r="A121" i="10"/>
  <c r="V120" i="10"/>
  <c r="A119" i="6"/>
  <c r="AD109" i="6" l="1"/>
  <c r="AC109" i="6"/>
  <c r="AE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G109" i="6"/>
  <c r="E111" i="10"/>
  <c r="G112" i="10"/>
  <c r="F111" i="10"/>
  <c r="V121" i="10"/>
  <c r="A122" i="10"/>
  <c r="A120" i="6"/>
  <c r="AD110" i="6" l="1"/>
  <c r="AC110" i="6"/>
  <c r="AE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G110" i="6"/>
  <c r="G113" i="10"/>
  <c r="E112" i="10"/>
  <c r="F112" i="10"/>
  <c r="A123" i="10"/>
  <c r="V122" i="10"/>
  <c r="A121" i="6"/>
  <c r="AD111" i="6" l="1"/>
  <c r="AC111" i="6"/>
  <c r="AE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G111" i="6"/>
  <c r="E113" i="10"/>
  <c r="G114" i="10"/>
  <c r="F113" i="10"/>
  <c r="A124" i="10"/>
  <c r="V123" i="10"/>
  <c r="A122" i="6"/>
  <c r="AD112" i="6" l="1"/>
  <c r="AC112" i="6"/>
  <c r="AE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G112" i="6"/>
  <c r="G115" i="10"/>
  <c r="E114" i="10"/>
  <c r="F114" i="10"/>
  <c r="A125" i="10"/>
  <c r="V124" i="10"/>
  <c r="A123" i="6"/>
  <c r="AD113" i="6" l="1"/>
  <c r="AC113" i="6"/>
  <c r="AE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G113" i="6"/>
  <c r="E115" i="10"/>
  <c r="G116" i="10"/>
  <c r="F115" i="10"/>
  <c r="V125" i="10"/>
  <c r="A126" i="10"/>
  <c r="A124" i="6"/>
  <c r="AD114" i="6" l="1"/>
  <c r="AC114" i="6"/>
  <c r="AE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G114" i="6"/>
  <c r="G117" i="10"/>
  <c r="E116" i="10"/>
  <c r="F116" i="10"/>
  <c r="A127" i="10"/>
  <c r="V126" i="10"/>
  <c r="A125" i="6"/>
  <c r="AD115" i="6" l="1"/>
  <c r="AC115" i="6"/>
  <c r="AE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G115" i="6"/>
  <c r="E117" i="10"/>
  <c r="G118" i="10"/>
  <c r="F117" i="10"/>
  <c r="A128" i="10"/>
  <c r="V127" i="10"/>
  <c r="A126" i="6"/>
  <c r="AD116" i="6" l="1"/>
  <c r="AC116" i="6"/>
  <c r="AE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G116" i="6"/>
  <c r="G119" i="10"/>
  <c r="E118" i="10"/>
  <c r="F118" i="10"/>
  <c r="A129" i="10"/>
  <c r="V128" i="10"/>
  <c r="A127" i="6"/>
  <c r="AD117" i="6" l="1"/>
  <c r="AC117" i="6"/>
  <c r="AE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G117" i="6"/>
  <c r="E119" i="10"/>
  <c r="G120" i="10"/>
  <c r="F119" i="10"/>
  <c r="V129" i="10"/>
  <c r="A130" i="10"/>
  <c r="A128" i="6"/>
  <c r="AD118" i="6" l="1"/>
  <c r="AC118" i="6"/>
  <c r="AE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G118" i="6"/>
  <c r="G121" i="10"/>
  <c r="E120" i="10"/>
  <c r="F120" i="10"/>
  <c r="A131" i="10"/>
  <c r="V130" i="10"/>
  <c r="A129" i="6"/>
  <c r="AD119" i="6" l="1"/>
  <c r="AC119" i="6"/>
  <c r="AE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G119" i="6"/>
  <c r="E121" i="10"/>
  <c r="G122" i="10"/>
  <c r="F121" i="10"/>
  <c r="V131" i="10"/>
  <c r="A132" i="10"/>
  <c r="A130" i="6"/>
  <c r="AD120" i="6" l="1"/>
  <c r="AC120" i="6"/>
  <c r="AE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G120" i="6"/>
  <c r="E122" i="10"/>
  <c r="G123" i="10"/>
  <c r="F122" i="10"/>
  <c r="A133" i="10"/>
  <c r="V132" i="10"/>
  <c r="A131" i="6"/>
  <c r="AD121" i="6" l="1"/>
  <c r="AC121" i="6"/>
  <c r="AE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G121" i="6"/>
  <c r="E123" i="10"/>
  <c r="G124" i="10"/>
  <c r="F123" i="10"/>
  <c r="V133" i="10"/>
  <c r="A134" i="10"/>
  <c r="A132" i="6"/>
  <c r="AD122" i="6" l="1"/>
  <c r="AC122" i="6"/>
  <c r="AE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G122" i="6"/>
  <c r="G125" i="10"/>
  <c r="E124" i="10"/>
  <c r="F124" i="10"/>
  <c r="A135" i="10"/>
  <c r="V134" i="10"/>
  <c r="A133" i="6"/>
  <c r="AD123" i="6" l="1"/>
  <c r="AC123" i="6"/>
  <c r="AE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G123" i="6"/>
  <c r="E125" i="10"/>
  <c r="G126" i="10"/>
  <c r="F125" i="10"/>
  <c r="A136" i="10"/>
  <c r="V135" i="10"/>
  <c r="A134" i="6"/>
  <c r="AD124" i="6" l="1"/>
  <c r="AC124" i="6"/>
  <c r="AE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G124" i="6"/>
  <c r="E126" i="10"/>
  <c r="G127" i="10"/>
  <c r="F126" i="10"/>
  <c r="V136" i="10"/>
  <c r="A137" i="10"/>
  <c r="A135" i="6"/>
  <c r="AD125" i="6" l="1"/>
  <c r="AC125" i="6"/>
  <c r="AE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G125" i="6"/>
  <c r="G128" i="10"/>
  <c r="E127" i="10"/>
  <c r="F127" i="10"/>
  <c r="A138" i="10"/>
  <c r="V137" i="10"/>
  <c r="A136" i="6"/>
  <c r="AD126" i="6" l="1"/>
  <c r="AC126" i="6"/>
  <c r="AE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G126" i="6"/>
  <c r="G129" i="10"/>
  <c r="E128" i="10"/>
  <c r="F128" i="10"/>
  <c r="A139" i="10"/>
  <c r="V138" i="10"/>
  <c r="A137" i="6"/>
  <c r="AD127" i="6" l="1"/>
  <c r="AC127" i="6"/>
  <c r="AE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G127" i="6"/>
  <c r="G130" i="10"/>
  <c r="E129" i="10"/>
  <c r="F129" i="10"/>
  <c r="V139" i="10"/>
  <c r="A140" i="10"/>
  <c r="A138" i="6"/>
  <c r="AD128" i="6" l="1"/>
  <c r="AC128" i="6"/>
  <c r="AE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G128" i="6"/>
  <c r="E130" i="10"/>
  <c r="G131" i="10"/>
  <c r="F130" i="10"/>
  <c r="V140" i="10"/>
  <c r="A141" i="10"/>
  <c r="A139" i="6"/>
  <c r="AD129" i="6" l="1"/>
  <c r="AC129" i="6"/>
  <c r="AE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G129" i="6"/>
  <c r="E131" i="10"/>
  <c r="G132" i="10"/>
  <c r="F131" i="10"/>
  <c r="V141" i="10"/>
  <c r="A142" i="10"/>
  <c r="A140" i="6"/>
  <c r="AD130" i="6" l="1"/>
  <c r="AC130" i="6"/>
  <c r="AE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G130" i="6"/>
  <c r="G133" i="10"/>
  <c r="E132" i="10"/>
  <c r="F132" i="10"/>
  <c r="V142" i="10"/>
  <c r="A143" i="10"/>
  <c r="A141" i="6"/>
  <c r="AD131" i="6" l="1"/>
  <c r="AC131" i="6"/>
  <c r="AE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G131" i="6"/>
  <c r="E133" i="10"/>
  <c r="G134" i="10"/>
  <c r="F133" i="10"/>
  <c r="V143" i="10"/>
  <c r="A144" i="10"/>
  <c r="A142" i="6"/>
  <c r="AD132" i="6" l="1"/>
  <c r="AC132" i="6"/>
  <c r="AE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G132" i="6"/>
  <c r="E134" i="10"/>
  <c r="G135" i="10"/>
  <c r="F134" i="10"/>
  <c r="V144" i="10"/>
  <c r="A145" i="10"/>
  <c r="A143" i="6"/>
  <c r="AD133" i="6" l="1"/>
  <c r="AC133" i="6"/>
  <c r="AE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G133" i="6"/>
  <c r="E135" i="10"/>
  <c r="G136" i="10"/>
  <c r="F135" i="10"/>
  <c r="A146" i="10"/>
  <c r="V145" i="10"/>
  <c r="A144" i="6"/>
  <c r="AD134" i="6" l="1"/>
  <c r="AC134" i="6"/>
  <c r="AE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G134" i="6"/>
  <c r="G137" i="10"/>
  <c r="E136" i="10"/>
  <c r="F136" i="10"/>
  <c r="V146" i="10"/>
  <c r="A147" i="10"/>
  <c r="A145" i="6"/>
  <c r="AD135" i="6" l="1"/>
  <c r="AC135" i="6"/>
  <c r="AE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G135" i="6"/>
  <c r="G138" i="10"/>
  <c r="E137" i="10"/>
  <c r="F137" i="10"/>
  <c r="V147" i="10"/>
  <c r="A148" i="10"/>
  <c r="A146" i="6"/>
  <c r="AD136" i="6" l="1"/>
  <c r="AC136" i="6"/>
  <c r="AE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G136" i="6"/>
  <c r="E138" i="10"/>
  <c r="G139" i="10"/>
  <c r="F138" i="10"/>
  <c r="V148" i="10"/>
  <c r="A149" i="10"/>
  <c r="A147" i="6"/>
  <c r="AD137" i="6" l="1"/>
  <c r="AC137" i="6"/>
  <c r="AE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G137" i="6"/>
  <c r="G140" i="10"/>
  <c r="E139" i="10"/>
  <c r="F139" i="10"/>
  <c r="A150" i="10"/>
  <c r="V149" i="10"/>
  <c r="A148" i="6"/>
  <c r="AD138" i="6" l="1"/>
  <c r="AC138" i="6"/>
  <c r="AE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G138" i="6"/>
  <c r="G141" i="10"/>
  <c r="E140" i="10"/>
  <c r="F140" i="10"/>
  <c r="A151" i="10"/>
  <c r="V150" i="10"/>
  <c r="A149" i="6"/>
  <c r="AD139" i="6" l="1"/>
  <c r="AC139" i="6"/>
  <c r="AE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G139" i="6"/>
  <c r="E141" i="10"/>
  <c r="G142" i="10"/>
  <c r="F141" i="10"/>
  <c r="V151" i="10"/>
  <c r="A152" i="10"/>
  <c r="A150" i="6"/>
  <c r="AD140" i="6" l="1"/>
  <c r="AC140" i="6"/>
  <c r="AE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G140" i="6"/>
  <c r="G143" i="10"/>
  <c r="E142" i="10"/>
  <c r="F142" i="10"/>
  <c r="V152" i="10"/>
  <c r="A153" i="10"/>
  <c r="A151" i="6"/>
  <c r="AD141" i="6" l="1"/>
  <c r="AC141" i="6"/>
  <c r="AE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G141" i="6"/>
  <c r="E143" i="10"/>
  <c r="G144" i="10"/>
  <c r="F143" i="10"/>
  <c r="V153" i="10"/>
  <c r="A154" i="10"/>
  <c r="A152" i="6"/>
  <c r="AD142" i="6" l="1"/>
  <c r="AC142" i="6"/>
  <c r="AE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G142" i="6"/>
  <c r="G145" i="10"/>
  <c r="E144" i="10"/>
  <c r="F144" i="10"/>
  <c r="V154" i="10"/>
  <c r="A155" i="10"/>
  <c r="A153" i="6"/>
  <c r="AD143" i="6" l="1"/>
  <c r="AC143" i="6"/>
  <c r="AE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AD144" i="6" l="1"/>
  <c r="AC144" i="6"/>
  <c r="AE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AD145" i="6" l="1"/>
  <c r="AC145" i="6"/>
  <c r="AE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AD146" i="6" l="1"/>
  <c r="AC146" i="6"/>
  <c r="AE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AD147" i="6" l="1"/>
  <c r="AC147" i="6"/>
  <c r="AE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AD148" i="6" l="1"/>
  <c r="AC148" i="6"/>
  <c r="AE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AD149" i="6" l="1"/>
  <c r="AC149" i="6"/>
  <c r="AE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AD150" i="6" l="1"/>
  <c r="AC150" i="6"/>
  <c r="AE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AD151" i="6" l="1"/>
  <c r="AC151" i="6"/>
  <c r="AE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AD152" i="6" l="1"/>
  <c r="AC152" i="6"/>
  <c r="AE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AD153" i="6" l="1"/>
  <c r="AC153" i="6"/>
  <c r="AE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AD154" i="6" l="1"/>
  <c r="AC154" i="6"/>
  <c r="AE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AD155" i="6" l="1"/>
  <c r="AC155" i="6"/>
  <c r="AE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AD156" i="6" l="1"/>
  <c r="AC156" i="6"/>
  <c r="AE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AD157" i="6" l="1"/>
  <c r="AC157" i="6"/>
  <c r="AE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AD158" i="6" l="1"/>
  <c r="AC158" i="6"/>
  <c r="AE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AD159" i="6" l="1"/>
  <c r="AC159" i="6"/>
  <c r="AE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AD160" i="6" l="1"/>
  <c r="AC160" i="6"/>
  <c r="AE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AD161" i="6" l="1"/>
  <c r="AC161" i="6"/>
  <c r="AE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AD162" i="6" l="1"/>
  <c r="AC162" i="6"/>
  <c r="AE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AD163" i="6" l="1"/>
  <c r="AC163" i="6"/>
  <c r="AE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AD164" i="6" l="1"/>
  <c r="AC164" i="6"/>
  <c r="AE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AD165" i="6" l="1"/>
  <c r="AC165" i="6"/>
  <c r="AE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AD166" i="6" l="1"/>
  <c r="AC166" i="6"/>
  <c r="AE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AD167" i="6" l="1"/>
  <c r="AC167" i="6"/>
  <c r="AE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AD168" i="6" l="1"/>
  <c r="AC168" i="6"/>
  <c r="AE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AD169" i="6" l="1"/>
  <c r="AC169" i="6"/>
  <c r="AE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AD170" i="6" l="1"/>
  <c r="AC170" i="6"/>
  <c r="AE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AD171" i="6" l="1"/>
  <c r="AC171" i="6"/>
  <c r="AE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AD172" i="6" l="1"/>
  <c r="AC172" i="6"/>
  <c r="AE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AD173" i="6" l="1"/>
  <c r="AC173" i="6"/>
  <c r="AE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AD174" i="6" l="1"/>
  <c r="AC174" i="6"/>
  <c r="AE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AD175" i="6" l="1"/>
  <c r="AC175" i="6"/>
  <c r="AE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AD176" i="6" l="1"/>
  <c r="AC176" i="6"/>
  <c r="AE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AD177" i="6" l="1"/>
  <c r="AC177" i="6"/>
  <c r="AE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AD178" i="6" l="1"/>
  <c r="AC178" i="6"/>
  <c r="AE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AD179" i="6" l="1"/>
  <c r="AC179" i="6"/>
  <c r="AE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AD180" i="6" l="1"/>
  <c r="AC180" i="6"/>
  <c r="AE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AD181" i="6" l="1"/>
  <c r="AC181" i="6"/>
  <c r="AE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AD182" i="6" l="1"/>
  <c r="AC182" i="6"/>
  <c r="AE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AD183" i="6" l="1"/>
  <c r="AC183" i="6"/>
  <c r="AE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AD184" i="6" l="1"/>
  <c r="AC184" i="6"/>
  <c r="AE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AD185" i="6" l="1"/>
  <c r="AC185" i="6"/>
  <c r="AE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AD186" i="6" l="1"/>
  <c r="AC186" i="6"/>
  <c r="AE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AD187" i="6" l="1"/>
  <c r="AC187" i="6"/>
  <c r="AE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AD188" i="6" l="1"/>
  <c r="AC188" i="6"/>
  <c r="AE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AD189" i="6" l="1"/>
  <c r="AC189" i="6"/>
  <c r="AE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AD190" i="6" l="1"/>
  <c r="AC190" i="6"/>
  <c r="AE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AD191" i="6" l="1"/>
  <c r="AC191" i="6"/>
  <c r="AE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AD192" i="6" l="1"/>
  <c r="AC192" i="6"/>
  <c r="AE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AD193" i="6" l="1"/>
  <c r="AC193" i="6"/>
  <c r="AE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AD194" i="6" l="1"/>
  <c r="AC194" i="6"/>
  <c r="AE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AD195" i="6" l="1"/>
  <c r="AC195" i="6"/>
  <c r="AE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AD196" i="6" l="1"/>
  <c r="AC196" i="6"/>
  <c r="AE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AD197" i="6" l="1"/>
  <c r="AC197" i="6"/>
  <c r="AE197" i="6"/>
  <c r="K198" i="6"/>
  <c r="A211" i="11"/>
  <c r="Q210" i="11"/>
  <c r="E199" i="10"/>
  <c r="G200" i="10"/>
  <c r="F199" i="10"/>
  <c r="AD198" i="6" l="1"/>
  <c r="AC198" i="6"/>
  <c r="AE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AD199" i="6" l="1"/>
  <c r="AC199" i="6"/>
  <c r="AE199" i="6"/>
  <c r="K200" i="6"/>
  <c r="A213" i="11"/>
  <c r="Q212" i="11"/>
  <c r="N210" i="11"/>
  <c r="O210" i="11" s="1"/>
  <c r="P210" i="11" s="1"/>
  <c r="R210" i="11" s="1"/>
  <c r="E201" i="10"/>
  <c r="G202" i="10"/>
  <c r="F201" i="10"/>
  <c r="AD200" i="6" l="1"/>
  <c r="AC200" i="6"/>
  <c r="AE200" i="6"/>
  <c r="K201" i="6"/>
  <c r="N211" i="11"/>
  <c r="O211" i="11" s="1"/>
  <c r="P211" i="11" s="1"/>
  <c r="R211" i="11" s="1"/>
  <c r="Q213" i="11"/>
  <c r="A214" i="11"/>
  <c r="G203" i="10"/>
  <c r="E202" i="10"/>
  <c r="F202" i="10"/>
  <c r="AD201" i="6" l="1"/>
  <c r="AC201" i="6"/>
  <c r="AE201" i="6"/>
  <c r="K202" i="6"/>
  <c r="A215" i="11"/>
  <c r="Q214" i="11"/>
  <c r="N212" i="11"/>
  <c r="O212" i="11" s="1"/>
  <c r="P212" i="11" s="1"/>
  <c r="R212" i="11" s="1"/>
  <c r="G204" i="10"/>
  <c r="E203" i="10"/>
  <c r="F203" i="10"/>
  <c r="AD202" i="6" l="1"/>
  <c r="AC202" i="6"/>
  <c r="AE202" i="6"/>
  <c r="K203" i="6"/>
  <c r="Q215" i="11"/>
  <c r="A216" i="11"/>
  <c r="N213" i="11"/>
  <c r="O213" i="11" s="1"/>
  <c r="P213" i="11" s="1"/>
  <c r="R213" i="11" s="1"/>
  <c r="E204" i="10"/>
  <c r="F204" i="10"/>
  <c r="AD203" i="6" l="1"/>
  <c r="AC203" i="6"/>
  <c r="AE203" i="6"/>
  <c r="K204" i="6"/>
  <c r="N214" i="11"/>
  <c r="O214" i="11" s="1"/>
  <c r="P214" i="11" s="1"/>
  <c r="R214" i="11" s="1"/>
  <c r="Q216" i="11"/>
  <c r="A217" i="11"/>
  <c r="AC204" i="6" l="1"/>
  <c r="AD204" i="6"/>
  <c r="AE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41" i="1" l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B39" i="1"/>
  <c r="B37" i="1" s="1"/>
  <c r="AO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E110" i="6"/>
  <c r="BE107" i="6"/>
  <c r="BE87" i="6"/>
  <c r="BE102" i="6"/>
  <c r="BE111" i="6"/>
  <c r="BE147" i="6"/>
  <c r="BE118" i="6"/>
  <c r="BE160" i="6"/>
  <c r="BE154" i="6"/>
  <c r="BE151" i="6"/>
  <c r="BE155" i="6"/>
  <c r="BE152" i="6"/>
  <c r="BE149" i="6"/>
  <c r="BE142" i="6"/>
  <c r="BE139" i="6"/>
  <c r="BE166" i="6"/>
  <c r="BE135" i="6"/>
  <c r="BE165" i="6"/>
  <c r="BE134" i="6"/>
  <c r="BE163" i="6"/>
  <c r="BE133" i="6"/>
  <c r="BE162" i="6"/>
  <c r="BE123" i="6"/>
  <c r="BE159" i="6"/>
  <c r="BE117" i="6"/>
  <c r="BE150" i="6"/>
  <c r="BE127" i="6"/>
  <c r="BE101" i="6"/>
  <c r="BE91" i="6"/>
  <c r="BE94" i="6"/>
  <c r="BE86" i="6"/>
  <c r="AO74" i="6"/>
  <c r="BE6" i="6"/>
  <c r="BE78" i="6"/>
  <c r="BE73" i="6"/>
  <c r="BE158" i="6"/>
  <c r="BE143" i="6"/>
  <c r="BE119" i="6"/>
  <c r="BE95" i="6"/>
  <c r="AO72" i="6"/>
  <c r="BE72" i="6"/>
  <c r="BE167" i="6"/>
  <c r="BE157" i="6"/>
  <c r="BE144" i="6"/>
  <c r="BE126" i="6"/>
  <c r="BE103" i="6"/>
  <c r="BE85" i="6"/>
  <c r="AO65" i="6"/>
  <c r="BE62" i="6"/>
  <c r="BE58" i="6"/>
  <c r="BE57" i="6"/>
  <c r="BE55" i="6"/>
  <c r="AP4" i="6"/>
  <c r="BE40" i="6"/>
  <c r="AO34" i="6"/>
  <c r="BE23" i="6"/>
  <c r="AO24" i="6"/>
  <c r="BE24" i="6"/>
  <c r="BF4" i="6"/>
  <c r="BE131" i="6"/>
  <c r="BE115" i="6"/>
  <c r="BE99" i="6"/>
  <c r="BE83" i="6"/>
  <c r="AO69" i="6"/>
  <c r="BE51" i="6"/>
  <c r="BE17" i="6"/>
  <c r="BE79" i="6"/>
  <c r="BE66" i="6"/>
  <c r="BE43" i="6"/>
  <c r="AO8" i="6"/>
  <c r="BE141" i="6"/>
  <c r="BE125" i="6"/>
  <c r="BE109" i="6"/>
  <c r="BE93" i="6"/>
  <c r="BE77" i="6"/>
  <c r="BE64" i="6"/>
  <c r="AO39" i="6"/>
  <c r="N217" i="11"/>
  <c r="O217" i="11" s="1"/>
  <c r="P217" i="11" s="1"/>
  <c r="R217" i="11" s="1"/>
  <c r="A220" i="11"/>
  <c r="Q219" i="11"/>
  <c r="BE164" i="6"/>
  <c r="BE156" i="6"/>
  <c r="BE148" i="6"/>
  <c r="BE140" i="6"/>
  <c r="BE132" i="6"/>
  <c r="BE124" i="6"/>
  <c r="BE116" i="6"/>
  <c r="BE108" i="6"/>
  <c r="BE100" i="6"/>
  <c r="BE92" i="6"/>
  <c r="BE84" i="6"/>
  <c r="BE76" i="6"/>
  <c r="BE70" i="6"/>
  <c r="AO64" i="6"/>
  <c r="AO54" i="6"/>
  <c r="BE39" i="6"/>
  <c r="BE21" i="6"/>
  <c r="BE146" i="6"/>
  <c r="BE138" i="6"/>
  <c r="BE130" i="6"/>
  <c r="BE122" i="6"/>
  <c r="BE114" i="6"/>
  <c r="BE106" i="6"/>
  <c r="BE98" i="6"/>
  <c r="BE90" i="6"/>
  <c r="BE82" i="6"/>
  <c r="BE75" i="6"/>
  <c r="BE69" i="6"/>
  <c r="AO61" i="6"/>
  <c r="AO50" i="6"/>
  <c r="BE33" i="6"/>
  <c r="BE16" i="6"/>
  <c r="BE161" i="6"/>
  <c r="BE153" i="6"/>
  <c r="BE145" i="6"/>
  <c r="BE137" i="6"/>
  <c r="BE129" i="6"/>
  <c r="BE121" i="6"/>
  <c r="BE113" i="6"/>
  <c r="BE105" i="6"/>
  <c r="BE97" i="6"/>
  <c r="BE89" i="6"/>
  <c r="BE81" i="6"/>
  <c r="BE74" i="6"/>
  <c r="AO68" i="6"/>
  <c r="AO60" i="6"/>
  <c r="BE48" i="6"/>
  <c r="AO30" i="6"/>
  <c r="AO13" i="6"/>
  <c r="BE136" i="6"/>
  <c r="BE128" i="6"/>
  <c r="BE120" i="6"/>
  <c r="BE112" i="6"/>
  <c r="BE104" i="6"/>
  <c r="BE96" i="6"/>
  <c r="BE88" i="6"/>
  <c r="BE80" i="6"/>
  <c r="AO73" i="6"/>
  <c r="BE68" i="6"/>
  <c r="BE60" i="6"/>
  <c r="AO46" i="6"/>
  <c r="BE29" i="6"/>
  <c r="AO12" i="6"/>
  <c r="BE65" i="6"/>
  <c r="BE61" i="6"/>
  <c r="AO55" i="6"/>
  <c r="BE49" i="6"/>
  <c r="AO40" i="6"/>
  <c r="BE32" i="6"/>
  <c r="AO23" i="6"/>
  <c r="AO14" i="6"/>
  <c r="AO71" i="6"/>
  <c r="BE67" i="6"/>
  <c r="AO63" i="6"/>
  <c r="AO59" i="6"/>
  <c r="BE54" i="6"/>
  <c r="BE45" i="6"/>
  <c r="BE37" i="6"/>
  <c r="AO28" i="6"/>
  <c r="AO19" i="6"/>
  <c r="BE12" i="6"/>
  <c r="BE71" i="6"/>
  <c r="AO67" i="6"/>
  <c r="BE63" i="6"/>
  <c r="BE59" i="6"/>
  <c r="BE53" i="6"/>
  <c r="AO44" i="6"/>
  <c r="AO35" i="6"/>
  <c r="BE28" i="6"/>
  <c r="BE19" i="6"/>
  <c r="BE11" i="6"/>
  <c r="AO70" i="6"/>
  <c r="AO66" i="6"/>
  <c r="AO62" i="6"/>
  <c r="AO58" i="6"/>
  <c r="AO51" i="6"/>
  <c r="BE44" i="6"/>
  <c r="BE35" i="6"/>
  <c r="BE27" i="6"/>
  <c r="BE18" i="6"/>
  <c r="BE8" i="6"/>
  <c r="AO57" i="6"/>
  <c r="AO53" i="6"/>
  <c r="AO48" i="6"/>
  <c r="AO43" i="6"/>
  <c r="BE38" i="6"/>
  <c r="AO32" i="6"/>
  <c r="AO27" i="6"/>
  <c r="AO22" i="6"/>
  <c r="AO16" i="6"/>
  <c r="AO11" i="6"/>
  <c r="AO56" i="6"/>
  <c r="AO52" i="6"/>
  <c r="AO47" i="6"/>
  <c r="AO42" i="6"/>
  <c r="BE36" i="6"/>
  <c r="AO31" i="6"/>
  <c r="BE26" i="6"/>
  <c r="AO20" i="6"/>
  <c r="AO15" i="6"/>
  <c r="AO10" i="6"/>
  <c r="BE56" i="6"/>
  <c r="BE52" i="6"/>
  <c r="BE47" i="6"/>
  <c r="BE41" i="6"/>
  <c r="AO36" i="6"/>
  <c r="BE31" i="6"/>
  <c r="BE25" i="6"/>
  <c r="BE20" i="6"/>
  <c r="BE15" i="6"/>
  <c r="AO9" i="6"/>
  <c r="BE5" i="6"/>
  <c r="BE4" i="6"/>
  <c r="AO4" i="6"/>
  <c r="AO7" i="6"/>
  <c r="BE7" i="6"/>
  <c r="BE50" i="6"/>
  <c r="BE46" i="6"/>
  <c r="BE42" i="6"/>
  <c r="AO38" i="6"/>
  <c r="BE34" i="6"/>
  <c r="BE30" i="6"/>
  <c r="AO26" i="6"/>
  <c r="BE22" i="6"/>
  <c r="AO18" i="6"/>
  <c r="BE14" i="6"/>
  <c r="BE10" i="6"/>
  <c r="AO6" i="6"/>
  <c r="AO49" i="6"/>
  <c r="AO45" i="6"/>
  <c r="AO41" i="6"/>
  <c r="AO37" i="6"/>
  <c r="AO33" i="6"/>
  <c r="AO29" i="6"/>
  <c r="AO25" i="6"/>
  <c r="AO21" i="6"/>
  <c r="AO17" i="6"/>
  <c r="BE13" i="6"/>
  <c r="BE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BH5" i="6" l="1"/>
  <c r="M6" i="6"/>
  <c r="M7" i="6" s="1"/>
  <c r="P5" i="6"/>
  <c r="N5" i="6"/>
  <c r="O5" i="6" s="1"/>
  <c r="BH6" i="6"/>
  <c r="BH23" i="6"/>
  <c r="BH24" i="6"/>
  <c r="BF5" i="6"/>
  <c r="AP5" i="6"/>
  <c r="BH8" i="6"/>
  <c r="BH17" i="6"/>
  <c r="BH13" i="6"/>
  <c r="BH21" i="6"/>
  <c r="BH7" i="6"/>
  <c r="BH20" i="6"/>
  <c r="BH19" i="6"/>
  <c r="BH11" i="6"/>
  <c r="BH12" i="6"/>
  <c r="A221" i="11"/>
  <c r="Q220" i="11"/>
  <c r="N218" i="11"/>
  <c r="O218" i="11" s="1"/>
  <c r="P218" i="11" s="1"/>
  <c r="R218" i="11" s="1"/>
  <c r="BH18" i="6"/>
  <c r="BH16" i="6"/>
  <c r="BH14" i="6"/>
  <c r="BH22" i="6"/>
  <c r="BH15" i="6"/>
  <c r="BH9" i="6"/>
  <c r="BH4" i="6"/>
  <c r="BH25" i="6"/>
  <c r="BH10" i="6"/>
  <c r="AP6" i="6"/>
  <c r="BF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P7" i="6"/>
  <c r="BF7" i="6"/>
  <c r="N5" i="10"/>
  <c r="P5" i="10"/>
  <c r="Q5" i="10" s="1"/>
  <c r="O6" i="10"/>
  <c r="T4" i="10"/>
  <c r="R4" i="10"/>
  <c r="BW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BW5" i="6"/>
  <c r="BX5" i="6" s="1"/>
  <c r="N220" i="11"/>
  <c r="O220" i="11" s="1"/>
  <c r="P220" i="11" s="1"/>
  <c r="R220" i="11" s="1"/>
  <c r="Q222" i="11"/>
  <c r="A223" i="11"/>
  <c r="AP8" i="6"/>
  <c r="BF8" i="6"/>
  <c r="U4" i="10"/>
  <c r="W4" i="10" s="1"/>
  <c r="AB4" i="10"/>
  <c r="P6" i="10"/>
  <c r="Q6" i="10" s="1"/>
  <c r="O7" i="10"/>
  <c r="R5" i="10"/>
  <c r="S5" i="10"/>
  <c r="T5" i="10" s="1"/>
  <c r="W5" i="6" l="1"/>
  <c r="AF5" i="6"/>
  <c r="AG5" i="6" s="1"/>
  <c r="W6" i="6"/>
  <c r="AF6" i="6"/>
  <c r="AG6" i="6" s="1"/>
  <c r="W7" i="6"/>
  <c r="AF7" i="6"/>
  <c r="AG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BZ5" i="6"/>
  <c r="BV5" i="6"/>
  <c r="BY5" i="6" s="1"/>
  <c r="N221" i="11"/>
  <c r="O221" i="11" s="1"/>
  <c r="P221" i="11" s="1"/>
  <c r="R221" i="11" s="1"/>
  <c r="Q223" i="11"/>
  <c r="A224" i="11"/>
  <c r="AP9" i="6"/>
  <c r="BF9" i="6"/>
  <c r="BC4" i="6"/>
  <c r="N7" i="10"/>
  <c r="N6" i="10"/>
  <c r="P7" i="10"/>
  <c r="Q7" i="10" s="1"/>
  <c r="O8" i="10"/>
  <c r="BW6" i="6"/>
  <c r="U5" i="10"/>
  <c r="W5" i="10" s="1"/>
  <c r="AB5" i="10"/>
  <c r="R6" i="10"/>
  <c r="S6" i="10"/>
  <c r="X6" i="6" l="1"/>
  <c r="AH6" i="6"/>
  <c r="X7" i="6"/>
  <c r="AH7" i="6"/>
  <c r="X5" i="6"/>
  <c r="AS5" i="6" s="1"/>
  <c r="AH5" i="6"/>
  <c r="W8" i="6"/>
  <c r="AF8" i="6"/>
  <c r="AG8" i="6" s="1"/>
  <c r="M11" i="6"/>
  <c r="P11" i="6" s="1"/>
  <c r="P10" i="6"/>
  <c r="R10" i="6" s="1"/>
  <c r="U8" i="6"/>
  <c r="U9" i="6"/>
  <c r="V9" i="6"/>
  <c r="BX6" i="6"/>
  <c r="BZ6" i="6"/>
  <c r="BW7" i="6"/>
  <c r="BV6" i="6"/>
  <c r="BY6" i="6" s="1"/>
  <c r="Q224" i="11"/>
  <c r="A225" i="11"/>
  <c r="N222" i="11"/>
  <c r="O222" i="11" s="1"/>
  <c r="P222" i="11" s="1"/>
  <c r="R222" i="11" s="1"/>
  <c r="AP10" i="6"/>
  <c r="BF10" i="6"/>
  <c r="AK4" i="6"/>
  <c r="AT4" i="6" s="1"/>
  <c r="AV4" i="6"/>
  <c r="AL4" i="6"/>
  <c r="AR4" i="6"/>
  <c r="T6" i="10"/>
  <c r="AB6" i="10" s="1"/>
  <c r="N8" i="10"/>
  <c r="AK5" i="6"/>
  <c r="AT5" i="6" s="1"/>
  <c r="AR5" i="6"/>
  <c r="AL5" i="6"/>
  <c r="AQ5" i="6" s="1"/>
  <c r="AV5" i="6"/>
  <c r="O9" i="10"/>
  <c r="P8" i="10"/>
  <c r="Q8" i="10" s="1"/>
  <c r="S7" i="10"/>
  <c r="T7" i="10" s="1"/>
  <c r="R7" i="10"/>
  <c r="Z6" i="6" l="1"/>
  <c r="AI6" i="6"/>
  <c r="Z5" i="6"/>
  <c r="AI5" i="6"/>
  <c r="Z7" i="6"/>
  <c r="AI7" i="6"/>
  <c r="X8" i="6"/>
  <c r="AH8" i="6"/>
  <c r="W9" i="6"/>
  <c r="AF9" i="6"/>
  <c r="AG9" i="6" s="1"/>
  <c r="M12" i="6"/>
  <c r="P12" i="6" s="1"/>
  <c r="S10" i="6"/>
  <c r="T10" i="6" s="1"/>
  <c r="U10" i="6" s="1"/>
  <c r="N11" i="6"/>
  <c r="O11" i="6" s="1"/>
  <c r="R11" i="6"/>
  <c r="S11" i="6"/>
  <c r="T11" i="6" s="1"/>
  <c r="BX7" i="6"/>
  <c r="BZ7" i="6"/>
  <c r="BW8" i="6"/>
  <c r="BV7" i="6"/>
  <c r="BY7" i="6" s="1"/>
  <c r="N223" i="11"/>
  <c r="O223" i="11" s="1"/>
  <c r="P223" i="11" s="1"/>
  <c r="R223" i="11" s="1"/>
  <c r="A226" i="11"/>
  <c r="Q225" i="11"/>
  <c r="N9" i="10"/>
  <c r="AP11" i="6"/>
  <c r="BF11" i="6"/>
  <c r="BD4" i="6"/>
  <c r="BO5" i="6"/>
  <c r="BQ5" i="6"/>
  <c r="BC5" i="6"/>
  <c r="BO4" i="6"/>
  <c r="BQ4" i="6"/>
  <c r="BD5" i="6"/>
  <c r="U6" i="10"/>
  <c r="W6" i="10" s="1"/>
  <c r="S8" i="10"/>
  <c r="T8" i="10" s="1"/>
  <c r="R8" i="10"/>
  <c r="O10" i="10"/>
  <c r="P9" i="10"/>
  <c r="Q9" i="10" s="1"/>
  <c r="U7" i="10"/>
  <c r="W7" i="10" s="1"/>
  <c r="AB7" i="10"/>
  <c r="Z8" i="6" l="1"/>
  <c r="AI8" i="6"/>
  <c r="X9" i="6"/>
  <c r="AH9" i="6"/>
  <c r="M13" i="6"/>
  <c r="N13" i="6" s="1"/>
  <c r="O13" i="6" s="1"/>
  <c r="N12" i="6"/>
  <c r="O12" i="6" s="1"/>
  <c r="V10" i="6"/>
  <c r="U11" i="6"/>
  <c r="V11" i="6"/>
  <c r="R12" i="6"/>
  <c r="S12" i="6"/>
  <c r="T12" i="6" s="1"/>
  <c r="BZ8" i="6"/>
  <c r="BX8" i="6"/>
  <c r="BV8" i="6"/>
  <c r="BY8" i="6" s="1"/>
  <c r="Q226" i="11"/>
  <c r="A227" i="11"/>
  <c r="N224" i="11"/>
  <c r="O224" i="11" s="1"/>
  <c r="P224" i="11" s="1"/>
  <c r="R224" i="11" s="1"/>
  <c r="N10" i="10"/>
  <c r="AP12" i="6"/>
  <c r="BF12" i="6"/>
  <c r="BR5" i="6"/>
  <c r="BP5" i="6"/>
  <c r="AS6" i="6"/>
  <c r="AL7" i="6"/>
  <c r="AQ7" i="6" s="1"/>
  <c r="AR7" i="6"/>
  <c r="AK7" i="6"/>
  <c r="AT7" i="6" s="1"/>
  <c r="AV7" i="6"/>
  <c r="AL6" i="6"/>
  <c r="AQ6" i="6" s="1"/>
  <c r="AV6" i="6"/>
  <c r="AR6" i="6"/>
  <c r="AK6" i="6"/>
  <c r="AT6" i="6" s="1"/>
  <c r="P10" i="10"/>
  <c r="Q10" i="10" s="1"/>
  <c r="O11" i="10"/>
  <c r="BW9" i="6"/>
  <c r="U8" i="10"/>
  <c r="W8" i="10" s="1"/>
  <c r="AB8" i="10"/>
  <c r="S9" i="10"/>
  <c r="T9" i="10" s="1"/>
  <c r="R9" i="10"/>
  <c r="Z9" i="6" l="1"/>
  <c r="AI9" i="6"/>
  <c r="W11" i="6"/>
  <c r="AF11" i="6"/>
  <c r="AG11" i="6" s="1"/>
  <c r="W10" i="6"/>
  <c r="AF10" i="6"/>
  <c r="AG10" i="6" s="1"/>
  <c r="P13" i="6"/>
  <c r="R13" i="6" s="1"/>
  <c r="M14" i="6"/>
  <c r="P14" i="6" s="1"/>
  <c r="U12" i="6"/>
  <c r="V12" i="6"/>
  <c r="BZ9" i="6"/>
  <c r="BX9" i="6"/>
  <c r="BV9" i="6"/>
  <c r="BY9" i="6" s="1"/>
  <c r="BQ7" i="6"/>
  <c r="BO7" i="6"/>
  <c r="AS7" i="6"/>
  <c r="N225" i="11"/>
  <c r="O225" i="11" s="1"/>
  <c r="P225" i="11" s="1"/>
  <c r="R225" i="11" s="1"/>
  <c r="A228" i="11"/>
  <c r="Q227" i="11"/>
  <c r="N11" i="10"/>
  <c r="AP13" i="6"/>
  <c r="BF13" i="6"/>
  <c r="BC6" i="6"/>
  <c r="BD6" i="6"/>
  <c r="BO6" i="6"/>
  <c r="BP6" i="6" s="1"/>
  <c r="BQ6" i="6"/>
  <c r="BR6" i="6" s="1"/>
  <c r="P11" i="10"/>
  <c r="Q11" i="10" s="1"/>
  <c r="O12" i="10"/>
  <c r="BW10" i="6"/>
  <c r="U9" i="10"/>
  <c r="W9" i="10" s="1"/>
  <c r="AB9" i="10"/>
  <c r="S10" i="10"/>
  <c r="T10" i="10" s="1"/>
  <c r="R10" i="10"/>
  <c r="X10" i="6" l="1"/>
  <c r="AH10" i="6"/>
  <c r="X11" i="6"/>
  <c r="AH11" i="6"/>
  <c r="W12" i="6"/>
  <c r="AF12" i="6"/>
  <c r="AG12" i="6" s="1"/>
  <c r="M15" i="6"/>
  <c r="P15" i="6" s="1"/>
  <c r="S13" i="6"/>
  <c r="T13" i="6" s="1"/>
  <c r="V13" i="6" s="1"/>
  <c r="N14" i="6"/>
  <c r="O14" i="6" s="1"/>
  <c r="R14" i="6"/>
  <c r="S14" i="6"/>
  <c r="T14" i="6" s="1"/>
  <c r="BZ10" i="6"/>
  <c r="BX10" i="6"/>
  <c r="BV10" i="6"/>
  <c r="BY10" i="6" s="1"/>
  <c r="N226" i="11"/>
  <c r="O226" i="11" s="1"/>
  <c r="P226" i="11" s="1"/>
  <c r="R226" i="11" s="1"/>
  <c r="Q228" i="11"/>
  <c r="A229" i="11"/>
  <c r="AP14" i="6"/>
  <c r="BF14" i="6"/>
  <c r="BP7" i="6"/>
  <c r="BR7" i="6"/>
  <c r="AS8" i="6"/>
  <c r="N12" i="10"/>
  <c r="AK8" i="6"/>
  <c r="AT8" i="6" s="1"/>
  <c r="AR8" i="6"/>
  <c r="AL8" i="6"/>
  <c r="AQ8" i="6" s="1"/>
  <c r="AV8" i="6"/>
  <c r="BW11" i="6"/>
  <c r="S11" i="10"/>
  <c r="T11" i="10" s="1"/>
  <c r="R11" i="10"/>
  <c r="P12" i="10"/>
  <c r="Q12" i="10" s="1"/>
  <c r="O13" i="10"/>
  <c r="U10" i="10"/>
  <c r="W10" i="10" s="1"/>
  <c r="AB10" i="10"/>
  <c r="Z11" i="6" l="1"/>
  <c r="AI11" i="6"/>
  <c r="Z10" i="6"/>
  <c r="AI10" i="6"/>
  <c r="X12" i="6"/>
  <c r="AH12" i="6"/>
  <c r="W13" i="6"/>
  <c r="AF13" i="6"/>
  <c r="AG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BZ11" i="6"/>
  <c r="BX11" i="6"/>
  <c r="BW12" i="6"/>
  <c r="BV11" i="6"/>
  <c r="BY11" i="6" s="1"/>
  <c r="BQ10" i="6"/>
  <c r="Q229" i="11"/>
  <c r="A230" i="11"/>
  <c r="N227" i="11"/>
  <c r="O227" i="11" s="1"/>
  <c r="P227" i="11" s="1"/>
  <c r="R227" i="11" s="1"/>
  <c r="N13" i="10"/>
  <c r="AP15" i="6"/>
  <c r="BF15" i="6"/>
  <c r="BQ8" i="6"/>
  <c r="BO8" i="6"/>
  <c r="AS9" i="6"/>
  <c r="AK10" i="6"/>
  <c r="AT10" i="6" s="1"/>
  <c r="AR10" i="6"/>
  <c r="AL10" i="6"/>
  <c r="AQ10" i="6" s="1"/>
  <c r="AV10" i="6"/>
  <c r="AV9" i="6"/>
  <c r="AL9" i="6"/>
  <c r="AQ9" i="6" s="1"/>
  <c r="AK9" i="6"/>
  <c r="AT9" i="6" s="1"/>
  <c r="AR9" i="6"/>
  <c r="S12" i="10"/>
  <c r="T12" i="10" s="1"/>
  <c r="R12" i="10"/>
  <c r="U11" i="10"/>
  <c r="W11" i="10" s="1"/>
  <c r="AB11" i="10"/>
  <c r="P13" i="10"/>
  <c r="Q13" i="10" s="1"/>
  <c r="O14" i="10"/>
  <c r="Z12" i="6" l="1"/>
  <c r="AI12" i="6"/>
  <c r="X13" i="6"/>
  <c r="AH13" i="6"/>
  <c r="W14" i="6"/>
  <c r="AF14" i="6"/>
  <c r="AG14" i="6" s="1"/>
  <c r="M17" i="6"/>
  <c r="P17" i="6" s="1"/>
  <c r="P16" i="6"/>
  <c r="R16" i="6" s="1"/>
  <c r="U15" i="6"/>
  <c r="V15" i="6"/>
  <c r="BZ12" i="6"/>
  <c r="BX12" i="6"/>
  <c r="BW13" i="6"/>
  <c r="BV12" i="6"/>
  <c r="BY12" i="6" s="1"/>
  <c r="BO10" i="6"/>
  <c r="AS10" i="6"/>
  <c r="N228" i="11"/>
  <c r="O228" i="11" s="1"/>
  <c r="P228" i="11" s="1"/>
  <c r="R228" i="11" s="1"/>
  <c r="Q230" i="11"/>
  <c r="A231" i="11"/>
  <c r="N14" i="10"/>
  <c r="AP16" i="6"/>
  <c r="BF16" i="6"/>
  <c r="BP8" i="6"/>
  <c r="BR8" i="6"/>
  <c r="BO9" i="6"/>
  <c r="BP9" i="6" s="1"/>
  <c r="BQ9" i="6"/>
  <c r="BR9" i="6" s="1"/>
  <c r="AS11" i="6"/>
  <c r="AL11" i="6"/>
  <c r="AQ11" i="6" s="1"/>
  <c r="AR11" i="6"/>
  <c r="AK11" i="6"/>
  <c r="AT11" i="6" s="1"/>
  <c r="AV11" i="6"/>
  <c r="P14" i="10"/>
  <c r="Q14" i="10" s="1"/>
  <c r="O15" i="10"/>
  <c r="S13" i="10"/>
  <c r="T13" i="10" s="1"/>
  <c r="R13" i="10"/>
  <c r="U12" i="10"/>
  <c r="W12" i="10" s="1"/>
  <c r="AB12" i="10"/>
  <c r="Z13" i="6" l="1"/>
  <c r="AI13" i="6"/>
  <c r="X14" i="6"/>
  <c r="AH14" i="6"/>
  <c r="W15" i="6"/>
  <c r="AF15" i="6"/>
  <c r="AG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BX13" i="6"/>
  <c r="BZ13" i="6"/>
  <c r="BW14" i="6"/>
  <c r="BV13" i="6"/>
  <c r="BY13" i="6" s="1"/>
  <c r="A232" i="11"/>
  <c r="Q231" i="11"/>
  <c r="N229" i="11"/>
  <c r="O229" i="11" s="1"/>
  <c r="P229" i="11" s="1"/>
  <c r="R229" i="11" s="1"/>
  <c r="N15" i="10"/>
  <c r="AP17" i="6"/>
  <c r="BF17" i="6"/>
  <c r="BR10" i="6"/>
  <c r="BP10" i="6"/>
  <c r="BO11" i="6"/>
  <c r="BP11" i="6" s="1"/>
  <c r="BQ11" i="6"/>
  <c r="BR11" i="6" s="1"/>
  <c r="U13" i="10"/>
  <c r="W13" i="10" s="1"/>
  <c r="AB13" i="10"/>
  <c r="O16" i="10"/>
  <c r="P15" i="10"/>
  <c r="Q15" i="10" s="1"/>
  <c r="S14" i="10"/>
  <c r="T14" i="10" s="1"/>
  <c r="R14" i="10"/>
  <c r="Z14" i="6" l="1"/>
  <c r="AI14" i="6"/>
  <c r="X15" i="6"/>
  <c r="AH15" i="6"/>
  <c r="V16" i="6"/>
  <c r="P18" i="6"/>
  <c r="R18" i="6" s="1"/>
  <c r="M19" i="6"/>
  <c r="N19" i="6" s="1"/>
  <c r="O19" i="6" s="1"/>
  <c r="U17" i="6"/>
  <c r="V17" i="6"/>
  <c r="BX14" i="6"/>
  <c r="BZ14" i="6"/>
  <c r="BW15" i="6"/>
  <c r="BV14" i="6"/>
  <c r="BY14" i="6" s="1"/>
  <c r="N230" i="11"/>
  <c r="O230" i="11" s="1"/>
  <c r="P230" i="11" s="1"/>
  <c r="R230" i="11" s="1"/>
  <c r="Q232" i="11"/>
  <c r="A233" i="11"/>
  <c r="AP18" i="6"/>
  <c r="BF18" i="6"/>
  <c r="AS12" i="6"/>
  <c r="AR12" i="6"/>
  <c r="AL12" i="6"/>
  <c r="AQ12" i="6" s="1"/>
  <c r="AV12" i="6"/>
  <c r="AK12" i="6"/>
  <c r="AT12" i="6" s="1"/>
  <c r="N16" i="10"/>
  <c r="S15" i="10"/>
  <c r="T15" i="10" s="1"/>
  <c r="R15" i="10"/>
  <c r="P16" i="10"/>
  <c r="Q16" i="10" s="1"/>
  <c r="O17" i="10"/>
  <c r="U14" i="10"/>
  <c r="W14" i="10" s="1"/>
  <c r="AB14" i="10"/>
  <c r="Z15" i="6" l="1"/>
  <c r="AI15" i="6"/>
  <c r="W17" i="6"/>
  <c r="AF17" i="6"/>
  <c r="AG17" i="6" s="1"/>
  <c r="W16" i="6"/>
  <c r="AF16" i="6"/>
  <c r="AG16" i="6" s="1"/>
  <c r="S18" i="6"/>
  <c r="T18" i="6" s="1"/>
  <c r="U18" i="6" s="1"/>
  <c r="P19" i="6"/>
  <c r="R19" i="6" s="1"/>
  <c r="M20" i="6"/>
  <c r="N20" i="6" s="1"/>
  <c r="O20" i="6" s="1"/>
  <c r="BX15" i="6"/>
  <c r="BZ15" i="6"/>
  <c r="BW16" i="6"/>
  <c r="BV15" i="6"/>
  <c r="BY15" i="6" s="1"/>
  <c r="Q233" i="11"/>
  <c r="A234" i="11"/>
  <c r="N231" i="11"/>
  <c r="O231" i="11" s="1"/>
  <c r="P231" i="11" s="1"/>
  <c r="R231" i="11" s="1"/>
  <c r="N17" i="10"/>
  <c r="AP19" i="6"/>
  <c r="BF19" i="6"/>
  <c r="BO12" i="6"/>
  <c r="BQ12" i="6"/>
  <c r="AS14" i="6"/>
  <c r="AS13" i="6"/>
  <c r="AR13" i="6"/>
  <c r="AL13" i="6"/>
  <c r="AQ13" i="6" s="1"/>
  <c r="AK13" i="6"/>
  <c r="AT13" i="6" s="1"/>
  <c r="AV13" i="6"/>
  <c r="U15" i="10"/>
  <c r="W15" i="10" s="1"/>
  <c r="AB15" i="10"/>
  <c r="S16" i="10"/>
  <c r="T16" i="10" s="1"/>
  <c r="R16" i="10"/>
  <c r="AL14" i="6"/>
  <c r="AQ14" i="6" s="1"/>
  <c r="AK14" i="6"/>
  <c r="AT14" i="6" s="1"/>
  <c r="AR14" i="6"/>
  <c r="AV14" i="6"/>
  <c r="O18" i="10"/>
  <c r="P17" i="10"/>
  <c r="Q17" i="10" s="1"/>
  <c r="X16" i="6" l="1"/>
  <c r="AH16" i="6"/>
  <c r="X17" i="6"/>
  <c r="AH17" i="6"/>
  <c r="S19" i="6"/>
  <c r="T19" i="6" s="1"/>
  <c r="V19" i="6" s="1"/>
  <c r="V18" i="6"/>
  <c r="P20" i="6"/>
  <c r="S20" i="6" s="1"/>
  <c r="T20" i="6" s="1"/>
  <c r="M21" i="6"/>
  <c r="P21" i="6" s="1"/>
  <c r="BZ16" i="6"/>
  <c r="BX16" i="6"/>
  <c r="BV16" i="6"/>
  <c r="BY16" i="6" s="1"/>
  <c r="AS15" i="6"/>
  <c r="N232" i="11"/>
  <c r="O232" i="11" s="1"/>
  <c r="P232" i="11" s="1"/>
  <c r="R232" i="11" s="1"/>
  <c r="A235" i="11"/>
  <c r="Q234" i="11"/>
  <c r="N18" i="10"/>
  <c r="AP20" i="6"/>
  <c r="BF20" i="6"/>
  <c r="BQ13" i="6"/>
  <c r="BR13" i="6" s="1"/>
  <c r="BO13" i="6"/>
  <c r="BP13" i="6" s="1"/>
  <c r="BO14" i="6"/>
  <c r="BQ14" i="6"/>
  <c r="BR12" i="6"/>
  <c r="BP12" i="6"/>
  <c r="AV15" i="6"/>
  <c r="AR15" i="6"/>
  <c r="AL15" i="6"/>
  <c r="AQ15" i="6" s="1"/>
  <c r="AK15" i="6"/>
  <c r="AT15" i="6" s="1"/>
  <c r="U16" i="10"/>
  <c r="W16" i="10" s="1"/>
  <c r="AB16" i="10"/>
  <c r="S17" i="10"/>
  <c r="T17" i="10" s="1"/>
  <c r="R17" i="10"/>
  <c r="P18" i="10"/>
  <c r="Q18" i="10" s="1"/>
  <c r="O19" i="10"/>
  <c r="BW17" i="6"/>
  <c r="Z17" i="6" l="1"/>
  <c r="AI17" i="6"/>
  <c r="Z16" i="6"/>
  <c r="AI16" i="6"/>
  <c r="W18" i="6"/>
  <c r="AF18" i="6"/>
  <c r="AG18" i="6" s="1"/>
  <c r="W19" i="6"/>
  <c r="AF19" i="6"/>
  <c r="AG19" i="6" s="1"/>
  <c r="U19" i="6"/>
  <c r="N21" i="6"/>
  <c r="O21" i="6" s="1"/>
  <c r="M22" i="6"/>
  <c r="P22" i="6" s="1"/>
  <c r="R20" i="6"/>
  <c r="U20" i="6"/>
  <c r="V20" i="6"/>
  <c r="R21" i="6"/>
  <c r="S21" i="6"/>
  <c r="T21" i="6" s="1"/>
  <c r="BZ17" i="6"/>
  <c r="BX17" i="6"/>
  <c r="BV17" i="6"/>
  <c r="BY17" i="6" s="1"/>
  <c r="BQ15" i="6"/>
  <c r="BR15" i="6" s="1"/>
  <c r="BO15" i="6"/>
  <c r="BP15" i="6" s="1"/>
  <c r="AS16" i="6"/>
  <c r="A236" i="11"/>
  <c r="Q235" i="11"/>
  <c r="N233" i="11"/>
  <c r="O233" i="11" s="1"/>
  <c r="P233" i="11" s="1"/>
  <c r="R233" i="11" s="1"/>
  <c r="N19" i="10"/>
  <c r="AP21" i="6"/>
  <c r="BF21" i="6"/>
  <c r="BR14" i="6"/>
  <c r="BP14" i="6"/>
  <c r="U17" i="10"/>
  <c r="W17" i="10" s="1"/>
  <c r="AB17" i="10"/>
  <c r="BW18" i="6"/>
  <c r="P19" i="10"/>
  <c r="Q19" i="10" s="1"/>
  <c r="O20" i="10"/>
  <c r="R18" i="10"/>
  <c r="S18" i="10"/>
  <c r="T18" i="10" s="1"/>
  <c r="AK16" i="6"/>
  <c r="AT16" i="6" s="1"/>
  <c r="AL16" i="6"/>
  <c r="AQ16" i="6" s="1"/>
  <c r="AV16" i="6"/>
  <c r="AR16" i="6"/>
  <c r="X19" i="6" l="1"/>
  <c r="AH19" i="6"/>
  <c r="X18" i="6"/>
  <c r="AH18" i="6"/>
  <c r="W20" i="6"/>
  <c r="AF20" i="6"/>
  <c r="AG20" i="6" s="1"/>
  <c r="M23" i="6"/>
  <c r="P23" i="6" s="1"/>
  <c r="N22" i="6"/>
  <c r="O22" i="6" s="1"/>
  <c r="U21" i="6"/>
  <c r="V21" i="6"/>
  <c r="R22" i="6"/>
  <c r="S22" i="6"/>
  <c r="T22" i="6" s="1"/>
  <c r="BZ18" i="6"/>
  <c r="BX18" i="6"/>
  <c r="BW19" i="6"/>
  <c r="BV18" i="6"/>
  <c r="BY18" i="6" s="1"/>
  <c r="BO16" i="6"/>
  <c r="BP16" i="6" s="1"/>
  <c r="BQ16" i="6"/>
  <c r="BR16" i="6" s="1"/>
  <c r="N234" i="11"/>
  <c r="O234" i="11" s="1"/>
  <c r="P234" i="11" s="1"/>
  <c r="R234" i="11" s="1"/>
  <c r="Q236" i="11"/>
  <c r="A237" i="11"/>
  <c r="N20" i="10"/>
  <c r="AP22" i="6"/>
  <c r="BF22" i="6"/>
  <c r="O21" i="10"/>
  <c r="P20" i="10"/>
  <c r="Q20" i="10" s="1"/>
  <c r="S19" i="10"/>
  <c r="T19" i="10" s="1"/>
  <c r="R19" i="10"/>
  <c r="U18" i="10"/>
  <c r="W18" i="10" s="1"/>
  <c r="AB18" i="10"/>
  <c r="Z18" i="6" l="1"/>
  <c r="AI18" i="6"/>
  <c r="Z19" i="6"/>
  <c r="AI19" i="6"/>
  <c r="X20" i="6"/>
  <c r="AH20" i="6"/>
  <c r="W21" i="6"/>
  <c r="AF21" i="6"/>
  <c r="AG21" i="6" s="1"/>
  <c r="N23" i="6"/>
  <c r="O23" i="6" s="1"/>
  <c r="M24" i="6"/>
  <c r="N24" i="6" s="1"/>
  <c r="O24" i="6" s="1"/>
  <c r="U22" i="6"/>
  <c r="V22" i="6"/>
  <c r="R23" i="6"/>
  <c r="S23" i="6"/>
  <c r="T23" i="6" s="1"/>
  <c r="BZ19" i="6"/>
  <c r="BX19" i="6"/>
  <c r="BW20" i="6"/>
  <c r="BV19" i="6"/>
  <c r="BY19" i="6" s="1"/>
  <c r="AS18" i="6"/>
  <c r="Q237" i="11"/>
  <c r="A238" i="11"/>
  <c r="N235" i="11"/>
  <c r="O235" i="11" s="1"/>
  <c r="P235" i="11" s="1"/>
  <c r="R235" i="11" s="1"/>
  <c r="N21" i="10"/>
  <c r="AP23" i="6"/>
  <c r="BF23" i="6"/>
  <c r="AS17" i="6"/>
  <c r="AK17" i="6"/>
  <c r="AT17" i="6" s="1"/>
  <c r="AL17" i="6"/>
  <c r="AQ17" i="6" s="1"/>
  <c r="AV17" i="6"/>
  <c r="AR17" i="6"/>
  <c r="AR18" i="6"/>
  <c r="AK18" i="6"/>
  <c r="AT18" i="6" s="1"/>
  <c r="AV18" i="6"/>
  <c r="AL18" i="6"/>
  <c r="AQ18" i="6" s="1"/>
  <c r="S20" i="10"/>
  <c r="T20" i="10" s="1"/>
  <c r="R20" i="10"/>
  <c r="U19" i="10"/>
  <c r="W19" i="10" s="1"/>
  <c r="AB19" i="10"/>
  <c r="O22" i="10"/>
  <c r="P21" i="10"/>
  <c r="Q21" i="10" s="1"/>
  <c r="Z20" i="6" l="1"/>
  <c r="AI20" i="6"/>
  <c r="X21" i="6"/>
  <c r="AH21" i="6"/>
  <c r="W22" i="6"/>
  <c r="AF22" i="6"/>
  <c r="AG22" i="6" s="1"/>
  <c r="M25" i="6"/>
  <c r="N25" i="6" s="1"/>
  <c r="O25" i="6" s="1"/>
  <c r="P24" i="6"/>
  <c r="R24" i="6" s="1"/>
  <c r="U23" i="6"/>
  <c r="V23" i="6"/>
  <c r="BZ20" i="6"/>
  <c r="BX20" i="6"/>
  <c r="BW21" i="6"/>
  <c r="BV20" i="6"/>
  <c r="BY20" i="6" s="1"/>
  <c r="BQ18" i="6"/>
  <c r="BO18" i="6"/>
  <c r="N236" i="11"/>
  <c r="O236" i="11" s="1"/>
  <c r="P236" i="11" s="1"/>
  <c r="R236" i="11" s="1"/>
  <c r="Q238" i="11"/>
  <c r="A239" i="11"/>
  <c r="AP24" i="6"/>
  <c r="BF24" i="6"/>
  <c r="BO17" i="6"/>
  <c r="BP17" i="6" s="1"/>
  <c r="BQ17" i="6"/>
  <c r="BR17" i="6" s="1"/>
  <c r="AS19" i="6"/>
  <c r="AL19" i="6"/>
  <c r="AQ19" i="6" s="1"/>
  <c r="AR19" i="6"/>
  <c r="AK19" i="6"/>
  <c r="AT19" i="6" s="1"/>
  <c r="AV19" i="6"/>
  <c r="N22" i="10"/>
  <c r="P22" i="10"/>
  <c r="Q22" i="10" s="1"/>
  <c r="O23" i="10"/>
  <c r="U20" i="10"/>
  <c r="W20" i="10" s="1"/>
  <c r="AB20" i="10"/>
  <c r="R21" i="10"/>
  <c r="S21" i="10"/>
  <c r="T21" i="10" s="1"/>
  <c r="Z21" i="6" l="1"/>
  <c r="AI21" i="6"/>
  <c r="X22" i="6"/>
  <c r="AH22" i="6"/>
  <c r="W23" i="6"/>
  <c r="AF23" i="6"/>
  <c r="AG23" i="6" s="1"/>
  <c r="S24" i="6"/>
  <c r="T24" i="6" s="1"/>
  <c r="U24" i="6" s="1"/>
  <c r="M26" i="6"/>
  <c r="P26" i="6" s="1"/>
  <c r="P25" i="6"/>
  <c r="R25" i="6" s="1"/>
  <c r="BX21" i="6"/>
  <c r="BZ21" i="6"/>
  <c r="BW22" i="6"/>
  <c r="BV21" i="6"/>
  <c r="BY21" i="6" s="1"/>
  <c r="N237" i="11"/>
  <c r="O237" i="11" s="1"/>
  <c r="P237" i="11" s="1"/>
  <c r="R237" i="11" s="1"/>
  <c r="Q239" i="11"/>
  <c r="A240" i="11"/>
  <c r="AP25" i="6"/>
  <c r="BF25" i="6"/>
  <c r="BP18" i="6"/>
  <c r="BR18" i="6"/>
  <c r="BO19" i="6"/>
  <c r="BP19" i="6" s="1"/>
  <c r="BQ19" i="6"/>
  <c r="BR19" i="6" s="1"/>
  <c r="AS20" i="6"/>
  <c r="N23" i="10"/>
  <c r="AR20" i="6"/>
  <c r="AK20" i="6"/>
  <c r="AT20" i="6" s="1"/>
  <c r="AL20" i="6"/>
  <c r="AQ20" i="6" s="1"/>
  <c r="AV20" i="6"/>
  <c r="S22" i="10"/>
  <c r="T22" i="10" s="1"/>
  <c r="R22" i="10"/>
  <c r="U21" i="10"/>
  <c r="W21" i="10" s="1"/>
  <c r="AB21" i="10"/>
  <c r="O24" i="10"/>
  <c r="P23" i="10"/>
  <c r="Q23" i="10" s="1"/>
  <c r="Z22" i="6" l="1"/>
  <c r="AI22" i="6"/>
  <c r="X23" i="6"/>
  <c r="AH23" i="6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BX22" i="6"/>
  <c r="BZ22" i="6"/>
  <c r="BW23" i="6"/>
  <c r="BV22" i="6"/>
  <c r="BY22" i="6" s="1"/>
  <c r="N238" i="11"/>
  <c r="O238" i="11" s="1"/>
  <c r="P238" i="11" s="1"/>
  <c r="R238" i="11" s="1"/>
  <c r="Q240" i="11"/>
  <c r="A241" i="11"/>
  <c r="N24" i="10"/>
  <c r="AP26" i="6"/>
  <c r="BF26" i="6"/>
  <c r="BO20" i="6"/>
  <c r="BQ20" i="6"/>
  <c r="S23" i="10"/>
  <c r="T23" i="10" s="1"/>
  <c r="R23" i="10"/>
  <c r="O25" i="10"/>
  <c r="P24" i="10"/>
  <c r="Q24" i="10" s="1"/>
  <c r="U22" i="10"/>
  <c r="W22" i="10" s="1"/>
  <c r="AB22" i="10"/>
  <c r="Z23" i="6" l="1"/>
  <c r="AI23" i="6"/>
  <c r="W24" i="6"/>
  <c r="AF24" i="6"/>
  <c r="AG24" i="6" s="1"/>
  <c r="W25" i="6"/>
  <c r="AF25" i="6"/>
  <c r="AG25" i="6" s="1"/>
  <c r="M28" i="6"/>
  <c r="P28" i="6" s="1"/>
  <c r="P27" i="6"/>
  <c r="R27" i="6" s="1"/>
  <c r="U25" i="6"/>
  <c r="U26" i="6"/>
  <c r="V26" i="6"/>
  <c r="BX23" i="6"/>
  <c r="BZ23" i="6"/>
  <c r="BV23" i="6"/>
  <c r="BY23" i="6" s="1"/>
  <c r="A242" i="11"/>
  <c r="Q241" i="11"/>
  <c r="N239" i="11"/>
  <c r="O239" i="11" s="1"/>
  <c r="P239" i="11" s="1"/>
  <c r="R239" i="11" s="1"/>
  <c r="N25" i="10"/>
  <c r="AP27" i="6"/>
  <c r="BF27" i="6"/>
  <c r="BR20" i="6"/>
  <c r="BP20" i="6"/>
  <c r="AS21" i="6"/>
  <c r="AV21" i="6"/>
  <c r="AR21" i="6"/>
  <c r="AL21" i="6"/>
  <c r="AQ21" i="6" s="1"/>
  <c r="AK21" i="6"/>
  <c r="AT21" i="6" s="1"/>
  <c r="U23" i="10"/>
  <c r="W23" i="10" s="1"/>
  <c r="AB23" i="10"/>
  <c r="S24" i="10"/>
  <c r="T24" i="10" s="1"/>
  <c r="R24" i="10"/>
  <c r="P25" i="10"/>
  <c r="Q25" i="10" s="1"/>
  <c r="O26" i="10"/>
  <c r="BW24" i="6"/>
  <c r="X25" i="6" l="1"/>
  <c r="AH25" i="6"/>
  <c r="X24" i="6"/>
  <c r="AH24" i="6"/>
  <c r="W26" i="6"/>
  <c r="AF26" i="6"/>
  <c r="AG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BZ24" i="6"/>
  <c r="BX24" i="6"/>
  <c r="BW25" i="6"/>
  <c r="BV24" i="6"/>
  <c r="BY24" i="6" s="1"/>
  <c r="AS23" i="6"/>
  <c r="N240" i="11"/>
  <c r="O240" i="11" s="1"/>
  <c r="P240" i="11" s="1"/>
  <c r="R240" i="11" s="1"/>
  <c r="Q242" i="11"/>
  <c r="A243" i="11"/>
  <c r="N26" i="10"/>
  <c r="AP28" i="6"/>
  <c r="BF28" i="6"/>
  <c r="BQ21" i="6"/>
  <c r="BR21" i="6" s="1"/>
  <c r="BO21" i="6"/>
  <c r="BP21" i="6" s="1"/>
  <c r="AS22" i="6"/>
  <c r="AK22" i="6"/>
  <c r="AT22" i="6" s="1"/>
  <c r="AV22" i="6"/>
  <c r="AR22" i="6"/>
  <c r="AL22" i="6"/>
  <c r="AQ22" i="6" s="1"/>
  <c r="AK23" i="6"/>
  <c r="AT23" i="6" s="1"/>
  <c r="AL23" i="6"/>
  <c r="AQ23" i="6" s="1"/>
  <c r="AV23" i="6"/>
  <c r="AR23" i="6"/>
  <c r="S25" i="10"/>
  <c r="T25" i="10" s="1"/>
  <c r="R25" i="10"/>
  <c r="U24" i="10"/>
  <c r="W24" i="10" s="1"/>
  <c r="AB24" i="10"/>
  <c r="O27" i="10"/>
  <c r="P26" i="10"/>
  <c r="Q26" i="10" s="1"/>
  <c r="Z24" i="6" l="1"/>
  <c r="AI24" i="6"/>
  <c r="Z25" i="6"/>
  <c r="AI25" i="6"/>
  <c r="X26" i="6"/>
  <c r="AH26" i="6"/>
  <c r="M30" i="6"/>
  <c r="N30" i="6" s="1"/>
  <c r="O30" i="6" s="1"/>
  <c r="P29" i="6"/>
  <c r="R29" i="6" s="1"/>
  <c r="V27" i="6"/>
  <c r="U28" i="6"/>
  <c r="V28" i="6"/>
  <c r="BZ25" i="6"/>
  <c r="BX25" i="6"/>
  <c r="BW26" i="6"/>
  <c r="BV25" i="6"/>
  <c r="BY25" i="6" s="1"/>
  <c r="BQ23" i="6"/>
  <c r="BO23" i="6"/>
  <c r="A244" i="11"/>
  <c r="Q243" i="11"/>
  <c r="N241" i="11"/>
  <c r="O241" i="11" s="1"/>
  <c r="P241" i="11" s="1"/>
  <c r="R241" i="11" s="1"/>
  <c r="AP29" i="6"/>
  <c r="BF29" i="6"/>
  <c r="BO22" i="6"/>
  <c r="BQ22" i="6"/>
  <c r="AV24" i="6"/>
  <c r="AR24" i="6"/>
  <c r="AK24" i="6"/>
  <c r="AT24" i="6" s="1"/>
  <c r="AL24" i="6"/>
  <c r="AQ24" i="6" s="1"/>
  <c r="N27" i="10"/>
  <c r="S26" i="10"/>
  <c r="T26" i="10" s="1"/>
  <c r="R26" i="10"/>
  <c r="O28" i="10"/>
  <c r="P27" i="10"/>
  <c r="Q27" i="10" s="1"/>
  <c r="U25" i="10"/>
  <c r="W25" i="10" s="1"/>
  <c r="AB25" i="10"/>
  <c r="Z26" i="6" l="1"/>
  <c r="AI26" i="6"/>
  <c r="W28" i="6"/>
  <c r="AF28" i="6"/>
  <c r="AG28" i="6" s="1"/>
  <c r="W27" i="6"/>
  <c r="AF27" i="6"/>
  <c r="AG27" i="6" s="1"/>
  <c r="S29" i="6"/>
  <c r="T29" i="6" s="1"/>
  <c r="V29" i="6" s="1"/>
  <c r="P30" i="6"/>
  <c r="R30" i="6" s="1"/>
  <c r="M31" i="6"/>
  <c r="N31" i="6" s="1"/>
  <c r="O31" i="6" s="1"/>
  <c r="BZ26" i="6"/>
  <c r="BX26" i="6"/>
  <c r="BW27" i="6"/>
  <c r="BV26" i="6"/>
  <c r="BY26" i="6" s="1"/>
  <c r="BQ24" i="6"/>
  <c r="BR24" i="6" s="1"/>
  <c r="AS24" i="6"/>
  <c r="BO24" i="6"/>
  <c r="BP24" i="6" s="1"/>
  <c r="N242" i="11"/>
  <c r="O242" i="11" s="1"/>
  <c r="P242" i="11" s="1"/>
  <c r="R242" i="11" s="1"/>
  <c r="A245" i="11"/>
  <c r="Q244" i="11"/>
  <c r="N28" i="10"/>
  <c r="AP30" i="6"/>
  <c r="BF30" i="6"/>
  <c r="BR23" i="6"/>
  <c r="BR22" i="6"/>
  <c r="BP23" i="6"/>
  <c r="BP22" i="6"/>
  <c r="R27" i="10"/>
  <c r="S27" i="10"/>
  <c r="T27" i="10" s="1"/>
  <c r="O29" i="10"/>
  <c r="P28" i="10"/>
  <c r="Q28" i="10" s="1"/>
  <c r="U26" i="10"/>
  <c r="W26" i="10" s="1"/>
  <c r="AB26" i="10"/>
  <c r="X27" i="6" l="1"/>
  <c r="AH27" i="6"/>
  <c r="X28" i="6"/>
  <c r="AH28" i="6"/>
  <c r="W29" i="6"/>
  <c r="AF29" i="6"/>
  <c r="AG29" i="6" s="1"/>
  <c r="U29" i="6"/>
  <c r="M32" i="6"/>
  <c r="N32" i="6" s="1"/>
  <c r="O32" i="6" s="1"/>
  <c r="P31" i="6"/>
  <c r="R31" i="6" s="1"/>
  <c r="S30" i="6"/>
  <c r="T30" i="6" s="1"/>
  <c r="U30" i="6" s="1"/>
  <c r="BZ27" i="6"/>
  <c r="BX27" i="6"/>
  <c r="BW28" i="6"/>
  <c r="BV27" i="6"/>
  <c r="BY27" i="6" s="1"/>
  <c r="AS25" i="6"/>
  <c r="Q245" i="11"/>
  <c r="A246" i="11"/>
  <c r="N243" i="11"/>
  <c r="O243" i="11" s="1"/>
  <c r="P243" i="11" s="1"/>
  <c r="R243" i="11" s="1"/>
  <c r="AP31" i="6"/>
  <c r="BF31" i="6"/>
  <c r="N29" i="10"/>
  <c r="AK25" i="6"/>
  <c r="AT25" i="6" s="1"/>
  <c r="AL25" i="6"/>
  <c r="AQ25" i="6" s="1"/>
  <c r="AV25" i="6"/>
  <c r="AR25" i="6"/>
  <c r="O30" i="10"/>
  <c r="P29" i="10"/>
  <c r="Q29" i="10" s="1"/>
  <c r="S28" i="10"/>
  <c r="T28" i="10" s="1"/>
  <c r="R28" i="10"/>
  <c r="U27" i="10"/>
  <c r="W27" i="10" s="1"/>
  <c r="AB27" i="10"/>
  <c r="Z27" i="6" l="1"/>
  <c r="AI27" i="6"/>
  <c r="Z28" i="6"/>
  <c r="AI28" i="6"/>
  <c r="X29" i="6"/>
  <c r="AH29" i="6"/>
  <c r="M33" i="6"/>
  <c r="P33" i="6" s="1"/>
  <c r="P32" i="6"/>
  <c r="R32" i="6" s="1"/>
  <c r="S31" i="6"/>
  <c r="T31" i="6" s="1"/>
  <c r="U31" i="6" s="1"/>
  <c r="V30" i="6"/>
  <c r="BZ28" i="6"/>
  <c r="BX28" i="6"/>
  <c r="BW29" i="6"/>
  <c r="BV28" i="6"/>
  <c r="BY28" i="6" s="1"/>
  <c r="BQ25" i="6"/>
  <c r="BR25" i="6" s="1"/>
  <c r="BO25" i="6"/>
  <c r="BP25" i="6" s="1"/>
  <c r="AS26" i="6"/>
  <c r="N244" i="11"/>
  <c r="O244" i="11" s="1"/>
  <c r="P244" i="11" s="1"/>
  <c r="R244" i="11" s="1"/>
  <c r="A247" i="11"/>
  <c r="Q246" i="11"/>
  <c r="AP32" i="6"/>
  <c r="BF32" i="6"/>
  <c r="AS27" i="6"/>
  <c r="AK26" i="6"/>
  <c r="AT26" i="6" s="1"/>
  <c r="AL26" i="6"/>
  <c r="AQ26" i="6" s="1"/>
  <c r="AR26" i="6"/>
  <c r="AV26" i="6"/>
  <c r="N30" i="10"/>
  <c r="AL27" i="6"/>
  <c r="AQ27" i="6" s="1"/>
  <c r="AR27" i="6"/>
  <c r="U28" i="10"/>
  <c r="W28" i="10" s="1"/>
  <c r="AB28" i="10"/>
  <c r="AV27" i="6"/>
  <c r="AK27" i="6"/>
  <c r="AT27" i="6" s="1"/>
  <c r="S29" i="10"/>
  <c r="T29" i="10" s="1"/>
  <c r="R29" i="10"/>
  <c r="O31" i="10"/>
  <c r="P30" i="10"/>
  <c r="Q30" i="10" s="1"/>
  <c r="Z29" i="6" l="1"/>
  <c r="AI29" i="6"/>
  <c r="W30" i="6"/>
  <c r="AF30" i="6"/>
  <c r="AG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BX29" i="6"/>
  <c r="BZ29" i="6"/>
  <c r="BW30" i="6"/>
  <c r="BV29" i="6"/>
  <c r="BY29" i="6" s="1"/>
  <c r="BQ26" i="6"/>
  <c r="BR26" i="6" s="1"/>
  <c r="BO26" i="6"/>
  <c r="BP26" i="6" s="1"/>
  <c r="Q247" i="11"/>
  <c r="A248" i="11"/>
  <c r="N245" i="11"/>
  <c r="O245" i="11" s="1"/>
  <c r="P245" i="11" s="1"/>
  <c r="R245" i="11" s="1"/>
  <c r="AP33" i="6"/>
  <c r="BF33" i="6"/>
  <c r="BO27" i="6"/>
  <c r="BQ27" i="6"/>
  <c r="AR28" i="6"/>
  <c r="AK28" i="6"/>
  <c r="AT28" i="6" s="1"/>
  <c r="AL28" i="6"/>
  <c r="AQ28" i="6" s="1"/>
  <c r="AV28" i="6"/>
  <c r="N31" i="10"/>
  <c r="P31" i="10"/>
  <c r="Q31" i="10" s="1"/>
  <c r="O32" i="10"/>
  <c r="S30" i="10"/>
  <c r="T30" i="10" s="1"/>
  <c r="R30" i="10"/>
  <c r="U29" i="10"/>
  <c r="W29" i="10" s="1"/>
  <c r="AB29" i="10"/>
  <c r="X30" i="6" l="1"/>
  <c r="AH30" i="6"/>
  <c r="W31" i="6"/>
  <c r="AF31" i="6"/>
  <c r="AG31" i="6" s="1"/>
  <c r="M35" i="6"/>
  <c r="P35" i="6" s="1"/>
  <c r="P34" i="6"/>
  <c r="S34" i="6" s="1"/>
  <c r="T34" i="6" s="1"/>
  <c r="V32" i="6"/>
  <c r="U33" i="6"/>
  <c r="V33" i="6"/>
  <c r="BX30" i="6"/>
  <c r="BZ30" i="6"/>
  <c r="BW31" i="6"/>
  <c r="BV30" i="6"/>
  <c r="BY30" i="6" s="1"/>
  <c r="BP27" i="6"/>
  <c r="BR27" i="6"/>
  <c r="AS28" i="6"/>
  <c r="BQ28" i="6"/>
  <c r="BR28" i="6" s="1"/>
  <c r="BO28" i="6"/>
  <c r="BP28" i="6" s="1"/>
  <c r="N246" i="11"/>
  <c r="O246" i="11" s="1"/>
  <c r="P246" i="11" s="1"/>
  <c r="R246" i="11" s="1"/>
  <c r="Q248" i="11"/>
  <c r="A249" i="11"/>
  <c r="N32" i="10"/>
  <c r="AP34" i="6"/>
  <c r="BF34" i="6"/>
  <c r="AS29" i="6"/>
  <c r="AL29" i="6"/>
  <c r="AQ29" i="6" s="1"/>
  <c r="AR29" i="6"/>
  <c r="AK29" i="6"/>
  <c r="AT29" i="6" s="1"/>
  <c r="AV29" i="6"/>
  <c r="R31" i="10"/>
  <c r="S31" i="10"/>
  <c r="T31" i="10" s="1"/>
  <c r="O33" i="10"/>
  <c r="P32" i="10"/>
  <c r="Q32" i="10" s="1"/>
  <c r="U30" i="10"/>
  <c r="W30" i="10" s="1"/>
  <c r="AB30" i="10"/>
  <c r="Z30" i="6" l="1"/>
  <c r="AI30" i="6"/>
  <c r="X31" i="6"/>
  <c r="AH31" i="6"/>
  <c r="W33" i="6"/>
  <c r="AF33" i="6"/>
  <c r="AG33" i="6" s="1"/>
  <c r="W32" i="6"/>
  <c r="AF32" i="6"/>
  <c r="AG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BX31" i="6"/>
  <c r="BZ31" i="6"/>
  <c r="BW32" i="6"/>
  <c r="BV31" i="6"/>
  <c r="BY31" i="6" s="1"/>
  <c r="Q249" i="11"/>
  <c r="A250" i="11"/>
  <c r="N247" i="11"/>
  <c r="O247" i="11" s="1"/>
  <c r="P247" i="11" s="1"/>
  <c r="R247" i="11" s="1"/>
  <c r="N33" i="10"/>
  <c r="AP35" i="6"/>
  <c r="BF35" i="6"/>
  <c r="BQ29" i="6"/>
  <c r="BR29" i="6" s="1"/>
  <c r="BO29" i="6"/>
  <c r="BP29" i="6" s="1"/>
  <c r="AS30" i="6"/>
  <c r="AV30" i="6"/>
  <c r="AK30" i="6"/>
  <c r="AT30" i="6" s="1"/>
  <c r="AL30" i="6"/>
  <c r="AQ30" i="6" s="1"/>
  <c r="AR30" i="6"/>
  <c r="O34" i="10"/>
  <c r="P33" i="10"/>
  <c r="Q33" i="10" s="1"/>
  <c r="S32" i="10"/>
  <c r="T32" i="10" s="1"/>
  <c r="R32" i="10"/>
  <c r="U31" i="10"/>
  <c r="W31" i="10" s="1"/>
  <c r="AB31" i="10"/>
  <c r="Z31" i="6" l="1"/>
  <c r="AI31" i="6"/>
  <c r="X33" i="6"/>
  <c r="AH33" i="6"/>
  <c r="X32" i="6"/>
  <c r="AH32" i="6"/>
  <c r="W34" i="6"/>
  <c r="AF34" i="6"/>
  <c r="AG34" i="6" s="1"/>
  <c r="M37" i="6"/>
  <c r="P37" i="6" s="1"/>
  <c r="P36" i="6"/>
  <c r="R36" i="6" s="1"/>
  <c r="U35" i="6"/>
  <c r="V35" i="6"/>
  <c r="BZ32" i="6"/>
  <c r="BX32" i="6"/>
  <c r="BW33" i="6"/>
  <c r="BV32" i="6"/>
  <c r="BY32" i="6" s="1"/>
  <c r="A251" i="11"/>
  <c r="Q250" i="11"/>
  <c r="N248" i="11"/>
  <c r="O248" i="11" s="1"/>
  <c r="P248" i="11" s="1"/>
  <c r="R248" i="11" s="1"/>
  <c r="N34" i="10"/>
  <c r="AP36" i="6"/>
  <c r="BF36" i="6"/>
  <c r="BO30" i="6"/>
  <c r="BQ30" i="6"/>
  <c r="AS31" i="6"/>
  <c r="AK31" i="6"/>
  <c r="AT31" i="6" s="1"/>
  <c r="AR31" i="6"/>
  <c r="AL31" i="6"/>
  <c r="AQ31" i="6" s="1"/>
  <c r="AV31" i="6"/>
  <c r="U32" i="10"/>
  <c r="W32" i="10" s="1"/>
  <c r="AB32" i="10"/>
  <c r="R33" i="10"/>
  <c r="S33" i="10"/>
  <c r="T33" i="10" s="1"/>
  <c r="P34" i="10"/>
  <c r="Q34" i="10" s="1"/>
  <c r="O35" i="10"/>
  <c r="Z32" i="6" l="1"/>
  <c r="AI32" i="6"/>
  <c r="Z33" i="6"/>
  <c r="AI33" i="6"/>
  <c r="X34" i="6"/>
  <c r="AH34" i="6"/>
  <c r="W35" i="6"/>
  <c r="AF35" i="6"/>
  <c r="AG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BZ33" i="6"/>
  <c r="BX33" i="6"/>
  <c r="BW34" i="6"/>
  <c r="BV33" i="6"/>
  <c r="BY33" i="6" s="1"/>
  <c r="BO32" i="6"/>
  <c r="N249" i="11"/>
  <c r="O249" i="11" s="1"/>
  <c r="P249" i="11" s="1"/>
  <c r="R249" i="11" s="1"/>
  <c r="A252" i="11"/>
  <c r="Q251" i="11"/>
  <c r="AP37" i="6"/>
  <c r="BF37" i="6"/>
  <c r="BO31" i="6"/>
  <c r="BP31" i="6" s="1"/>
  <c r="BQ31" i="6"/>
  <c r="BR31" i="6" s="1"/>
  <c r="BR30" i="6"/>
  <c r="BP30" i="6"/>
  <c r="AR32" i="6"/>
  <c r="AK32" i="6"/>
  <c r="AT32" i="6" s="1"/>
  <c r="AV32" i="6"/>
  <c r="AL32" i="6"/>
  <c r="AQ32" i="6" s="1"/>
  <c r="N35" i="10"/>
  <c r="U33" i="10"/>
  <c r="W33" i="10" s="1"/>
  <c r="AB33" i="10"/>
  <c r="P35" i="10"/>
  <c r="Q35" i="10" s="1"/>
  <c r="O36" i="10"/>
  <c r="S34" i="10"/>
  <c r="T34" i="10" s="1"/>
  <c r="R34" i="10"/>
  <c r="Z34" i="6" l="1"/>
  <c r="AI34" i="6"/>
  <c r="X35" i="6"/>
  <c r="AH35" i="6"/>
  <c r="V36" i="6"/>
  <c r="M39" i="6"/>
  <c r="N39" i="6" s="1"/>
  <c r="O39" i="6" s="1"/>
  <c r="P38" i="6"/>
  <c r="S38" i="6" s="1"/>
  <c r="T38" i="6" s="1"/>
  <c r="U37" i="6"/>
  <c r="V37" i="6"/>
  <c r="BZ34" i="6"/>
  <c r="BX34" i="6"/>
  <c r="BW35" i="6"/>
  <c r="BV34" i="6"/>
  <c r="BY34" i="6" s="1"/>
  <c r="BQ32" i="6"/>
  <c r="BR32" i="6" s="1"/>
  <c r="AS32" i="6"/>
  <c r="Q252" i="11"/>
  <c r="A253" i="11"/>
  <c r="N250" i="11"/>
  <c r="O250" i="11" s="1"/>
  <c r="P250" i="11" s="1"/>
  <c r="R250" i="11" s="1"/>
  <c r="N36" i="10"/>
  <c r="AP38" i="6"/>
  <c r="BF38" i="6"/>
  <c r="BP32" i="6"/>
  <c r="AS33" i="6"/>
  <c r="AV33" i="6"/>
  <c r="AK33" i="6"/>
  <c r="AT33" i="6" s="1"/>
  <c r="AR33" i="6"/>
  <c r="AL33" i="6"/>
  <c r="AQ33" i="6" s="1"/>
  <c r="S35" i="10"/>
  <c r="T35" i="10" s="1"/>
  <c r="R35" i="10"/>
  <c r="P36" i="10"/>
  <c r="Q36" i="10" s="1"/>
  <c r="O37" i="10"/>
  <c r="U34" i="10"/>
  <c r="W34" i="10" s="1"/>
  <c r="AB34" i="10"/>
  <c r="Z35" i="6" l="1"/>
  <c r="AI35" i="6"/>
  <c r="W37" i="6"/>
  <c r="AF37" i="6"/>
  <c r="AG37" i="6" s="1"/>
  <c r="W36" i="6"/>
  <c r="AF36" i="6"/>
  <c r="AG36" i="6" s="1"/>
  <c r="P39" i="6"/>
  <c r="S39" i="6" s="1"/>
  <c r="T39" i="6" s="1"/>
  <c r="M40" i="6"/>
  <c r="P40" i="6" s="1"/>
  <c r="R38" i="6"/>
  <c r="U38" i="6"/>
  <c r="V38" i="6"/>
  <c r="BZ35" i="6"/>
  <c r="BX35" i="6"/>
  <c r="BV35" i="6"/>
  <c r="BY35" i="6" s="1"/>
  <c r="N251" i="11"/>
  <c r="O251" i="11" s="1"/>
  <c r="P251" i="11" s="1"/>
  <c r="R251" i="11" s="1"/>
  <c r="Q253" i="11"/>
  <c r="A254" i="11"/>
  <c r="AP39" i="6"/>
  <c r="BF39" i="6"/>
  <c r="N37" i="10"/>
  <c r="BO33" i="6"/>
  <c r="BP33" i="6" s="1"/>
  <c r="BQ33" i="6"/>
  <c r="BR33" i="6" s="1"/>
  <c r="R36" i="10"/>
  <c r="S36" i="10"/>
  <c r="T36" i="10" s="1"/>
  <c r="BW36" i="6"/>
  <c r="P37" i="10"/>
  <c r="Q37" i="10" s="1"/>
  <c r="O38" i="10"/>
  <c r="U35" i="10"/>
  <c r="W35" i="10" s="1"/>
  <c r="AB35" i="10"/>
  <c r="X36" i="6" l="1"/>
  <c r="AH36" i="6"/>
  <c r="X37" i="6"/>
  <c r="AH37" i="6"/>
  <c r="W38" i="6"/>
  <c r="AF38" i="6"/>
  <c r="AG38" i="6" s="1"/>
  <c r="R39" i="6"/>
  <c r="M41" i="6"/>
  <c r="M42" i="6" s="1"/>
  <c r="N40" i="6"/>
  <c r="O40" i="6" s="1"/>
  <c r="U39" i="6"/>
  <c r="V39" i="6"/>
  <c r="R40" i="6"/>
  <c r="S40" i="6"/>
  <c r="T40" i="6" s="1"/>
  <c r="BZ36" i="6"/>
  <c r="BX36" i="6"/>
  <c r="BV36" i="6"/>
  <c r="BY36" i="6" s="1"/>
  <c r="Q254" i="11"/>
  <c r="A255" i="11"/>
  <c r="N252" i="11"/>
  <c r="O252" i="11" s="1"/>
  <c r="P252" i="11" s="1"/>
  <c r="R252" i="11" s="1"/>
  <c r="N38" i="10"/>
  <c r="AP40" i="6"/>
  <c r="BF40" i="6"/>
  <c r="AS35" i="6"/>
  <c r="AS34" i="6"/>
  <c r="AL34" i="6"/>
  <c r="AQ34" i="6" s="1"/>
  <c r="AR34" i="6"/>
  <c r="AV34" i="6"/>
  <c r="AK34" i="6"/>
  <c r="AT34" i="6" s="1"/>
  <c r="AV35" i="6"/>
  <c r="AR35" i="6"/>
  <c r="AL35" i="6"/>
  <c r="AQ35" i="6" s="1"/>
  <c r="AK35" i="6"/>
  <c r="AT35" i="6" s="1"/>
  <c r="S37" i="10"/>
  <c r="T37" i="10" s="1"/>
  <c r="R37" i="10"/>
  <c r="P38" i="10"/>
  <c r="Q38" i="10" s="1"/>
  <c r="O39" i="10"/>
  <c r="BW37" i="6"/>
  <c r="U36" i="10"/>
  <c r="W36" i="10" s="1"/>
  <c r="AB36" i="10"/>
  <c r="Z37" i="6" l="1"/>
  <c r="AI37" i="6"/>
  <c r="Z36" i="6"/>
  <c r="AI36" i="6"/>
  <c r="X38" i="6"/>
  <c r="AH38" i="6"/>
  <c r="W39" i="6"/>
  <c r="AF39" i="6"/>
  <c r="AG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BX37" i="6"/>
  <c r="BZ37" i="6"/>
  <c r="BW38" i="6"/>
  <c r="BV37" i="6"/>
  <c r="BY37" i="6" s="1"/>
  <c r="BO36" i="6"/>
  <c r="N253" i="11"/>
  <c r="O253" i="11" s="1"/>
  <c r="P253" i="11" s="1"/>
  <c r="R253" i="11" s="1"/>
  <c r="A256" i="11"/>
  <c r="Q255" i="11"/>
  <c r="N39" i="10"/>
  <c r="AP41" i="6"/>
  <c r="BF41" i="6"/>
  <c r="BO34" i="6"/>
  <c r="BQ34" i="6"/>
  <c r="BO35" i="6"/>
  <c r="BQ35" i="6"/>
  <c r="AK36" i="6"/>
  <c r="AT36" i="6" s="1"/>
  <c r="AR36" i="6"/>
  <c r="AV36" i="6"/>
  <c r="AL36" i="6"/>
  <c r="AQ36" i="6" s="1"/>
  <c r="S38" i="10"/>
  <c r="T38" i="10" s="1"/>
  <c r="R38" i="10"/>
  <c r="O40" i="10"/>
  <c r="P39" i="10"/>
  <c r="Q39" i="10" s="1"/>
  <c r="U37" i="10"/>
  <c r="W37" i="10" s="1"/>
  <c r="AB37" i="10"/>
  <c r="Z38" i="6" l="1"/>
  <c r="AI38" i="6"/>
  <c r="X39" i="6"/>
  <c r="AH39" i="6"/>
  <c r="W40" i="6"/>
  <c r="AF40" i="6"/>
  <c r="AG40" i="6" s="1"/>
  <c r="R41" i="6"/>
  <c r="V41" i="6"/>
  <c r="U41" i="6"/>
  <c r="P43" i="6"/>
  <c r="N43" i="6"/>
  <c r="O43" i="6" s="1"/>
  <c r="M44" i="6"/>
  <c r="R42" i="6"/>
  <c r="S42" i="6"/>
  <c r="T42" i="6" s="1"/>
  <c r="BX38" i="6"/>
  <c r="BZ38" i="6"/>
  <c r="BW39" i="6"/>
  <c r="BV38" i="6"/>
  <c r="BY38" i="6" s="1"/>
  <c r="AS36" i="6"/>
  <c r="BQ36" i="6"/>
  <c r="BR36" i="6" s="1"/>
  <c r="AS37" i="6"/>
  <c r="A257" i="11"/>
  <c r="Q256" i="11"/>
  <c r="N254" i="11"/>
  <c r="O254" i="11" s="1"/>
  <c r="P254" i="11" s="1"/>
  <c r="R254" i="11" s="1"/>
  <c r="N40" i="10"/>
  <c r="AP42" i="6"/>
  <c r="BF42" i="6"/>
  <c r="BR35" i="6"/>
  <c r="BR34" i="6"/>
  <c r="BP35" i="6"/>
  <c r="BP34" i="6"/>
  <c r="BP36" i="6"/>
  <c r="AR37" i="6"/>
  <c r="AV37" i="6"/>
  <c r="AK37" i="6"/>
  <c r="AT37" i="6" s="1"/>
  <c r="AL37" i="6"/>
  <c r="AQ37" i="6" s="1"/>
  <c r="P40" i="10"/>
  <c r="Q40" i="10" s="1"/>
  <c r="O41" i="10"/>
  <c r="U38" i="10"/>
  <c r="W38" i="10" s="1"/>
  <c r="AB38" i="10"/>
  <c r="R39" i="10"/>
  <c r="S39" i="10"/>
  <c r="T39" i="10" s="1"/>
  <c r="Z39" i="6" l="1"/>
  <c r="AI39" i="6"/>
  <c r="X40" i="6"/>
  <c r="AH40" i="6"/>
  <c r="W41" i="6"/>
  <c r="AF41" i="6"/>
  <c r="AG41" i="6" s="1"/>
  <c r="U42" i="6"/>
  <c r="V42" i="6"/>
  <c r="N44" i="6"/>
  <c r="O44" i="6" s="1"/>
  <c r="P44" i="6"/>
  <c r="M45" i="6"/>
  <c r="R43" i="6"/>
  <c r="S43" i="6"/>
  <c r="T43" i="6" s="1"/>
  <c r="BX39" i="6"/>
  <c r="BZ39" i="6"/>
  <c r="BV39" i="6"/>
  <c r="BY39" i="6" s="1"/>
  <c r="BO37" i="6"/>
  <c r="BP37" i="6" s="1"/>
  <c r="BQ37" i="6"/>
  <c r="BR37" i="6" s="1"/>
  <c r="N255" i="11"/>
  <c r="O255" i="11" s="1"/>
  <c r="P255" i="11" s="1"/>
  <c r="R255" i="11" s="1"/>
  <c r="A258" i="11"/>
  <c r="Q257" i="11"/>
  <c r="AP43" i="6"/>
  <c r="BF43" i="6"/>
  <c r="N41" i="10"/>
  <c r="U39" i="10"/>
  <c r="W39" i="10" s="1"/>
  <c r="AB39" i="10"/>
  <c r="S40" i="10"/>
  <c r="T40" i="10" s="1"/>
  <c r="R40" i="10"/>
  <c r="O42" i="10"/>
  <c r="P41" i="10"/>
  <c r="Q41" i="10" s="1"/>
  <c r="BW40" i="6"/>
  <c r="Z40" i="6" l="1"/>
  <c r="AI40" i="6"/>
  <c r="X41" i="6"/>
  <c r="AH41" i="6"/>
  <c r="W42" i="6"/>
  <c r="AF42" i="6"/>
  <c r="AG42" i="6" s="1"/>
  <c r="U43" i="6"/>
  <c r="V43" i="6"/>
  <c r="P45" i="6"/>
  <c r="N45" i="6"/>
  <c r="O45" i="6" s="1"/>
  <c r="M46" i="6"/>
  <c r="R44" i="6"/>
  <c r="S44" i="6"/>
  <c r="T44" i="6" s="1"/>
  <c r="BZ40" i="6"/>
  <c r="BX40" i="6"/>
  <c r="BW41" i="6"/>
  <c r="BV40" i="6"/>
  <c r="BY40" i="6" s="1"/>
  <c r="A259" i="11"/>
  <c r="Q258" i="11"/>
  <c r="N256" i="11"/>
  <c r="O256" i="11" s="1"/>
  <c r="P256" i="11" s="1"/>
  <c r="R256" i="11" s="1"/>
  <c r="AP44" i="6"/>
  <c r="BF44" i="6"/>
  <c r="N42" i="10"/>
  <c r="AS38" i="6"/>
  <c r="AV38" i="6"/>
  <c r="AK38" i="6"/>
  <c r="AT38" i="6" s="1"/>
  <c r="AR38" i="6"/>
  <c r="AL38" i="6"/>
  <c r="AQ38" i="6" s="1"/>
  <c r="R41" i="10"/>
  <c r="S41" i="10"/>
  <c r="T41" i="10" s="1"/>
  <c r="U40" i="10"/>
  <c r="W40" i="10" s="1"/>
  <c r="AB40" i="10"/>
  <c r="O43" i="10"/>
  <c r="P42" i="10"/>
  <c r="Q42" i="10" s="1"/>
  <c r="Z41" i="6" l="1"/>
  <c r="AI41" i="6"/>
  <c r="X42" i="6"/>
  <c r="AH42" i="6"/>
  <c r="W43" i="6"/>
  <c r="AF43" i="6"/>
  <c r="AG43" i="6" s="1"/>
  <c r="U44" i="6"/>
  <c r="V44" i="6"/>
  <c r="P46" i="6"/>
  <c r="N46" i="6"/>
  <c r="O46" i="6" s="1"/>
  <c r="M47" i="6"/>
  <c r="R45" i="6"/>
  <c r="S45" i="6"/>
  <c r="T45" i="6" s="1"/>
  <c r="BZ41" i="6"/>
  <c r="BX41" i="6"/>
  <c r="BV41" i="6"/>
  <c r="BY41" i="6" s="1"/>
  <c r="BO40" i="6"/>
  <c r="N257" i="11"/>
  <c r="O257" i="11" s="1"/>
  <c r="P257" i="11" s="1"/>
  <c r="R257" i="11" s="1"/>
  <c r="Q259" i="11"/>
  <c r="A260" i="11"/>
  <c r="AP45" i="6"/>
  <c r="BF45" i="6"/>
  <c r="BO38" i="6"/>
  <c r="BQ38" i="6"/>
  <c r="AS39" i="6"/>
  <c r="AL39" i="6"/>
  <c r="AQ39" i="6" s="1"/>
  <c r="AV39" i="6"/>
  <c r="AR39" i="6"/>
  <c r="AK39" i="6"/>
  <c r="AT39" i="6" s="1"/>
  <c r="AV40" i="6"/>
  <c r="AR40" i="6"/>
  <c r="AL40" i="6"/>
  <c r="AQ40" i="6" s="1"/>
  <c r="AK40" i="6"/>
  <c r="AT40" i="6" s="1"/>
  <c r="N43" i="10"/>
  <c r="BW42" i="6"/>
  <c r="O44" i="10"/>
  <c r="P43" i="10"/>
  <c r="Q43" i="10" s="1"/>
  <c r="S42" i="10"/>
  <c r="T42" i="10" s="1"/>
  <c r="R42" i="10"/>
  <c r="U41" i="10"/>
  <c r="W41" i="10" s="1"/>
  <c r="AB41" i="10"/>
  <c r="Z42" i="6" l="1"/>
  <c r="AI42" i="6"/>
  <c r="X43" i="6"/>
  <c r="AH43" i="6"/>
  <c r="W44" i="6"/>
  <c r="AF44" i="6"/>
  <c r="AG44" i="6" s="1"/>
  <c r="U45" i="6"/>
  <c r="V45" i="6"/>
  <c r="N47" i="6"/>
  <c r="O47" i="6" s="1"/>
  <c r="P47" i="6"/>
  <c r="M48" i="6"/>
  <c r="R46" i="6"/>
  <c r="S46" i="6"/>
  <c r="T46" i="6" s="1"/>
  <c r="BZ42" i="6"/>
  <c r="BX42" i="6"/>
  <c r="BW43" i="6"/>
  <c r="BV42" i="6"/>
  <c r="BY42" i="6" s="1"/>
  <c r="BQ40" i="6"/>
  <c r="AS40" i="6"/>
  <c r="A261" i="11"/>
  <c r="Q260" i="11"/>
  <c r="N258" i="11"/>
  <c r="O258" i="11" s="1"/>
  <c r="P258" i="11" s="1"/>
  <c r="R258" i="11" s="1"/>
  <c r="N44" i="10"/>
  <c r="AP46" i="6"/>
  <c r="BF46" i="6"/>
  <c r="BR38" i="6"/>
  <c r="BP38" i="6"/>
  <c r="BO39" i="6"/>
  <c r="BP39" i="6" s="1"/>
  <c r="BQ39" i="6"/>
  <c r="BR39" i="6" s="1"/>
  <c r="AS41" i="6"/>
  <c r="AR41" i="6"/>
  <c r="AL41" i="6"/>
  <c r="AQ41" i="6" s="1"/>
  <c r="AK41" i="6"/>
  <c r="AT41" i="6" s="1"/>
  <c r="AV41" i="6"/>
  <c r="U42" i="10"/>
  <c r="W42" i="10" s="1"/>
  <c r="AB42" i="10"/>
  <c r="O45" i="10"/>
  <c r="P44" i="10"/>
  <c r="Q44" i="10" s="1"/>
  <c r="S43" i="10"/>
  <c r="T43" i="10" s="1"/>
  <c r="R43" i="10"/>
  <c r="Z43" i="6" l="1"/>
  <c r="AI43" i="6"/>
  <c r="X44" i="6"/>
  <c r="AH44" i="6"/>
  <c r="W45" i="6"/>
  <c r="AF45" i="6"/>
  <c r="AG45" i="6" s="1"/>
  <c r="U46" i="6"/>
  <c r="V46" i="6"/>
  <c r="N48" i="6"/>
  <c r="O48" i="6" s="1"/>
  <c r="P48" i="6"/>
  <c r="M49" i="6"/>
  <c r="R47" i="6"/>
  <c r="S47" i="6"/>
  <c r="T47" i="6" s="1"/>
  <c r="BZ43" i="6"/>
  <c r="BX43" i="6"/>
  <c r="BW44" i="6"/>
  <c r="BV43" i="6"/>
  <c r="BY43" i="6" s="1"/>
  <c r="A262" i="11"/>
  <c r="Q261" i="11"/>
  <c r="N259" i="11"/>
  <c r="O259" i="11" s="1"/>
  <c r="P259" i="11" s="1"/>
  <c r="R259" i="11" s="1"/>
  <c r="AP47" i="6"/>
  <c r="BF47" i="6"/>
  <c r="BP40" i="6"/>
  <c r="BR40" i="6"/>
  <c r="BO41" i="6"/>
  <c r="BP41" i="6" s="1"/>
  <c r="BQ41" i="6"/>
  <c r="BR41" i="6" s="1"/>
  <c r="AS42" i="6"/>
  <c r="N45" i="10"/>
  <c r="AV42" i="6"/>
  <c r="AR42" i="6"/>
  <c r="AK42" i="6"/>
  <c r="AT42" i="6" s="1"/>
  <c r="AL42" i="6"/>
  <c r="AQ42" i="6" s="1"/>
  <c r="O46" i="10"/>
  <c r="P45" i="10"/>
  <c r="Q45" i="10" s="1"/>
  <c r="U43" i="10"/>
  <c r="W43" i="10" s="1"/>
  <c r="AB43" i="10"/>
  <c r="R44" i="10"/>
  <c r="S44" i="10"/>
  <c r="T44" i="10" s="1"/>
  <c r="Z44" i="6" l="1"/>
  <c r="AI44" i="6"/>
  <c r="X45" i="6"/>
  <c r="AH45" i="6"/>
  <c r="W46" i="6"/>
  <c r="AF46" i="6"/>
  <c r="AG46" i="6" s="1"/>
  <c r="U47" i="6"/>
  <c r="V47" i="6"/>
  <c r="N49" i="6"/>
  <c r="O49" i="6" s="1"/>
  <c r="P49" i="6"/>
  <c r="M50" i="6"/>
  <c r="R48" i="6"/>
  <c r="S48" i="6"/>
  <c r="T48" i="6" s="1"/>
  <c r="BX44" i="6"/>
  <c r="BZ44" i="6"/>
  <c r="BV44" i="6"/>
  <c r="BY44" i="6" s="1"/>
  <c r="N260" i="11"/>
  <c r="O260" i="11" s="1"/>
  <c r="P260" i="11" s="1"/>
  <c r="R260" i="11" s="1"/>
  <c r="A263" i="11"/>
  <c r="Q262" i="11"/>
  <c r="N46" i="10"/>
  <c r="AP48" i="6"/>
  <c r="BF48" i="6"/>
  <c r="BO42" i="6"/>
  <c r="BQ42" i="6"/>
  <c r="AS43" i="6"/>
  <c r="AV43" i="6"/>
  <c r="AL43" i="6"/>
  <c r="AQ43" i="6" s="1"/>
  <c r="AR43" i="6"/>
  <c r="AK43" i="6"/>
  <c r="AT43" i="6" s="1"/>
  <c r="S45" i="10"/>
  <c r="T45" i="10" s="1"/>
  <c r="R45" i="10"/>
  <c r="U44" i="10"/>
  <c r="W44" i="10" s="1"/>
  <c r="AB44" i="10"/>
  <c r="O47" i="10"/>
  <c r="P46" i="10"/>
  <c r="Q46" i="10" s="1"/>
  <c r="Z45" i="6" l="1"/>
  <c r="AI45" i="6"/>
  <c r="X46" i="6"/>
  <c r="AH46" i="6"/>
  <c r="W47" i="6"/>
  <c r="AF47" i="6"/>
  <c r="AG47" i="6" s="1"/>
  <c r="U48" i="6"/>
  <c r="V48" i="6"/>
  <c r="N50" i="6"/>
  <c r="O50" i="6" s="1"/>
  <c r="P50" i="6"/>
  <c r="M51" i="6"/>
  <c r="R49" i="6"/>
  <c r="S49" i="6"/>
  <c r="T49" i="6" s="1"/>
  <c r="BW45" i="6"/>
  <c r="BV45" i="6"/>
  <c r="BY45" i="6" s="1"/>
  <c r="A264" i="11"/>
  <c r="Q263" i="11"/>
  <c r="N261" i="11"/>
  <c r="O261" i="11" s="1"/>
  <c r="P261" i="11" s="1"/>
  <c r="R261" i="11" s="1"/>
  <c r="N47" i="10"/>
  <c r="AP49" i="6"/>
  <c r="BF49" i="6"/>
  <c r="BP42" i="6"/>
  <c r="BO43" i="6"/>
  <c r="BP43" i="6" s="1"/>
  <c r="BQ43" i="6"/>
  <c r="BR43" i="6" s="1"/>
  <c r="BR42" i="6"/>
  <c r="AS44" i="6"/>
  <c r="AV44" i="6"/>
  <c r="AR44" i="6"/>
  <c r="AK44" i="6"/>
  <c r="AT44" i="6" s="1"/>
  <c r="AL44" i="6"/>
  <c r="AQ44" i="6" s="1"/>
  <c r="U45" i="10"/>
  <c r="W45" i="10" s="1"/>
  <c r="AB45" i="10"/>
  <c r="R46" i="10"/>
  <c r="S46" i="10"/>
  <c r="T46" i="10" s="1"/>
  <c r="P47" i="10"/>
  <c r="Q47" i="10" s="1"/>
  <c r="O48" i="10"/>
  <c r="Z46" i="6" l="1"/>
  <c r="AI46" i="6"/>
  <c r="X47" i="6"/>
  <c r="AH47" i="6"/>
  <c r="W48" i="6"/>
  <c r="AF48" i="6"/>
  <c r="AG48" i="6" s="1"/>
  <c r="U49" i="6"/>
  <c r="V49" i="6"/>
  <c r="N51" i="6"/>
  <c r="O51" i="6" s="1"/>
  <c r="P51" i="6"/>
  <c r="M52" i="6"/>
  <c r="R50" i="6"/>
  <c r="S50" i="6"/>
  <c r="T50" i="6" s="1"/>
  <c r="BW46" i="6"/>
  <c r="BV46" i="6"/>
  <c r="BY46" i="6" s="1"/>
  <c r="BX45" i="6"/>
  <c r="BZ45" i="6"/>
  <c r="N262" i="11"/>
  <c r="O262" i="11" s="1"/>
  <c r="P262" i="11" s="1"/>
  <c r="R262" i="11" s="1"/>
  <c r="Q264" i="11"/>
  <c r="A265" i="11"/>
  <c r="N48" i="10"/>
  <c r="AP50" i="6"/>
  <c r="BF50" i="6"/>
  <c r="BO44" i="6"/>
  <c r="BQ44" i="6"/>
  <c r="AS45" i="6"/>
  <c r="AK45" i="6"/>
  <c r="AT45" i="6" s="1"/>
  <c r="AL45" i="6"/>
  <c r="AQ45" i="6" s="1"/>
  <c r="AR45" i="6"/>
  <c r="AV45" i="6"/>
  <c r="U46" i="10"/>
  <c r="W46" i="10" s="1"/>
  <c r="AB46" i="10"/>
  <c r="O49" i="10"/>
  <c r="P48" i="10"/>
  <c r="Q48" i="10" s="1"/>
  <c r="R47" i="10"/>
  <c r="S47" i="10"/>
  <c r="T47" i="10" s="1"/>
  <c r="Z47" i="6" l="1"/>
  <c r="AI47" i="6"/>
  <c r="X48" i="6"/>
  <c r="AH48" i="6"/>
  <c r="W49" i="6"/>
  <c r="AF49" i="6"/>
  <c r="AG49" i="6" s="1"/>
  <c r="U50" i="6"/>
  <c r="V50" i="6"/>
  <c r="P52" i="6"/>
  <c r="N52" i="6"/>
  <c r="O52" i="6" s="1"/>
  <c r="M53" i="6"/>
  <c r="R51" i="6"/>
  <c r="S51" i="6"/>
  <c r="T51" i="6" s="1"/>
  <c r="BV47" i="6"/>
  <c r="BY47" i="6" s="1"/>
  <c r="BW47" i="6"/>
  <c r="BZ46" i="6"/>
  <c r="BX46" i="6"/>
  <c r="N263" i="11"/>
  <c r="O263" i="11" s="1"/>
  <c r="P263" i="11" s="1"/>
  <c r="R263" i="11" s="1"/>
  <c r="Q265" i="11"/>
  <c r="A266" i="11"/>
  <c r="N49" i="10"/>
  <c r="AP51" i="6"/>
  <c r="BF51" i="6"/>
  <c r="BQ45" i="6"/>
  <c r="BR45" i="6" s="1"/>
  <c r="BO45" i="6"/>
  <c r="BP45" i="6" s="1"/>
  <c r="BR44" i="6"/>
  <c r="BP44" i="6"/>
  <c r="AS46" i="6"/>
  <c r="AL46" i="6"/>
  <c r="AQ46" i="6" s="1"/>
  <c r="AV46" i="6"/>
  <c r="AK46" i="6"/>
  <c r="AT46" i="6" s="1"/>
  <c r="AR46" i="6"/>
  <c r="O50" i="10"/>
  <c r="P49" i="10"/>
  <c r="Q49" i="10" s="1"/>
  <c r="U47" i="10"/>
  <c r="W47" i="10" s="1"/>
  <c r="AB47" i="10"/>
  <c r="S48" i="10"/>
  <c r="T48" i="10" s="1"/>
  <c r="R48" i="10"/>
  <c r="Z48" i="6" l="1"/>
  <c r="AI48" i="6"/>
  <c r="X49" i="6"/>
  <c r="AH49" i="6"/>
  <c r="W50" i="6"/>
  <c r="AF50" i="6"/>
  <c r="AG50" i="6" s="1"/>
  <c r="U51" i="6"/>
  <c r="V51" i="6"/>
  <c r="N53" i="6"/>
  <c r="O53" i="6" s="1"/>
  <c r="P53" i="6"/>
  <c r="M54" i="6"/>
  <c r="R52" i="6"/>
  <c r="S52" i="6"/>
  <c r="T52" i="6" s="1"/>
  <c r="BW48" i="6"/>
  <c r="BV48" i="6"/>
  <c r="BY48" i="6" s="1"/>
  <c r="BX47" i="6"/>
  <c r="BZ47" i="6"/>
  <c r="Q266" i="11"/>
  <c r="A267" i="11"/>
  <c r="N264" i="11"/>
  <c r="O264" i="11" s="1"/>
  <c r="P264" i="11" s="1"/>
  <c r="R264" i="11" s="1"/>
  <c r="N50" i="10"/>
  <c r="AP52" i="6"/>
  <c r="BF52" i="6"/>
  <c r="BO46" i="6"/>
  <c r="BQ46" i="6"/>
  <c r="AS47" i="6"/>
  <c r="AL47" i="6"/>
  <c r="AQ47" i="6" s="1"/>
  <c r="AR47" i="6"/>
  <c r="AV47" i="6"/>
  <c r="AK47" i="6"/>
  <c r="AT47" i="6" s="1"/>
  <c r="S49" i="10"/>
  <c r="T49" i="10" s="1"/>
  <c r="R49" i="10"/>
  <c r="U48" i="10"/>
  <c r="W48" i="10" s="1"/>
  <c r="AB48" i="10"/>
  <c r="O51" i="10"/>
  <c r="P50" i="10"/>
  <c r="Q50" i="10" s="1"/>
  <c r="Z49" i="6" l="1"/>
  <c r="AI49" i="6"/>
  <c r="X50" i="6"/>
  <c r="AH50" i="6"/>
  <c r="W51" i="6"/>
  <c r="AF51" i="6"/>
  <c r="AG51" i="6" s="1"/>
  <c r="N54" i="6"/>
  <c r="O54" i="6" s="1"/>
  <c r="P54" i="6"/>
  <c r="M55" i="6"/>
  <c r="V52" i="6"/>
  <c r="U52" i="6"/>
  <c r="R53" i="6"/>
  <c r="S53" i="6"/>
  <c r="T53" i="6" s="1"/>
  <c r="BV49" i="6"/>
  <c r="BY49" i="6" s="1"/>
  <c r="BW49" i="6"/>
  <c r="BX48" i="6"/>
  <c r="BZ48" i="6"/>
  <c r="N265" i="11"/>
  <c r="O265" i="11" s="1"/>
  <c r="P265" i="11" s="1"/>
  <c r="R265" i="11" s="1"/>
  <c r="A268" i="11"/>
  <c r="Q267" i="11"/>
  <c r="N51" i="10"/>
  <c r="AP53" i="6"/>
  <c r="BF53" i="6"/>
  <c r="BR46" i="6"/>
  <c r="BP46" i="6"/>
  <c r="BO47" i="6"/>
  <c r="BP47" i="6" s="1"/>
  <c r="BQ47" i="6"/>
  <c r="BR47" i="6" s="1"/>
  <c r="AS48" i="6"/>
  <c r="AR48" i="6"/>
  <c r="AK48" i="6"/>
  <c r="AT48" i="6" s="1"/>
  <c r="AL48" i="6"/>
  <c r="AQ48" i="6" s="1"/>
  <c r="AV48" i="6"/>
  <c r="U49" i="10"/>
  <c r="W49" i="10" s="1"/>
  <c r="AB49" i="10"/>
  <c r="S50" i="10"/>
  <c r="T50" i="10" s="1"/>
  <c r="R50" i="10"/>
  <c r="P51" i="10"/>
  <c r="Q51" i="10" s="1"/>
  <c r="O52" i="10"/>
  <c r="Z50" i="6" l="1"/>
  <c r="AI50" i="6"/>
  <c r="X51" i="6"/>
  <c r="AH51" i="6"/>
  <c r="W52" i="6"/>
  <c r="AF52" i="6"/>
  <c r="AG52" i="6" s="1"/>
  <c r="U53" i="6"/>
  <c r="V53" i="6"/>
  <c r="P55" i="6"/>
  <c r="N55" i="6"/>
  <c r="O55" i="6" s="1"/>
  <c r="M56" i="6"/>
  <c r="R54" i="6"/>
  <c r="S54" i="6"/>
  <c r="T54" i="6" s="1"/>
  <c r="BZ49" i="6"/>
  <c r="BX49" i="6"/>
  <c r="BW50" i="6"/>
  <c r="BV50" i="6"/>
  <c r="BY50" i="6" s="1"/>
  <c r="BO49" i="6"/>
  <c r="N266" i="11"/>
  <c r="O266" i="11" s="1"/>
  <c r="P266" i="11" s="1"/>
  <c r="R266" i="11" s="1"/>
  <c r="Q268" i="11"/>
  <c r="A269" i="11"/>
  <c r="N52" i="10"/>
  <c r="AP54" i="6"/>
  <c r="BF54" i="6"/>
  <c r="BQ48" i="6"/>
  <c r="BO48" i="6"/>
  <c r="AK49" i="6"/>
  <c r="AT49" i="6" s="1"/>
  <c r="AR49" i="6"/>
  <c r="AL49" i="6"/>
  <c r="AQ49" i="6" s="1"/>
  <c r="AV49" i="6"/>
  <c r="U50" i="10"/>
  <c r="W50" i="10" s="1"/>
  <c r="AB50" i="10"/>
  <c r="S51" i="10"/>
  <c r="T51" i="10" s="1"/>
  <c r="R51" i="10"/>
  <c r="O53" i="10"/>
  <c r="P52" i="10"/>
  <c r="Q52" i="10" s="1"/>
  <c r="Z51" i="6" l="1"/>
  <c r="AI51" i="6"/>
  <c r="X52" i="6"/>
  <c r="AH52" i="6"/>
  <c r="W53" i="6"/>
  <c r="AF53" i="6"/>
  <c r="AG53" i="6" s="1"/>
  <c r="P56" i="6"/>
  <c r="N56" i="6"/>
  <c r="O56" i="6" s="1"/>
  <c r="M57" i="6"/>
  <c r="R55" i="6"/>
  <c r="S55" i="6"/>
  <c r="T55" i="6" s="1"/>
  <c r="U54" i="6"/>
  <c r="V54" i="6"/>
  <c r="BV51" i="6"/>
  <c r="BY51" i="6" s="1"/>
  <c r="BW51" i="6"/>
  <c r="BX50" i="6"/>
  <c r="BZ50" i="6"/>
  <c r="AS49" i="6"/>
  <c r="BQ49" i="6"/>
  <c r="BR49" i="6" s="1"/>
  <c r="N267" i="11"/>
  <c r="O267" i="11" s="1"/>
  <c r="P267" i="11" s="1"/>
  <c r="R267" i="11" s="1"/>
  <c r="Q269" i="11"/>
  <c r="A270" i="11"/>
  <c r="AP55" i="6"/>
  <c r="BF55" i="6"/>
  <c r="BP49" i="6"/>
  <c r="BP48" i="6"/>
  <c r="BR48" i="6"/>
  <c r="N53" i="10"/>
  <c r="S52" i="10"/>
  <c r="T52" i="10" s="1"/>
  <c r="R52" i="10"/>
  <c r="U51" i="10"/>
  <c r="W51" i="10" s="1"/>
  <c r="AB51" i="10"/>
  <c r="O54" i="10"/>
  <c r="P53" i="10"/>
  <c r="Q53" i="10" s="1"/>
  <c r="Z52" i="6" l="1"/>
  <c r="AI52" i="6"/>
  <c r="X53" i="6"/>
  <c r="AH53" i="6"/>
  <c r="W54" i="6"/>
  <c r="AF54" i="6"/>
  <c r="AG54" i="6" s="1"/>
  <c r="U55" i="6"/>
  <c r="V55" i="6"/>
  <c r="N57" i="6"/>
  <c r="O57" i="6" s="1"/>
  <c r="P57" i="6"/>
  <c r="M58" i="6"/>
  <c r="R56" i="6"/>
  <c r="S56" i="6"/>
  <c r="T56" i="6" s="1"/>
  <c r="BV52" i="6"/>
  <c r="BY52" i="6" s="1"/>
  <c r="BW52" i="6"/>
  <c r="BX51" i="6"/>
  <c r="BZ51" i="6"/>
  <c r="BO50" i="6"/>
  <c r="A271" i="11"/>
  <c r="Q270" i="11"/>
  <c r="N268" i="11"/>
  <c r="O268" i="11" s="1"/>
  <c r="P268" i="11" s="1"/>
  <c r="R268" i="11" s="1"/>
  <c r="N54" i="10"/>
  <c r="AP56" i="6"/>
  <c r="BF56" i="6"/>
  <c r="BM56" i="6" s="1"/>
  <c r="AK50" i="6"/>
  <c r="AT50" i="6" s="1"/>
  <c r="AV50" i="6"/>
  <c r="AR50" i="6"/>
  <c r="AL50" i="6"/>
  <c r="AQ50" i="6" s="1"/>
  <c r="S53" i="10"/>
  <c r="T53" i="10" s="1"/>
  <c r="R53" i="10"/>
  <c r="O55" i="10"/>
  <c r="P54" i="10"/>
  <c r="Q54" i="10" s="1"/>
  <c r="U52" i="10"/>
  <c r="W52" i="10" s="1"/>
  <c r="AB52" i="10"/>
  <c r="Z53" i="6" l="1"/>
  <c r="AI53" i="6"/>
  <c r="X54" i="6"/>
  <c r="AH54" i="6"/>
  <c r="W55" i="6"/>
  <c r="AF55" i="6"/>
  <c r="AG55" i="6" s="1"/>
  <c r="R57" i="6"/>
  <c r="S57" i="6"/>
  <c r="T57" i="6" s="1"/>
  <c r="U56" i="6"/>
  <c r="V56" i="6"/>
  <c r="N58" i="6"/>
  <c r="O58" i="6" s="1"/>
  <c r="P58" i="6"/>
  <c r="M59" i="6"/>
  <c r="BV53" i="6"/>
  <c r="BY53" i="6" s="1"/>
  <c r="BW53" i="6"/>
  <c r="BX52" i="6"/>
  <c r="BZ52" i="6"/>
  <c r="AS50" i="6"/>
  <c r="BQ50" i="6"/>
  <c r="BR50" i="6" s="1"/>
  <c r="AS52" i="6"/>
  <c r="N269" i="11"/>
  <c r="O269" i="11" s="1"/>
  <c r="P269" i="11" s="1"/>
  <c r="R269" i="11" s="1"/>
  <c r="Q271" i="11"/>
  <c r="A272" i="11"/>
  <c r="N55" i="10"/>
  <c r="AP57" i="6"/>
  <c r="BF57" i="6"/>
  <c r="BM57" i="6" s="1"/>
  <c r="BP50" i="6"/>
  <c r="AS51" i="6"/>
  <c r="AK51" i="6"/>
  <c r="AT51" i="6" s="1"/>
  <c r="AV51" i="6"/>
  <c r="AL51" i="6"/>
  <c r="AQ51" i="6" s="1"/>
  <c r="AR51" i="6"/>
  <c r="AV52" i="6"/>
  <c r="AK52" i="6"/>
  <c r="AT52" i="6" s="1"/>
  <c r="AR52" i="6"/>
  <c r="AL52" i="6"/>
  <c r="AQ52" i="6" s="1"/>
  <c r="O56" i="10"/>
  <c r="P55" i="10"/>
  <c r="Q55" i="10" s="1"/>
  <c r="R54" i="10"/>
  <c r="S54" i="10"/>
  <c r="T54" i="10" s="1"/>
  <c r="U53" i="10"/>
  <c r="W53" i="10" s="1"/>
  <c r="AB53" i="10"/>
  <c r="Z54" i="6" l="1"/>
  <c r="AI54" i="6"/>
  <c r="X55" i="6"/>
  <c r="AH55" i="6"/>
  <c r="W56" i="6"/>
  <c r="AF56" i="6"/>
  <c r="AG56" i="6" s="1"/>
  <c r="N59" i="6"/>
  <c r="O59" i="6" s="1"/>
  <c r="P59" i="6"/>
  <c r="M60" i="6"/>
  <c r="R58" i="6"/>
  <c r="S58" i="6"/>
  <c r="T58" i="6" s="1"/>
  <c r="U57" i="6"/>
  <c r="V57" i="6"/>
  <c r="BX53" i="6"/>
  <c r="BZ53" i="6"/>
  <c r="BV54" i="6"/>
  <c r="BY54" i="6" s="1"/>
  <c r="BW54" i="6"/>
  <c r="BQ52" i="6"/>
  <c r="BO52" i="6"/>
  <c r="Q272" i="11"/>
  <c r="A273" i="11"/>
  <c r="N270" i="11"/>
  <c r="O270" i="11" s="1"/>
  <c r="P270" i="11" s="1"/>
  <c r="R270" i="11" s="1"/>
  <c r="N56" i="10"/>
  <c r="AP58" i="6"/>
  <c r="BF58" i="6"/>
  <c r="BM58" i="6" s="1"/>
  <c r="BO51" i="6"/>
  <c r="BP51" i="6" s="1"/>
  <c r="BQ51" i="6"/>
  <c r="BR51" i="6" s="1"/>
  <c r="S55" i="10"/>
  <c r="T55" i="10" s="1"/>
  <c r="R55" i="10"/>
  <c r="P56" i="10"/>
  <c r="Q56" i="10" s="1"/>
  <c r="O57" i="10"/>
  <c r="U54" i="10"/>
  <c r="W54" i="10" s="1"/>
  <c r="AB54" i="10"/>
  <c r="Z55" i="6" l="1"/>
  <c r="AI55" i="6"/>
  <c r="X56" i="6"/>
  <c r="AH56" i="6"/>
  <c r="W57" i="6"/>
  <c r="AF57" i="6"/>
  <c r="AG57" i="6" s="1"/>
  <c r="U58" i="6"/>
  <c r="V58" i="6"/>
  <c r="N60" i="6"/>
  <c r="O60" i="6" s="1"/>
  <c r="P60" i="6"/>
  <c r="M61" i="6"/>
  <c r="R59" i="6"/>
  <c r="S59" i="6"/>
  <c r="T59" i="6" s="1"/>
  <c r="BV55" i="6"/>
  <c r="BY55" i="6" s="1"/>
  <c r="BW55" i="6"/>
  <c r="BZ54" i="6"/>
  <c r="BX54" i="6"/>
  <c r="BQ54" i="6"/>
  <c r="BQ53" i="6"/>
  <c r="BR53" i="6" s="1"/>
  <c r="N271" i="11"/>
  <c r="O271" i="11" s="1"/>
  <c r="P271" i="11" s="1"/>
  <c r="R271" i="11" s="1"/>
  <c r="Q273" i="11"/>
  <c r="A274" i="11"/>
  <c r="AP59" i="6"/>
  <c r="BF59" i="6"/>
  <c r="BM59" i="6" s="1"/>
  <c r="BP52" i="6"/>
  <c r="BR52" i="6"/>
  <c r="AV54" i="6"/>
  <c r="AR54" i="6"/>
  <c r="AK54" i="6"/>
  <c r="AT54" i="6" s="1"/>
  <c r="AL54" i="6"/>
  <c r="AQ54" i="6" s="1"/>
  <c r="AK53" i="6"/>
  <c r="AT53" i="6" s="1"/>
  <c r="AV53" i="6"/>
  <c r="AR53" i="6"/>
  <c r="AL53" i="6"/>
  <c r="AQ53" i="6" s="1"/>
  <c r="N57" i="10"/>
  <c r="O58" i="10"/>
  <c r="P57" i="10"/>
  <c r="Q57" i="10" s="1"/>
  <c r="R56" i="10"/>
  <c r="S56" i="10"/>
  <c r="T56" i="10" s="1"/>
  <c r="U55" i="10"/>
  <c r="W55" i="10" s="1"/>
  <c r="AB55" i="10"/>
  <c r="Z56" i="6" l="1"/>
  <c r="AI56" i="6"/>
  <c r="X57" i="6"/>
  <c r="AH57" i="6"/>
  <c r="W58" i="6"/>
  <c r="AF58" i="6"/>
  <c r="AG58" i="6" s="1"/>
  <c r="U59" i="6"/>
  <c r="V59" i="6"/>
  <c r="N61" i="6"/>
  <c r="O61" i="6" s="1"/>
  <c r="P61" i="6"/>
  <c r="M62" i="6"/>
  <c r="R60" i="6"/>
  <c r="S60" i="6"/>
  <c r="T60" i="6" s="1"/>
  <c r="BV56" i="6"/>
  <c r="BY56" i="6" s="1"/>
  <c r="BW56" i="6"/>
  <c r="BX55" i="6"/>
  <c r="BZ55" i="6"/>
  <c r="BO54" i="6"/>
  <c r="AS54" i="6"/>
  <c r="AS53" i="6"/>
  <c r="BO53" i="6"/>
  <c r="BP53" i="6" s="1"/>
  <c r="N272" i="11"/>
  <c r="O272" i="11" s="1"/>
  <c r="P272" i="11" s="1"/>
  <c r="R272" i="11" s="1"/>
  <c r="Q274" i="11"/>
  <c r="A275" i="11"/>
  <c r="N58" i="10"/>
  <c r="AP60" i="6"/>
  <c r="BF60" i="6"/>
  <c r="BM60" i="6" s="1"/>
  <c r="BR54" i="6"/>
  <c r="U56" i="10"/>
  <c r="W56" i="10" s="1"/>
  <c r="AB56" i="10"/>
  <c r="S57" i="10"/>
  <c r="T57" i="10" s="1"/>
  <c r="R57" i="10"/>
  <c r="P58" i="10"/>
  <c r="Q58" i="10" s="1"/>
  <c r="O59" i="10"/>
  <c r="Z57" i="6" l="1"/>
  <c r="AI57" i="6"/>
  <c r="X58" i="6"/>
  <c r="AH58" i="6"/>
  <c r="W59" i="6"/>
  <c r="AF59" i="6"/>
  <c r="AG59" i="6" s="1"/>
  <c r="U60" i="6"/>
  <c r="V60" i="6"/>
  <c r="N62" i="6"/>
  <c r="O62" i="6" s="1"/>
  <c r="P62" i="6"/>
  <c r="M63" i="6"/>
  <c r="R61" i="6"/>
  <c r="S61" i="6"/>
  <c r="T61" i="6" s="1"/>
  <c r="BV57" i="6"/>
  <c r="BY57" i="6" s="1"/>
  <c r="BW57" i="6"/>
  <c r="BZ56" i="6"/>
  <c r="BX56" i="6"/>
  <c r="BP54" i="6"/>
  <c r="AS56" i="6"/>
  <c r="AS55" i="6"/>
  <c r="Q275" i="11"/>
  <c r="A276" i="11"/>
  <c r="N273" i="11"/>
  <c r="O273" i="11" s="1"/>
  <c r="P273" i="11" s="1"/>
  <c r="R273" i="11" s="1"/>
  <c r="N59" i="10"/>
  <c r="AP61" i="6"/>
  <c r="BF61" i="6"/>
  <c r="BM61" i="6" s="1"/>
  <c r="AL56" i="6"/>
  <c r="AQ56" i="6" s="1"/>
  <c r="AR56" i="6"/>
  <c r="AV56" i="6"/>
  <c r="AK56" i="6"/>
  <c r="AT56" i="6" s="1"/>
  <c r="AL55" i="6"/>
  <c r="AQ55" i="6" s="1"/>
  <c r="AV55" i="6"/>
  <c r="AK55" i="6"/>
  <c r="AT55" i="6" s="1"/>
  <c r="AR55" i="6"/>
  <c r="P59" i="10"/>
  <c r="Q59" i="10" s="1"/>
  <c r="O60" i="10"/>
  <c r="U57" i="10"/>
  <c r="W57" i="10" s="1"/>
  <c r="AB57" i="10"/>
  <c r="S58" i="10"/>
  <c r="T58" i="10" s="1"/>
  <c r="R58" i="10"/>
  <c r="Z58" i="6" l="1"/>
  <c r="AI58" i="6"/>
  <c r="X59" i="6"/>
  <c r="AH59" i="6"/>
  <c r="W60" i="6"/>
  <c r="AF60" i="6"/>
  <c r="AG60" i="6" s="1"/>
  <c r="U61" i="6"/>
  <c r="V61" i="6"/>
  <c r="P63" i="6"/>
  <c r="N63" i="6"/>
  <c r="O63" i="6" s="1"/>
  <c r="M64" i="6"/>
  <c r="R62" i="6"/>
  <c r="S62" i="6"/>
  <c r="T62" i="6" s="1"/>
  <c r="BZ57" i="6"/>
  <c r="BX57" i="6"/>
  <c r="BV58" i="6"/>
  <c r="BY58" i="6" s="1"/>
  <c r="BW58" i="6"/>
  <c r="BQ55" i="6"/>
  <c r="BR55" i="6" s="1"/>
  <c r="BO56" i="6"/>
  <c r="BQ56" i="6"/>
  <c r="BO55" i="6"/>
  <c r="BP55" i="6" s="1"/>
  <c r="N274" i="11"/>
  <c r="O274" i="11" s="1"/>
  <c r="P274" i="11" s="1"/>
  <c r="R274" i="11" s="1"/>
  <c r="Q276" i="11"/>
  <c r="A277" i="11"/>
  <c r="N60" i="10"/>
  <c r="AP62" i="6"/>
  <c r="BF62" i="6"/>
  <c r="BM62" i="6" s="1"/>
  <c r="R59" i="10"/>
  <c r="S59" i="10"/>
  <c r="T59" i="10" s="1"/>
  <c r="P60" i="10"/>
  <c r="Q60" i="10" s="1"/>
  <c r="O61" i="10"/>
  <c r="U58" i="10"/>
  <c r="W58" i="10" s="1"/>
  <c r="AB58" i="10"/>
  <c r="Z59" i="6" l="1"/>
  <c r="AI59" i="6"/>
  <c r="X60" i="6"/>
  <c r="AH60" i="6"/>
  <c r="W61" i="6"/>
  <c r="AF61" i="6"/>
  <c r="AG61" i="6" s="1"/>
  <c r="U62" i="6"/>
  <c r="V62" i="6"/>
  <c r="N64" i="6"/>
  <c r="O64" i="6" s="1"/>
  <c r="P64" i="6"/>
  <c r="M65" i="6"/>
  <c r="R63" i="6"/>
  <c r="S63" i="6"/>
  <c r="T63" i="6" s="1"/>
  <c r="BX58" i="6"/>
  <c r="BZ58" i="6"/>
  <c r="BV59" i="6"/>
  <c r="BY59" i="6" s="1"/>
  <c r="BW59" i="6"/>
  <c r="BR56" i="6"/>
  <c r="BP56" i="6"/>
  <c r="A278" i="11"/>
  <c r="Q277" i="11"/>
  <c r="N275" i="11"/>
  <c r="O275" i="11" s="1"/>
  <c r="P275" i="11" s="1"/>
  <c r="R275" i="11" s="1"/>
  <c r="N61" i="10"/>
  <c r="AP63" i="6"/>
  <c r="BF63" i="6"/>
  <c r="BM63" i="6" s="1"/>
  <c r="AS57" i="6"/>
  <c r="AL57" i="6"/>
  <c r="AQ57" i="6" s="1"/>
  <c r="AR57" i="6"/>
  <c r="AK57" i="6"/>
  <c r="AT57" i="6" s="1"/>
  <c r="AV57" i="6"/>
  <c r="O62" i="10"/>
  <c r="P61" i="10"/>
  <c r="Q61" i="10" s="1"/>
  <c r="S60" i="10"/>
  <c r="T60" i="10" s="1"/>
  <c r="R60" i="10"/>
  <c r="U59" i="10"/>
  <c r="W59" i="10" s="1"/>
  <c r="AB59" i="10"/>
  <c r="Z60" i="6" l="1"/>
  <c r="AI60" i="6"/>
  <c r="X61" i="6"/>
  <c r="AH61" i="6"/>
  <c r="W62" i="6"/>
  <c r="AF62" i="6"/>
  <c r="AG62" i="6" s="1"/>
  <c r="V63" i="6"/>
  <c r="U63" i="6"/>
  <c r="N65" i="6"/>
  <c r="O65" i="6" s="1"/>
  <c r="P65" i="6"/>
  <c r="M66" i="6"/>
  <c r="R64" i="6"/>
  <c r="S64" i="6"/>
  <c r="T64" i="6" s="1"/>
  <c r="BW60" i="6"/>
  <c r="BV60" i="6"/>
  <c r="BY60" i="6" s="1"/>
  <c r="BX59" i="6"/>
  <c r="BZ59" i="6"/>
  <c r="AS59" i="6"/>
  <c r="AS58" i="6"/>
  <c r="N276" i="11"/>
  <c r="O276" i="11" s="1"/>
  <c r="P276" i="11" s="1"/>
  <c r="R276" i="11" s="1"/>
  <c r="Q278" i="11"/>
  <c r="A279" i="11"/>
  <c r="N62" i="10"/>
  <c r="AP64" i="6"/>
  <c r="BF64" i="6"/>
  <c r="BM64" i="6" s="1"/>
  <c r="BN56" i="6" s="1"/>
  <c r="BO57" i="6"/>
  <c r="BP57" i="6" s="1"/>
  <c r="BQ57" i="6"/>
  <c r="BR57" i="6" s="1"/>
  <c r="AV59" i="6"/>
  <c r="AK59" i="6"/>
  <c r="AT59" i="6" s="1"/>
  <c r="AL59" i="6"/>
  <c r="AQ59" i="6" s="1"/>
  <c r="AR59" i="6"/>
  <c r="AL58" i="6"/>
  <c r="AQ58" i="6" s="1"/>
  <c r="AV58" i="6"/>
  <c r="AK58" i="6"/>
  <c r="AT58" i="6" s="1"/>
  <c r="AR58" i="6"/>
  <c r="U60" i="10"/>
  <c r="W60" i="10" s="1"/>
  <c r="AB60" i="10"/>
  <c r="R61" i="10"/>
  <c r="S61" i="10"/>
  <c r="T61" i="10" s="1"/>
  <c r="P62" i="10"/>
  <c r="Q62" i="10" s="1"/>
  <c r="O63" i="10"/>
  <c r="Z61" i="6" l="1"/>
  <c r="AI61" i="6"/>
  <c r="X62" i="6"/>
  <c r="AH62" i="6"/>
  <c r="W63" i="6"/>
  <c r="AF63" i="6"/>
  <c r="AG63" i="6" s="1"/>
  <c r="U64" i="6"/>
  <c r="V64" i="6"/>
  <c r="P66" i="6"/>
  <c r="N66" i="6"/>
  <c r="O66" i="6" s="1"/>
  <c r="M67" i="6"/>
  <c r="R65" i="6"/>
  <c r="S65" i="6"/>
  <c r="T65" i="6" s="1"/>
  <c r="BV61" i="6"/>
  <c r="BY61" i="6" s="1"/>
  <c r="BW61" i="6"/>
  <c r="BX60" i="6"/>
  <c r="BZ60" i="6"/>
  <c r="BQ59" i="6"/>
  <c r="BO59" i="6"/>
  <c r="BQ58" i="6"/>
  <c r="BO58" i="6"/>
  <c r="Q279" i="11"/>
  <c r="A280" i="11"/>
  <c r="N277" i="11"/>
  <c r="O277" i="11" s="1"/>
  <c r="P277" i="11" s="1"/>
  <c r="R277" i="11" s="1"/>
  <c r="N63" i="10"/>
  <c r="AP65" i="6"/>
  <c r="BF65" i="6"/>
  <c r="BM65" i="6" s="1"/>
  <c r="AS60" i="6"/>
  <c r="AK60" i="6"/>
  <c r="AT60" i="6" s="1"/>
  <c r="AV60" i="6"/>
  <c r="AR60" i="6"/>
  <c r="AL60" i="6"/>
  <c r="AQ60" i="6" s="1"/>
  <c r="U61" i="10"/>
  <c r="W61" i="10" s="1"/>
  <c r="AB61" i="10"/>
  <c r="S62" i="10"/>
  <c r="T62" i="10" s="1"/>
  <c r="R62" i="10"/>
  <c r="O64" i="10"/>
  <c r="P63" i="10"/>
  <c r="Q63" i="10" s="1"/>
  <c r="Z62" i="6" l="1"/>
  <c r="AI62" i="6"/>
  <c r="X63" i="6"/>
  <c r="AH63" i="6"/>
  <c r="W64" i="6"/>
  <c r="AF64" i="6"/>
  <c r="AG64" i="6" s="1"/>
  <c r="U65" i="6"/>
  <c r="V65" i="6"/>
  <c r="N67" i="6"/>
  <c r="O67" i="6" s="1"/>
  <c r="P67" i="6"/>
  <c r="M68" i="6"/>
  <c r="R66" i="6"/>
  <c r="S66" i="6"/>
  <c r="T66" i="6" s="1"/>
  <c r="BV62" i="6"/>
  <c r="BY62" i="6" s="1"/>
  <c r="BW62" i="6"/>
  <c r="BZ61" i="6"/>
  <c r="BX61" i="6"/>
  <c r="BP59" i="6"/>
  <c r="BR59" i="6"/>
  <c r="BN57" i="6"/>
  <c r="BR58" i="6"/>
  <c r="BP58" i="6"/>
  <c r="N278" i="11"/>
  <c r="O278" i="11" s="1"/>
  <c r="P278" i="11" s="1"/>
  <c r="R278" i="11" s="1"/>
  <c r="Q280" i="11"/>
  <c r="A281" i="11"/>
  <c r="AP66" i="6"/>
  <c r="BF66" i="6"/>
  <c r="BM66" i="6" s="1"/>
  <c r="BO60" i="6"/>
  <c r="BQ60" i="6"/>
  <c r="AS61" i="6"/>
  <c r="N64" i="10"/>
  <c r="AL61" i="6"/>
  <c r="AQ61" i="6" s="1"/>
  <c r="AV61" i="6"/>
  <c r="AK61" i="6"/>
  <c r="AT61" i="6" s="1"/>
  <c r="AR61" i="6"/>
  <c r="O65" i="10"/>
  <c r="P64" i="10"/>
  <c r="Q64" i="10" s="1"/>
  <c r="U62" i="10"/>
  <c r="W62" i="10" s="1"/>
  <c r="AB62" i="10"/>
  <c r="S63" i="10"/>
  <c r="T63" i="10" s="1"/>
  <c r="R63" i="10"/>
  <c r="Z63" i="6" l="1"/>
  <c r="AI63" i="6"/>
  <c r="X64" i="6"/>
  <c r="AH64" i="6"/>
  <c r="W65" i="6"/>
  <c r="AF65" i="6"/>
  <c r="AG65" i="6" s="1"/>
  <c r="V66" i="6"/>
  <c r="U66" i="6"/>
  <c r="N68" i="6"/>
  <c r="O68" i="6" s="1"/>
  <c r="P68" i="6"/>
  <c r="M69" i="6"/>
  <c r="R67" i="6"/>
  <c r="S67" i="6"/>
  <c r="T67" i="6" s="1"/>
  <c r="BZ62" i="6"/>
  <c r="BX62" i="6"/>
  <c r="BV63" i="6"/>
  <c r="BY63" i="6" s="1"/>
  <c r="BW63" i="6"/>
  <c r="BN58" i="6"/>
  <c r="BO62" i="6"/>
  <c r="A282" i="11"/>
  <c r="Q281" i="11"/>
  <c r="N279" i="11"/>
  <c r="O279" i="11" s="1"/>
  <c r="P279" i="11" s="1"/>
  <c r="R279" i="11" s="1"/>
  <c r="N65" i="10"/>
  <c r="AP67" i="6"/>
  <c r="BF67" i="6"/>
  <c r="BM67" i="6" s="1"/>
  <c r="BQ61" i="6"/>
  <c r="BR61" i="6" s="1"/>
  <c r="BO61" i="6"/>
  <c r="BP61" i="6" s="1"/>
  <c r="BR60" i="6"/>
  <c r="BP60" i="6"/>
  <c r="AV62" i="6"/>
  <c r="AK62" i="6"/>
  <c r="AT62" i="6" s="1"/>
  <c r="AR62" i="6"/>
  <c r="AL62" i="6"/>
  <c r="AQ62" i="6" s="1"/>
  <c r="U63" i="10"/>
  <c r="W63" i="10" s="1"/>
  <c r="AB63" i="10"/>
  <c r="R64" i="10"/>
  <c r="S64" i="10"/>
  <c r="T64" i="10" s="1"/>
  <c r="O66" i="10"/>
  <c r="P65" i="10"/>
  <c r="Q65" i="10" s="1"/>
  <c r="Z64" i="6" l="1"/>
  <c r="AI64" i="6"/>
  <c r="X65" i="6"/>
  <c r="AH65" i="6"/>
  <c r="W66" i="6"/>
  <c r="AF66" i="6"/>
  <c r="AG66" i="6" s="1"/>
  <c r="U67" i="6"/>
  <c r="V67" i="6"/>
  <c r="P69" i="6"/>
  <c r="N69" i="6"/>
  <c r="O69" i="6" s="1"/>
  <c r="M70" i="6"/>
  <c r="S68" i="6"/>
  <c r="T68" i="6" s="1"/>
  <c r="R68" i="6"/>
  <c r="BV64" i="6"/>
  <c r="BY64" i="6" s="1"/>
  <c r="BW64" i="6"/>
  <c r="BZ63" i="6"/>
  <c r="BX63" i="6"/>
  <c r="AS62" i="6"/>
  <c r="BQ62" i="6"/>
  <c r="BR62" i="6" s="1"/>
  <c r="BN59" i="6"/>
  <c r="AS63" i="6"/>
  <c r="N280" i="11"/>
  <c r="O280" i="11" s="1"/>
  <c r="P280" i="11" s="1"/>
  <c r="R280" i="11" s="1"/>
  <c r="Q282" i="11"/>
  <c r="A283" i="11"/>
  <c r="AP68" i="6"/>
  <c r="BF68" i="6"/>
  <c r="BM68" i="6" s="1"/>
  <c r="BN60" i="6" s="1"/>
  <c r="BP62" i="6"/>
  <c r="AV63" i="6"/>
  <c r="AK63" i="6"/>
  <c r="AT63" i="6" s="1"/>
  <c r="AL63" i="6"/>
  <c r="AQ63" i="6" s="1"/>
  <c r="AR63" i="6"/>
  <c r="N66" i="10"/>
  <c r="S65" i="10"/>
  <c r="T65" i="10" s="1"/>
  <c r="U65" i="10" s="1"/>
  <c r="W65" i="10" s="1"/>
  <c r="R65" i="10"/>
  <c r="U64" i="10"/>
  <c r="W64" i="10" s="1"/>
  <c r="AB64" i="10"/>
  <c r="P66" i="10"/>
  <c r="Q66" i="10" s="1"/>
  <c r="O67" i="10"/>
  <c r="Z65" i="6" l="1"/>
  <c r="AI65" i="6"/>
  <c r="S66" i="10"/>
  <c r="T66" i="10" s="1"/>
  <c r="U66" i="10" s="1"/>
  <c r="W66" i="10" s="1"/>
  <c r="R66" i="10"/>
  <c r="X66" i="6"/>
  <c r="AH66" i="6"/>
  <c r="W67" i="6"/>
  <c r="AF67" i="6"/>
  <c r="AG67" i="6" s="1"/>
  <c r="U68" i="6"/>
  <c r="V68" i="6"/>
  <c r="N70" i="6"/>
  <c r="O70" i="6" s="1"/>
  <c r="P70" i="6"/>
  <c r="M71" i="6"/>
  <c r="R69" i="6"/>
  <c r="S69" i="6"/>
  <c r="T69" i="6" s="1"/>
  <c r="BW65" i="6"/>
  <c r="BV65" i="6"/>
  <c r="BY65" i="6" s="1"/>
  <c r="BX64" i="6"/>
  <c r="BZ64" i="6"/>
  <c r="BQ63" i="6"/>
  <c r="BR63" i="6" s="1"/>
  <c r="BO63" i="6"/>
  <c r="BP63" i="6" s="1"/>
  <c r="A284" i="11"/>
  <c r="Q283" i="11"/>
  <c r="N281" i="11"/>
  <c r="O281" i="11" s="1"/>
  <c r="P281" i="11" s="1"/>
  <c r="R281" i="11" s="1"/>
  <c r="N67" i="10"/>
  <c r="AP69" i="6"/>
  <c r="BF69" i="6"/>
  <c r="BM69" i="6" s="1"/>
  <c r="AS64" i="6"/>
  <c r="O68" i="10"/>
  <c r="P67" i="10"/>
  <c r="Q67" i="10" s="1"/>
  <c r="AL64" i="6"/>
  <c r="AQ64" i="6" s="1"/>
  <c r="AK64" i="6"/>
  <c r="AT64" i="6" s="1"/>
  <c r="AV64" i="6"/>
  <c r="AR64" i="6"/>
  <c r="Z66" i="6" l="1"/>
  <c r="AI66" i="6"/>
  <c r="S67" i="10"/>
  <c r="T67" i="10" s="1"/>
  <c r="U67" i="10" s="1"/>
  <c r="W67" i="10" s="1"/>
  <c r="R67" i="10"/>
  <c r="X67" i="6"/>
  <c r="AH67" i="6"/>
  <c r="W68" i="6"/>
  <c r="AF68" i="6"/>
  <c r="AG68" i="6" s="1"/>
  <c r="U69" i="6"/>
  <c r="V69" i="6"/>
  <c r="N71" i="6"/>
  <c r="O71" i="6" s="1"/>
  <c r="P71" i="6"/>
  <c r="M72" i="6"/>
  <c r="R70" i="6"/>
  <c r="S70" i="6"/>
  <c r="T70" i="6" s="1"/>
  <c r="BV66" i="6"/>
  <c r="BY66" i="6" s="1"/>
  <c r="BW66" i="6"/>
  <c r="BZ65" i="6"/>
  <c r="BX65" i="6"/>
  <c r="BN61" i="6"/>
  <c r="N282" i="11"/>
  <c r="O282" i="11" s="1"/>
  <c r="P282" i="11" s="1"/>
  <c r="R282" i="11" s="1"/>
  <c r="Q284" i="11"/>
  <c r="A285" i="11"/>
  <c r="N68" i="10"/>
  <c r="AP70" i="6"/>
  <c r="BF70" i="6"/>
  <c r="BM70" i="6" s="1"/>
  <c r="BQ64" i="6"/>
  <c r="BO64" i="6"/>
  <c r="P68" i="10"/>
  <c r="Q68" i="10" s="1"/>
  <c r="O69" i="10"/>
  <c r="Z67" i="6" l="1"/>
  <c r="AI67" i="6"/>
  <c r="S68" i="10"/>
  <c r="T68" i="10" s="1"/>
  <c r="U68" i="10" s="1"/>
  <c r="W68" i="10" s="1"/>
  <c r="R68" i="10"/>
  <c r="X68" i="6"/>
  <c r="AH68" i="6"/>
  <c r="W69" i="6"/>
  <c r="AF69" i="6"/>
  <c r="AG69" i="6" s="1"/>
  <c r="V70" i="6"/>
  <c r="U70" i="6"/>
  <c r="N72" i="6"/>
  <c r="O72" i="6" s="1"/>
  <c r="P72" i="6"/>
  <c r="M73" i="6"/>
  <c r="R71" i="6"/>
  <c r="S71" i="6"/>
  <c r="T71" i="6" s="1"/>
  <c r="BV67" i="6"/>
  <c r="BY67" i="6" s="1"/>
  <c r="BW67" i="6"/>
  <c r="BX66" i="6"/>
  <c r="BZ66" i="6"/>
  <c r="BN62" i="6"/>
  <c r="AS66" i="6"/>
  <c r="Q285" i="11"/>
  <c r="A286" i="11"/>
  <c r="N283" i="11"/>
  <c r="O283" i="11" s="1"/>
  <c r="P283" i="11" s="1"/>
  <c r="R283" i="11" s="1"/>
  <c r="N69" i="10"/>
  <c r="AP71" i="6"/>
  <c r="BF71" i="6"/>
  <c r="BM71" i="6" s="1"/>
  <c r="BP64" i="6"/>
  <c r="BR64" i="6"/>
  <c r="AS65" i="6"/>
  <c r="AV65" i="6"/>
  <c r="AL65" i="6"/>
  <c r="AQ65" i="6" s="1"/>
  <c r="AR66" i="6"/>
  <c r="AL66" i="6"/>
  <c r="AQ66" i="6" s="1"/>
  <c r="AK66" i="6"/>
  <c r="AT66" i="6" s="1"/>
  <c r="AV66" i="6"/>
  <c r="AR65" i="6"/>
  <c r="AK65" i="6"/>
  <c r="AT65" i="6" s="1"/>
  <c r="O70" i="10"/>
  <c r="P69" i="10"/>
  <c r="Q69" i="10" s="1"/>
  <c r="Z68" i="6" l="1"/>
  <c r="AI68" i="6"/>
  <c r="S69" i="10"/>
  <c r="T69" i="10" s="1"/>
  <c r="U69" i="10" s="1"/>
  <c r="W69" i="10" s="1"/>
  <c r="R69" i="10"/>
  <c r="X69" i="6"/>
  <c r="AH69" i="6"/>
  <c r="W70" i="6"/>
  <c r="AF70" i="6"/>
  <c r="AG70" i="6" s="1"/>
  <c r="U71" i="6"/>
  <c r="V71" i="6"/>
  <c r="N73" i="6"/>
  <c r="O73" i="6" s="1"/>
  <c r="P73" i="6"/>
  <c r="M74" i="6"/>
  <c r="R72" i="6"/>
  <c r="S72" i="6"/>
  <c r="T72" i="6" s="1"/>
  <c r="BX67" i="6"/>
  <c r="BZ67" i="6"/>
  <c r="BV68" i="6"/>
  <c r="BY68" i="6" s="1"/>
  <c r="BW68" i="6"/>
  <c r="BN63" i="6"/>
  <c r="BQ66" i="6"/>
  <c r="BO66" i="6"/>
  <c r="N284" i="11"/>
  <c r="O284" i="11" s="1"/>
  <c r="P284" i="11" s="1"/>
  <c r="R284" i="11" s="1"/>
  <c r="A287" i="11"/>
  <c r="Q286" i="11"/>
  <c r="AP72" i="6"/>
  <c r="BF72" i="6"/>
  <c r="BM72" i="6" s="1"/>
  <c r="BO65" i="6"/>
  <c r="BP65" i="6" s="1"/>
  <c r="BQ65" i="6"/>
  <c r="BR65" i="6" s="1"/>
  <c r="N70" i="10"/>
  <c r="P70" i="10"/>
  <c r="Q70" i="10" s="1"/>
  <c r="O71" i="10"/>
  <c r="Z69" i="6" l="1"/>
  <c r="AI69" i="6"/>
  <c r="S70" i="10"/>
  <c r="T70" i="10" s="1"/>
  <c r="U70" i="10" s="1"/>
  <c r="W70" i="10" s="1"/>
  <c r="R70" i="10"/>
  <c r="X70" i="6"/>
  <c r="AH70" i="6"/>
  <c r="W71" i="6"/>
  <c r="AF71" i="6"/>
  <c r="AG71" i="6" s="1"/>
  <c r="U72" i="6"/>
  <c r="V72" i="6"/>
  <c r="N74" i="6"/>
  <c r="O74" i="6" s="1"/>
  <c r="P74" i="6"/>
  <c r="M75" i="6"/>
  <c r="R73" i="6"/>
  <c r="S73" i="6"/>
  <c r="T73" i="6" s="1"/>
  <c r="BV69" i="6"/>
  <c r="BY69" i="6" s="1"/>
  <c r="BW69" i="6"/>
  <c r="BX68" i="6"/>
  <c r="BZ68" i="6"/>
  <c r="BN64" i="6"/>
  <c r="AS67" i="6"/>
  <c r="BQ68" i="6"/>
  <c r="A288" i="11"/>
  <c r="Q287" i="11"/>
  <c r="N285" i="11"/>
  <c r="O285" i="11" s="1"/>
  <c r="P285" i="11" s="1"/>
  <c r="R285" i="11" s="1"/>
  <c r="AP73" i="6"/>
  <c r="BF73" i="6"/>
  <c r="BM73" i="6" s="1"/>
  <c r="BP66" i="6"/>
  <c r="BR66" i="6"/>
  <c r="AR68" i="6"/>
  <c r="AV68" i="6"/>
  <c r="AL68" i="6"/>
  <c r="AQ68" i="6" s="1"/>
  <c r="AK68" i="6"/>
  <c r="AT68" i="6" s="1"/>
  <c r="AR67" i="6"/>
  <c r="AK67" i="6"/>
  <c r="AT67" i="6" s="1"/>
  <c r="AV67" i="6"/>
  <c r="AL67" i="6"/>
  <c r="AQ67" i="6" s="1"/>
  <c r="N71" i="10"/>
  <c r="P71" i="10"/>
  <c r="Q71" i="10" s="1"/>
  <c r="O72" i="10"/>
  <c r="Z70" i="6" l="1"/>
  <c r="AI70" i="6"/>
  <c r="S71" i="10"/>
  <c r="T71" i="10" s="1"/>
  <c r="U71" i="10" s="1"/>
  <c r="W71" i="10" s="1"/>
  <c r="R71" i="10"/>
  <c r="X71" i="6"/>
  <c r="AH71" i="6"/>
  <c r="W72" i="6"/>
  <c r="AF72" i="6"/>
  <c r="AG72" i="6" s="1"/>
  <c r="U73" i="6"/>
  <c r="V73" i="6"/>
  <c r="P75" i="6"/>
  <c r="N75" i="6"/>
  <c r="O75" i="6" s="1"/>
  <c r="M76" i="6"/>
  <c r="R74" i="6"/>
  <c r="S74" i="6"/>
  <c r="T74" i="6" s="1"/>
  <c r="BW70" i="6"/>
  <c r="BV70" i="6"/>
  <c r="BY70" i="6" s="1"/>
  <c r="BZ69" i="6"/>
  <c r="BX69" i="6"/>
  <c r="BN65" i="6"/>
  <c r="BO68" i="6"/>
  <c r="BQ67" i="6"/>
  <c r="BR67" i="6" s="1"/>
  <c r="BO67" i="6"/>
  <c r="BP67" i="6" s="1"/>
  <c r="AS68" i="6"/>
  <c r="N286" i="11"/>
  <c r="O286" i="11" s="1"/>
  <c r="P286" i="11" s="1"/>
  <c r="R286" i="11" s="1"/>
  <c r="A289" i="11"/>
  <c r="Q288" i="11"/>
  <c r="N72" i="10"/>
  <c r="AP74" i="6"/>
  <c r="BF74" i="6"/>
  <c r="BM74" i="6" s="1"/>
  <c r="O73" i="10"/>
  <c r="P72" i="10"/>
  <c r="Q72" i="10" s="1"/>
  <c r="Z71" i="6" l="1"/>
  <c r="AI71" i="6"/>
  <c r="S72" i="10"/>
  <c r="T72" i="10" s="1"/>
  <c r="U72" i="10" s="1"/>
  <c r="W72" i="10" s="1"/>
  <c r="R72" i="10"/>
  <c r="X72" i="6"/>
  <c r="AH72" i="6"/>
  <c r="W73" i="6"/>
  <c r="AF73" i="6"/>
  <c r="AG73" i="6" s="1"/>
  <c r="U74" i="6"/>
  <c r="V74" i="6"/>
  <c r="P76" i="6"/>
  <c r="N76" i="6"/>
  <c r="O76" i="6" s="1"/>
  <c r="M77" i="6"/>
  <c r="R75" i="6"/>
  <c r="S75" i="6"/>
  <c r="T75" i="6" s="1"/>
  <c r="BV71" i="6"/>
  <c r="BY71" i="6" s="1"/>
  <c r="BW71" i="6"/>
  <c r="BZ70" i="6"/>
  <c r="BX70" i="6"/>
  <c r="BP68" i="6"/>
  <c r="BN66" i="6"/>
  <c r="BR68" i="6"/>
  <c r="AS70" i="6"/>
  <c r="AS69" i="6"/>
  <c r="N287" i="11"/>
  <c r="O287" i="11" s="1"/>
  <c r="P287" i="11" s="1"/>
  <c r="R287" i="11" s="1"/>
  <c r="Q289" i="11"/>
  <c r="A290" i="11"/>
  <c r="N73" i="10"/>
  <c r="BF75" i="6"/>
  <c r="BM75" i="6" s="1"/>
  <c r="AK70" i="6"/>
  <c r="AT70" i="6" s="1"/>
  <c r="AR70" i="6"/>
  <c r="AL70" i="6"/>
  <c r="AQ70" i="6" s="1"/>
  <c r="AR69" i="6"/>
  <c r="AV69" i="6"/>
  <c r="AK69" i="6"/>
  <c r="AT69" i="6" s="1"/>
  <c r="AL69" i="6"/>
  <c r="AQ69" i="6" s="1"/>
  <c r="O74" i="10"/>
  <c r="P73" i="10"/>
  <c r="Q73" i="10" s="1"/>
  <c r="Z72" i="6" l="1"/>
  <c r="AI72" i="6"/>
  <c r="S73" i="10"/>
  <c r="T73" i="10" s="1"/>
  <c r="U73" i="10" s="1"/>
  <c r="W73" i="10" s="1"/>
  <c r="R73" i="10"/>
  <c r="X73" i="6"/>
  <c r="AH73" i="6"/>
  <c r="W74" i="6"/>
  <c r="AF74" i="6"/>
  <c r="AG74" i="6" s="1"/>
  <c r="U75" i="6"/>
  <c r="V75" i="6"/>
  <c r="P77" i="6"/>
  <c r="N77" i="6"/>
  <c r="O77" i="6" s="1"/>
  <c r="M78" i="6"/>
  <c r="R76" i="6"/>
  <c r="S76" i="6"/>
  <c r="T76" i="6" s="1"/>
  <c r="BV72" i="6"/>
  <c r="BY72" i="6" s="1"/>
  <c r="BW72" i="6"/>
  <c r="BZ71" i="6"/>
  <c r="BX71" i="6"/>
  <c r="BO70" i="6"/>
  <c r="BN67" i="6"/>
  <c r="BO69" i="6"/>
  <c r="BP69" i="6" s="1"/>
  <c r="BQ69" i="6"/>
  <c r="BR69" i="6" s="1"/>
  <c r="BQ70" i="6"/>
  <c r="Q290" i="11"/>
  <c r="A291" i="11"/>
  <c r="N288" i="11"/>
  <c r="O288" i="11" s="1"/>
  <c r="P288" i="11" s="1"/>
  <c r="R288" i="11" s="1"/>
  <c r="N74" i="10"/>
  <c r="BF76" i="6"/>
  <c r="BM76" i="6" s="1"/>
  <c r="P74" i="10"/>
  <c r="Q74" i="10" s="1"/>
  <c r="O75" i="10"/>
  <c r="Z73" i="6" l="1"/>
  <c r="AI73" i="6"/>
  <c r="S74" i="10"/>
  <c r="T74" i="10" s="1"/>
  <c r="U74" i="10" s="1"/>
  <c r="W74" i="10" s="1"/>
  <c r="R74" i="10"/>
  <c r="X74" i="6"/>
  <c r="AH74" i="6"/>
  <c r="W75" i="6"/>
  <c r="AF75" i="6"/>
  <c r="AG75" i="6" s="1"/>
  <c r="U76" i="6"/>
  <c r="V76" i="6"/>
  <c r="N78" i="6"/>
  <c r="O78" i="6" s="1"/>
  <c r="P78" i="6"/>
  <c r="M79" i="6"/>
  <c r="R77" i="6"/>
  <c r="S77" i="6"/>
  <c r="T77" i="6" s="1"/>
  <c r="BX72" i="6"/>
  <c r="BZ72" i="6"/>
  <c r="BV73" i="6"/>
  <c r="BY73" i="6" s="1"/>
  <c r="BW73" i="6"/>
  <c r="BR70" i="6"/>
  <c r="BN68" i="6"/>
  <c r="BP70" i="6"/>
  <c r="A292" i="11"/>
  <c r="Q291" i="11"/>
  <c r="N289" i="11"/>
  <c r="O289" i="11" s="1"/>
  <c r="P289" i="11" s="1"/>
  <c r="R289" i="11" s="1"/>
  <c r="N75" i="10"/>
  <c r="BF77" i="6"/>
  <c r="BM77" i="6" s="1"/>
  <c r="AS71" i="6"/>
  <c r="AL71" i="6"/>
  <c r="AQ71" i="6" s="1"/>
  <c r="AR71" i="6"/>
  <c r="AK71" i="6"/>
  <c r="AT71" i="6" s="1"/>
  <c r="AL72" i="6"/>
  <c r="AQ72" i="6" s="1"/>
  <c r="AR72" i="6"/>
  <c r="AK72" i="6"/>
  <c r="AT72" i="6" s="1"/>
  <c r="O76" i="10"/>
  <c r="P75" i="10"/>
  <c r="Q75" i="10" s="1"/>
  <c r="Z74" i="6" l="1"/>
  <c r="AI74" i="6"/>
  <c r="S75" i="10"/>
  <c r="T75" i="10" s="1"/>
  <c r="U75" i="10" s="1"/>
  <c r="W75" i="10" s="1"/>
  <c r="R75" i="10"/>
  <c r="X75" i="6"/>
  <c r="AH75" i="6"/>
  <c r="W76" i="6"/>
  <c r="AF76" i="6"/>
  <c r="AG76" i="6" s="1"/>
  <c r="U77" i="6"/>
  <c r="V77" i="6"/>
  <c r="N79" i="6"/>
  <c r="O79" i="6" s="1"/>
  <c r="P79" i="6"/>
  <c r="M80" i="6"/>
  <c r="R78" i="6"/>
  <c r="S78" i="6"/>
  <c r="T78" i="6" s="1"/>
  <c r="BW74" i="6"/>
  <c r="BV74" i="6"/>
  <c r="BY74" i="6" s="1"/>
  <c r="BX73" i="6"/>
  <c r="BZ73" i="6"/>
  <c r="BO72" i="6"/>
  <c r="AS72" i="6"/>
  <c r="BN69" i="6"/>
  <c r="BQ72" i="6"/>
  <c r="N290" i="11"/>
  <c r="O290" i="11" s="1"/>
  <c r="P290" i="11" s="1"/>
  <c r="R290" i="11" s="1"/>
  <c r="A293" i="11"/>
  <c r="Q292" i="11"/>
  <c r="BF78" i="6"/>
  <c r="BM78" i="6" s="1"/>
  <c r="BO71" i="6"/>
  <c r="BP71" i="6" s="1"/>
  <c r="BQ71" i="6"/>
  <c r="BR71" i="6" s="1"/>
  <c r="N76" i="10"/>
  <c r="P76" i="10"/>
  <c r="Q76" i="10" s="1"/>
  <c r="O77" i="10"/>
  <c r="Z75" i="6" l="1"/>
  <c r="AI75" i="6"/>
  <c r="S76" i="10"/>
  <c r="T76" i="10" s="1"/>
  <c r="U76" i="10" s="1"/>
  <c r="W76" i="10" s="1"/>
  <c r="R76" i="10"/>
  <c r="X76" i="6"/>
  <c r="AH76" i="6"/>
  <c r="W77" i="6"/>
  <c r="AF77" i="6"/>
  <c r="AG77" i="6" s="1"/>
  <c r="U78" i="6"/>
  <c r="V78" i="6"/>
  <c r="N80" i="6"/>
  <c r="O80" i="6" s="1"/>
  <c r="P80" i="6"/>
  <c r="M81" i="6"/>
  <c r="R79" i="6"/>
  <c r="S79" i="6"/>
  <c r="T79" i="6" s="1"/>
  <c r="BV75" i="6"/>
  <c r="BY75" i="6" s="1"/>
  <c r="BW75" i="6"/>
  <c r="BX74" i="6"/>
  <c r="BZ74" i="6"/>
  <c r="BN70" i="6"/>
  <c r="Q293" i="11"/>
  <c r="A294" i="11"/>
  <c r="N291" i="11"/>
  <c r="O291" i="11" s="1"/>
  <c r="P291" i="11" s="1"/>
  <c r="R291" i="11" s="1"/>
  <c r="BF79" i="6"/>
  <c r="BM79" i="6" s="1"/>
  <c r="BN71" i="6" s="1"/>
  <c r="BR72" i="6"/>
  <c r="BP72" i="6"/>
  <c r="AS73" i="6"/>
  <c r="AK74" i="6"/>
  <c r="AT74" i="6" s="1"/>
  <c r="AR74" i="6"/>
  <c r="AL74" i="6"/>
  <c r="AQ74" i="6" s="1"/>
  <c r="N77" i="10"/>
  <c r="AK73" i="6"/>
  <c r="AT73" i="6" s="1"/>
  <c r="AL73" i="6"/>
  <c r="AQ73" i="6" s="1"/>
  <c r="AR73" i="6"/>
  <c r="O78" i="10"/>
  <c r="P77" i="10"/>
  <c r="Q77" i="10" s="1"/>
  <c r="Z76" i="6" l="1"/>
  <c r="AI76" i="6"/>
  <c r="S77" i="10"/>
  <c r="T77" i="10" s="1"/>
  <c r="U77" i="10" s="1"/>
  <c r="W77" i="10" s="1"/>
  <c r="R77" i="10"/>
  <c r="X77" i="6"/>
  <c r="AH77" i="6"/>
  <c r="W78" i="6"/>
  <c r="AF78" i="6"/>
  <c r="AG78" i="6" s="1"/>
  <c r="U79" i="6"/>
  <c r="V79" i="6"/>
  <c r="N81" i="6"/>
  <c r="O81" i="6" s="1"/>
  <c r="P81" i="6"/>
  <c r="M82" i="6"/>
  <c r="R80" i="6"/>
  <c r="S80" i="6"/>
  <c r="T80" i="6" s="1"/>
  <c r="BV76" i="6"/>
  <c r="BY76" i="6" s="1"/>
  <c r="BW76" i="6"/>
  <c r="BZ75" i="6"/>
  <c r="BX75" i="6"/>
  <c r="BQ74" i="6"/>
  <c r="BO74" i="6"/>
  <c r="AS74" i="6"/>
  <c r="N292" i="11"/>
  <c r="O292" i="11" s="1"/>
  <c r="P292" i="11" s="1"/>
  <c r="R292" i="11" s="1"/>
  <c r="A295" i="11"/>
  <c r="Q294" i="11"/>
  <c r="N78" i="10"/>
  <c r="BF80" i="6"/>
  <c r="BM80" i="6" s="1"/>
  <c r="BO73" i="6"/>
  <c r="BP73" i="6" s="1"/>
  <c r="BQ73" i="6"/>
  <c r="BR73" i="6" s="1"/>
  <c r="AS75" i="6"/>
  <c r="AR75" i="6"/>
  <c r="AK75" i="6"/>
  <c r="AT75" i="6" s="1"/>
  <c r="P78" i="10"/>
  <c r="Q78" i="10" s="1"/>
  <c r="O79" i="10"/>
  <c r="Z77" i="6" l="1"/>
  <c r="AI77" i="6"/>
  <c r="S78" i="10"/>
  <c r="T78" i="10" s="1"/>
  <c r="U78" i="10" s="1"/>
  <c r="W78" i="10" s="1"/>
  <c r="R78" i="10"/>
  <c r="X78" i="6"/>
  <c r="AH78" i="6"/>
  <c r="W79" i="6"/>
  <c r="AF79" i="6"/>
  <c r="AG79" i="6" s="1"/>
  <c r="U80" i="6"/>
  <c r="V80" i="6"/>
  <c r="N82" i="6"/>
  <c r="O82" i="6" s="1"/>
  <c r="P82" i="6"/>
  <c r="M83" i="6"/>
  <c r="R81" i="6"/>
  <c r="S81" i="6"/>
  <c r="T81" i="6" s="1"/>
  <c r="BV77" i="6"/>
  <c r="BY77" i="6" s="1"/>
  <c r="BW77" i="6"/>
  <c r="BZ76" i="6"/>
  <c r="BX76" i="6"/>
  <c r="BN72" i="6"/>
  <c r="A296" i="11"/>
  <c r="Q295" i="11"/>
  <c r="N293" i="11"/>
  <c r="O293" i="11" s="1"/>
  <c r="P293" i="11" s="1"/>
  <c r="R293" i="11" s="1"/>
  <c r="BF81" i="6"/>
  <c r="BM81" i="6" s="1"/>
  <c r="BP74" i="6"/>
  <c r="BR74" i="6"/>
  <c r="BO75" i="6"/>
  <c r="BP75" i="6" s="1"/>
  <c r="BQ75" i="6"/>
  <c r="BR75" i="6" s="1"/>
  <c r="N79" i="10"/>
  <c r="P79" i="10"/>
  <c r="Q79" i="10" s="1"/>
  <c r="O80" i="10"/>
  <c r="Z78" i="6" l="1"/>
  <c r="AI78" i="6"/>
  <c r="S79" i="10"/>
  <c r="T79" i="10" s="1"/>
  <c r="U79" i="10" s="1"/>
  <c r="W79" i="10" s="1"/>
  <c r="R79" i="10"/>
  <c r="X79" i="6"/>
  <c r="AH79" i="6"/>
  <c r="W80" i="6"/>
  <c r="AF80" i="6"/>
  <c r="AG80" i="6" s="1"/>
  <c r="U81" i="6"/>
  <c r="V81" i="6"/>
  <c r="N83" i="6"/>
  <c r="O83" i="6" s="1"/>
  <c r="P83" i="6"/>
  <c r="M84" i="6"/>
  <c r="R82" i="6"/>
  <c r="S82" i="6"/>
  <c r="T82" i="6" s="1"/>
  <c r="BV78" i="6"/>
  <c r="BY78" i="6" s="1"/>
  <c r="BW78" i="6"/>
  <c r="BX77" i="6"/>
  <c r="BZ77" i="6"/>
  <c r="BN73" i="6"/>
  <c r="N294" i="11"/>
  <c r="O294" i="11" s="1"/>
  <c r="P294" i="11" s="1"/>
  <c r="R294" i="11" s="1"/>
  <c r="Q296" i="11"/>
  <c r="A297" i="11"/>
  <c r="BF82" i="6"/>
  <c r="BM82" i="6" s="1"/>
  <c r="AS76" i="6"/>
  <c r="AR76" i="6"/>
  <c r="AK76" i="6"/>
  <c r="AT76" i="6" s="1"/>
  <c r="N80" i="10"/>
  <c r="O81" i="10"/>
  <c r="P80" i="10"/>
  <c r="Q80" i="10" s="1"/>
  <c r="Z79" i="6" l="1"/>
  <c r="AI79" i="6"/>
  <c r="S80" i="10"/>
  <c r="T80" i="10" s="1"/>
  <c r="U80" i="10" s="1"/>
  <c r="W80" i="10" s="1"/>
  <c r="R80" i="10"/>
  <c r="X80" i="6"/>
  <c r="AH80" i="6"/>
  <c r="W81" i="6"/>
  <c r="AF81" i="6"/>
  <c r="AG81" i="6" s="1"/>
  <c r="U82" i="6"/>
  <c r="V82" i="6"/>
  <c r="N84" i="6"/>
  <c r="O84" i="6" s="1"/>
  <c r="P84" i="6"/>
  <c r="M85" i="6"/>
  <c r="R83" i="6"/>
  <c r="S83" i="6"/>
  <c r="T83" i="6" s="1"/>
  <c r="BV79" i="6"/>
  <c r="BY79" i="6" s="1"/>
  <c r="BW79" i="6"/>
  <c r="BX78" i="6"/>
  <c r="BZ78" i="6"/>
  <c r="BN74" i="6"/>
  <c r="Q297" i="11"/>
  <c r="A298" i="11"/>
  <c r="N295" i="11"/>
  <c r="O295" i="11" s="1"/>
  <c r="P295" i="11" s="1"/>
  <c r="R295" i="11" s="1"/>
  <c r="N81" i="10"/>
  <c r="BF83" i="6"/>
  <c r="BM83" i="6" s="1"/>
  <c r="BO76" i="6"/>
  <c r="BQ76" i="6"/>
  <c r="AS78" i="6"/>
  <c r="AS77" i="6"/>
  <c r="AK77" i="6"/>
  <c r="AT77" i="6" s="1"/>
  <c r="AR77" i="6"/>
  <c r="AK78" i="6"/>
  <c r="AT78" i="6" s="1"/>
  <c r="AR78" i="6"/>
  <c r="P81" i="10"/>
  <c r="Q81" i="10" s="1"/>
  <c r="O82" i="10"/>
  <c r="Z80" i="6" l="1"/>
  <c r="AI80" i="6"/>
  <c r="S81" i="10"/>
  <c r="T81" i="10" s="1"/>
  <c r="U81" i="10" s="1"/>
  <c r="W81" i="10" s="1"/>
  <c r="R81" i="10"/>
  <c r="X81" i="6"/>
  <c r="AH81" i="6"/>
  <c r="W82" i="6"/>
  <c r="AF82" i="6"/>
  <c r="AG82" i="6" s="1"/>
  <c r="U83" i="6"/>
  <c r="V83" i="6"/>
  <c r="N85" i="6"/>
  <c r="O85" i="6" s="1"/>
  <c r="P85" i="6"/>
  <c r="M86" i="6"/>
  <c r="R84" i="6"/>
  <c r="S84" i="6"/>
  <c r="T84" i="6" s="1"/>
  <c r="BV80" i="6"/>
  <c r="BY80" i="6" s="1"/>
  <c r="BW80" i="6"/>
  <c r="BZ79" i="6"/>
  <c r="BX79" i="6"/>
  <c r="BN75" i="6"/>
  <c r="N296" i="11"/>
  <c r="O296" i="11" s="1"/>
  <c r="P296" i="11" s="1"/>
  <c r="R296" i="11" s="1"/>
  <c r="A299" i="11"/>
  <c r="Q298" i="11"/>
  <c r="N82" i="10"/>
  <c r="BF84" i="6"/>
  <c r="BM84" i="6" s="1"/>
  <c r="BO78" i="6"/>
  <c r="BQ78" i="6"/>
  <c r="BR76" i="6"/>
  <c r="BQ77" i="6"/>
  <c r="BR77" i="6" s="1"/>
  <c r="BO77" i="6"/>
  <c r="BP77" i="6" s="1"/>
  <c r="BP76" i="6"/>
  <c r="O83" i="10"/>
  <c r="P82" i="10"/>
  <c r="Q82" i="10" s="1"/>
  <c r="BW81" i="6"/>
  <c r="BX81" i="6" s="1"/>
  <c r="Z81" i="6" l="1"/>
  <c r="AI81" i="6"/>
  <c r="S82" i="10"/>
  <c r="T82" i="10" s="1"/>
  <c r="U82" i="10" s="1"/>
  <c r="W82" i="10" s="1"/>
  <c r="R82" i="10"/>
  <c r="X82" i="6"/>
  <c r="AH82" i="6"/>
  <c r="W83" i="6"/>
  <c r="AF83" i="6"/>
  <c r="AG83" i="6" s="1"/>
  <c r="U84" i="6"/>
  <c r="V84" i="6"/>
  <c r="P86" i="6"/>
  <c r="N86" i="6"/>
  <c r="O86" i="6" s="1"/>
  <c r="M87" i="6"/>
  <c r="R85" i="6"/>
  <c r="S85" i="6"/>
  <c r="T85" i="6" s="1"/>
  <c r="BZ80" i="6"/>
  <c r="BX80" i="6"/>
  <c r="BN76" i="6"/>
  <c r="AS80" i="6"/>
  <c r="N297" i="11"/>
  <c r="O297" i="11" s="1"/>
  <c r="P297" i="11" s="1"/>
  <c r="R297" i="11" s="1"/>
  <c r="Q299" i="11"/>
  <c r="A300" i="11"/>
  <c r="N83" i="10"/>
  <c r="BF85" i="6"/>
  <c r="BM85" i="6" s="1"/>
  <c r="BR78" i="6"/>
  <c r="BP78" i="6"/>
  <c r="AS79" i="6"/>
  <c r="AR79" i="6"/>
  <c r="AK79" i="6"/>
  <c r="AT79" i="6" s="1"/>
  <c r="AR80" i="6"/>
  <c r="AK80" i="6"/>
  <c r="AT80" i="6" s="1"/>
  <c r="BW82" i="6"/>
  <c r="BX82" i="6" s="1"/>
  <c r="O84" i="10"/>
  <c r="P83" i="10"/>
  <c r="Q83" i="10" s="1"/>
  <c r="Z82" i="6" l="1"/>
  <c r="AI82" i="6"/>
  <c r="S83" i="10"/>
  <c r="T83" i="10" s="1"/>
  <c r="U83" i="10" s="1"/>
  <c r="W83" i="10" s="1"/>
  <c r="R83" i="10"/>
  <c r="X83" i="6"/>
  <c r="AH83" i="6"/>
  <c r="W84" i="6"/>
  <c r="AF84" i="6"/>
  <c r="AG84" i="6" s="1"/>
  <c r="U85" i="6"/>
  <c r="V85" i="6"/>
  <c r="N87" i="6"/>
  <c r="O87" i="6" s="1"/>
  <c r="P87" i="6"/>
  <c r="M88" i="6"/>
  <c r="R86" i="6"/>
  <c r="S86" i="6"/>
  <c r="T86" i="6" s="1"/>
  <c r="BQ80" i="6"/>
  <c r="BN77" i="6"/>
  <c r="BO80" i="6"/>
  <c r="A301" i="11"/>
  <c r="Q300" i="11"/>
  <c r="N298" i="11"/>
  <c r="O298" i="11" s="1"/>
  <c r="P298" i="11" s="1"/>
  <c r="R298" i="11" s="1"/>
  <c r="N84" i="10"/>
  <c r="BF86" i="6"/>
  <c r="BM86" i="6" s="1"/>
  <c r="BO79" i="6"/>
  <c r="BP79" i="6" s="1"/>
  <c r="BQ79" i="6"/>
  <c r="BR79" i="6" s="1"/>
  <c r="P84" i="10"/>
  <c r="Q84" i="10" s="1"/>
  <c r="O85" i="10"/>
  <c r="BW83" i="6"/>
  <c r="BX83" i="6" s="1"/>
  <c r="AK81" i="6"/>
  <c r="AT81" i="6" s="1"/>
  <c r="AR81" i="6"/>
  <c r="Z83" i="6" l="1"/>
  <c r="AI83" i="6"/>
  <c r="S84" i="10"/>
  <c r="T84" i="10" s="1"/>
  <c r="U84" i="10" s="1"/>
  <c r="W84" i="10" s="1"/>
  <c r="R84" i="10"/>
  <c r="X84" i="6"/>
  <c r="AH84" i="6"/>
  <c r="W85" i="6"/>
  <c r="AF85" i="6"/>
  <c r="AG85" i="6" s="1"/>
  <c r="V86" i="6"/>
  <c r="U86" i="6"/>
  <c r="N88" i="6"/>
  <c r="O88" i="6" s="1"/>
  <c r="P88" i="6"/>
  <c r="M89" i="6"/>
  <c r="R87" i="6"/>
  <c r="S87" i="6"/>
  <c r="T87" i="6" s="1"/>
  <c r="BQ81" i="6"/>
  <c r="BR81" i="6" s="1"/>
  <c r="BO81" i="6"/>
  <c r="BP81" i="6" s="1"/>
  <c r="AS81" i="6"/>
  <c r="BN78" i="6"/>
  <c r="N299" i="11"/>
  <c r="O299" i="11" s="1"/>
  <c r="P299" i="11" s="1"/>
  <c r="R299" i="11" s="1"/>
  <c r="A302" i="11"/>
  <c r="Q301" i="11"/>
  <c r="N85" i="10"/>
  <c r="BF87" i="6"/>
  <c r="BM87" i="6" s="1"/>
  <c r="BP80" i="6"/>
  <c r="BR80" i="6"/>
  <c r="AR82" i="6"/>
  <c r="AK82" i="6"/>
  <c r="AT82" i="6" s="1"/>
  <c r="BW84" i="6"/>
  <c r="BX84" i="6" s="1"/>
  <c r="O86" i="10"/>
  <c r="P85" i="10"/>
  <c r="Q85" i="10" s="1"/>
  <c r="Z84" i="6" l="1"/>
  <c r="AI84" i="6"/>
  <c r="S85" i="10"/>
  <c r="T85" i="10" s="1"/>
  <c r="U85" i="10" s="1"/>
  <c r="W85" i="10" s="1"/>
  <c r="R85" i="10"/>
  <c r="X85" i="6"/>
  <c r="AH85" i="6"/>
  <c r="W86" i="6"/>
  <c r="AF86" i="6"/>
  <c r="AG86" i="6" s="1"/>
  <c r="U87" i="6"/>
  <c r="V87" i="6"/>
  <c r="N89" i="6"/>
  <c r="O89" i="6" s="1"/>
  <c r="P89" i="6"/>
  <c r="M90" i="6"/>
  <c r="R88" i="6"/>
  <c r="S88" i="6"/>
  <c r="T88" i="6" s="1"/>
  <c r="BQ82" i="6"/>
  <c r="BR82" i="6" s="1"/>
  <c r="BO82" i="6"/>
  <c r="BP82" i="6" s="1"/>
  <c r="AS82" i="6"/>
  <c r="BN79" i="6"/>
  <c r="Q302" i="11"/>
  <c r="A303" i="11"/>
  <c r="N300" i="11"/>
  <c r="O300" i="11" s="1"/>
  <c r="P300" i="11" s="1"/>
  <c r="R300" i="11" s="1"/>
  <c r="N86" i="10"/>
  <c r="BF88" i="6"/>
  <c r="BM88" i="6" s="1"/>
  <c r="BN80" i="6" s="1"/>
  <c r="O87" i="10"/>
  <c r="P86" i="10"/>
  <c r="Q86" i="10" s="1"/>
  <c r="BW85" i="6"/>
  <c r="BX85" i="6" s="1"/>
  <c r="Z85" i="6" l="1"/>
  <c r="AI85" i="6"/>
  <c r="S86" i="10"/>
  <c r="T86" i="10" s="1"/>
  <c r="U86" i="10" s="1"/>
  <c r="W86" i="10" s="1"/>
  <c r="R86" i="10"/>
  <c r="X86" i="6"/>
  <c r="AH86" i="6"/>
  <c r="W87" i="6"/>
  <c r="AF87" i="6"/>
  <c r="AG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F89" i="6"/>
  <c r="BM89" i="6" s="1"/>
  <c r="AS83" i="6"/>
  <c r="AK84" i="6"/>
  <c r="AT84" i="6" s="1"/>
  <c r="AR84" i="6"/>
  <c r="AK83" i="6"/>
  <c r="AT83" i="6" s="1"/>
  <c r="AR83" i="6"/>
  <c r="BW86" i="6"/>
  <c r="BX86" i="6" s="1"/>
  <c r="P87" i="10"/>
  <c r="Q87" i="10" s="1"/>
  <c r="O88" i="10"/>
  <c r="Z86" i="6" l="1"/>
  <c r="AI86" i="6"/>
  <c r="S87" i="10"/>
  <c r="T87" i="10" s="1"/>
  <c r="U87" i="10" s="1"/>
  <c r="W87" i="10" s="1"/>
  <c r="R87" i="10"/>
  <c r="X87" i="6"/>
  <c r="AH87" i="6"/>
  <c r="W88" i="6"/>
  <c r="AF88" i="6"/>
  <c r="AG88" i="6" s="1"/>
  <c r="R90" i="6"/>
  <c r="S90" i="6"/>
  <c r="T90" i="6" s="1"/>
  <c r="U89" i="6"/>
  <c r="V89" i="6"/>
  <c r="N91" i="6"/>
  <c r="O91" i="6" s="1"/>
  <c r="P91" i="6"/>
  <c r="M92" i="6"/>
  <c r="BO84" i="6"/>
  <c r="BQ84" i="6"/>
  <c r="AS84" i="6"/>
  <c r="BN81" i="6"/>
  <c r="BQ85" i="6"/>
  <c r="Q304" i="11"/>
  <c r="N302" i="11"/>
  <c r="O302" i="11" s="1"/>
  <c r="P302" i="11" s="1"/>
  <c r="R302" i="11" s="1"/>
  <c r="N88" i="10"/>
  <c r="BF90" i="6"/>
  <c r="BM90" i="6" s="1"/>
  <c r="BO83" i="6"/>
  <c r="BP83" i="6" s="1"/>
  <c r="BQ83" i="6"/>
  <c r="BR83" i="6" s="1"/>
  <c r="P88" i="10"/>
  <c r="Q88" i="10" s="1"/>
  <c r="O89" i="10"/>
  <c r="BW87" i="6"/>
  <c r="BX87" i="6" s="1"/>
  <c r="AR85" i="6"/>
  <c r="AK85" i="6"/>
  <c r="AT85" i="6" s="1"/>
  <c r="Z87" i="6" l="1"/>
  <c r="AI87" i="6"/>
  <c r="S88" i="10"/>
  <c r="T88" i="10" s="1"/>
  <c r="U88" i="10" s="1"/>
  <c r="W88" i="10" s="1"/>
  <c r="R88" i="10"/>
  <c r="X88" i="6"/>
  <c r="AH88" i="6"/>
  <c r="W89" i="6"/>
  <c r="AF89" i="6"/>
  <c r="AG89" i="6" s="1"/>
  <c r="N92" i="6"/>
  <c r="O92" i="6" s="1"/>
  <c r="P92" i="6"/>
  <c r="M93" i="6"/>
  <c r="R91" i="6"/>
  <c r="S91" i="6"/>
  <c r="T91" i="6" s="1"/>
  <c r="U90" i="6"/>
  <c r="V90" i="6"/>
  <c r="BR85" i="6"/>
  <c r="BO85" i="6"/>
  <c r="BP85" i="6" s="1"/>
  <c r="BN82" i="6"/>
  <c r="AS85" i="6"/>
  <c r="AS86" i="6"/>
  <c r="N303" i="11"/>
  <c r="O303" i="11" s="1"/>
  <c r="P303" i="11" s="1"/>
  <c r="R303" i="11" s="1"/>
  <c r="N89" i="10"/>
  <c r="BF91" i="6"/>
  <c r="BM91" i="6" s="1"/>
  <c r="BP84" i="6"/>
  <c r="BR84" i="6"/>
  <c r="AR86" i="6"/>
  <c r="AK86" i="6"/>
  <c r="AT86" i="6" s="1"/>
  <c r="O90" i="10"/>
  <c r="P89" i="10"/>
  <c r="Q89" i="10" s="1"/>
  <c r="BW88" i="6"/>
  <c r="BX88" i="6" s="1"/>
  <c r="Z88" i="6" l="1"/>
  <c r="AI88" i="6"/>
  <c r="S89" i="10"/>
  <c r="T89" i="10" s="1"/>
  <c r="U89" i="10" s="1"/>
  <c r="W89" i="10" s="1"/>
  <c r="R89" i="10"/>
  <c r="X89" i="6"/>
  <c r="AH89" i="6"/>
  <c r="W90" i="6"/>
  <c r="AF90" i="6"/>
  <c r="AG90" i="6" s="1"/>
  <c r="U91" i="6"/>
  <c r="V91" i="6"/>
  <c r="N93" i="6"/>
  <c r="O93" i="6" s="1"/>
  <c r="P93" i="6"/>
  <c r="M94" i="6"/>
  <c r="S92" i="6"/>
  <c r="T92" i="6" s="1"/>
  <c r="R92" i="6"/>
  <c r="BQ86" i="6"/>
  <c r="BR86" i="6" s="1"/>
  <c r="BO86" i="6"/>
  <c r="BP86" i="6" s="1"/>
  <c r="BN83" i="6"/>
  <c r="N304" i="11"/>
  <c r="O304" i="11" s="1"/>
  <c r="P304" i="11" s="1"/>
  <c r="R304" i="11" s="1"/>
  <c r="S4" i="11" s="1"/>
  <c r="N90" i="10"/>
  <c r="BF92" i="6"/>
  <c r="BM92" i="6" s="1"/>
  <c r="P90" i="10"/>
  <c r="Q90" i="10" s="1"/>
  <c r="O91" i="10"/>
  <c r="Z89" i="6" l="1"/>
  <c r="AI89" i="6"/>
  <c r="S90" i="10"/>
  <c r="T90" i="10" s="1"/>
  <c r="U90" i="10" s="1"/>
  <c r="W90" i="10" s="1"/>
  <c r="R90" i="10"/>
  <c r="X90" i="6"/>
  <c r="AH90" i="6"/>
  <c r="W91" i="6"/>
  <c r="AF91" i="6"/>
  <c r="AG91" i="6" s="1"/>
  <c r="U92" i="6"/>
  <c r="V92" i="6"/>
  <c r="N94" i="6"/>
  <c r="O94" i="6" s="1"/>
  <c r="P94" i="6"/>
  <c r="M95" i="6"/>
  <c r="R93" i="6"/>
  <c r="S93" i="6"/>
  <c r="T93" i="6" s="1"/>
  <c r="BN84" i="6"/>
  <c r="N91" i="10"/>
  <c r="BF93" i="6"/>
  <c r="BM93" i="6" s="1"/>
  <c r="AS88" i="6"/>
  <c r="AS87" i="6"/>
  <c r="AR87" i="6"/>
  <c r="AK87" i="6"/>
  <c r="AT87" i="6" s="1"/>
  <c r="AR88" i="6"/>
  <c r="AK88" i="6"/>
  <c r="AT88" i="6" s="1"/>
  <c r="P91" i="10"/>
  <c r="Q91" i="10" s="1"/>
  <c r="O92" i="10"/>
  <c r="Z90" i="6" l="1"/>
  <c r="AI90" i="6"/>
  <c r="S91" i="10"/>
  <c r="T91" i="10" s="1"/>
  <c r="U91" i="10" s="1"/>
  <c r="W91" i="10" s="1"/>
  <c r="R91" i="10"/>
  <c r="X91" i="6"/>
  <c r="AH91" i="6"/>
  <c r="W92" i="6"/>
  <c r="AF92" i="6"/>
  <c r="AG92" i="6" s="1"/>
  <c r="U93" i="6"/>
  <c r="V93" i="6"/>
  <c r="N95" i="6"/>
  <c r="O95" i="6" s="1"/>
  <c r="P95" i="6"/>
  <c r="M96" i="6"/>
  <c r="R94" i="6"/>
  <c r="S94" i="6"/>
  <c r="T94" i="6" s="1"/>
  <c r="BN85" i="6"/>
  <c r="N92" i="10"/>
  <c r="BF94" i="6"/>
  <c r="BM94" i="6" s="1"/>
  <c r="BO87" i="6"/>
  <c r="BP87" i="6" s="1"/>
  <c r="BQ87" i="6"/>
  <c r="BR87" i="6" s="1"/>
  <c r="BQ88" i="6"/>
  <c r="BO88" i="6"/>
  <c r="AS89" i="6"/>
  <c r="AK89" i="6"/>
  <c r="AT89" i="6" s="1"/>
  <c r="AR89" i="6"/>
  <c r="O93" i="10"/>
  <c r="P92" i="10"/>
  <c r="Q92" i="10" s="1"/>
  <c r="Z91" i="6" l="1"/>
  <c r="AI91" i="6"/>
  <c r="S92" i="10"/>
  <c r="T92" i="10" s="1"/>
  <c r="U92" i="10" s="1"/>
  <c r="W92" i="10" s="1"/>
  <c r="R92" i="10"/>
  <c r="X92" i="6"/>
  <c r="AH92" i="6"/>
  <c r="W93" i="6"/>
  <c r="AF93" i="6"/>
  <c r="AG93" i="6" s="1"/>
  <c r="U94" i="6"/>
  <c r="V94" i="6"/>
  <c r="N96" i="6"/>
  <c r="O96" i="6" s="1"/>
  <c r="P96" i="6"/>
  <c r="M97" i="6"/>
  <c r="R95" i="6"/>
  <c r="S95" i="6"/>
  <c r="T95" i="6" s="1"/>
  <c r="BN86" i="6"/>
  <c r="N93" i="10"/>
  <c r="BF95" i="6"/>
  <c r="BM95" i="6" s="1"/>
  <c r="BR88" i="6"/>
  <c r="BP88" i="6"/>
  <c r="BO89" i="6"/>
  <c r="BP89" i="6" s="1"/>
  <c r="BQ89" i="6"/>
  <c r="BR89" i="6" s="1"/>
  <c r="AS90" i="6"/>
  <c r="AK90" i="6"/>
  <c r="AT90" i="6" s="1"/>
  <c r="P93" i="10"/>
  <c r="Q93" i="10" s="1"/>
  <c r="O94" i="10"/>
  <c r="AR90" i="6"/>
  <c r="Z92" i="6" l="1"/>
  <c r="AI92" i="6"/>
  <c r="S93" i="10"/>
  <c r="T93" i="10" s="1"/>
  <c r="U93" i="10" s="1"/>
  <c r="W93" i="10" s="1"/>
  <c r="R93" i="10"/>
  <c r="X93" i="6"/>
  <c r="AH93" i="6"/>
  <c r="W94" i="6"/>
  <c r="AF94" i="6"/>
  <c r="AG94" i="6" s="1"/>
  <c r="U95" i="6"/>
  <c r="V95" i="6"/>
  <c r="N97" i="6"/>
  <c r="O97" i="6" s="1"/>
  <c r="P97" i="6"/>
  <c r="M98" i="6"/>
  <c r="R96" i="6"/>
  <c r="S96" i="6"/>
  <c r="T96" i="6" s="1"/>
  <c r="BN87" i="6"/>
  <c r="BQ91" i="6"/>
  <c r="N94" i="10"/>
  <c r="BF96" i="6"/>
  <c r="BM96" i="6" s="1"/>
  <c r="BO90" i="6"/>
  <c r="BQ90" i="6"/>
  <c r="AK91" i="6"/>
  <c r="AT91" i="6" s="1"/>
  <c r="AR91" i="6"/>
  <c r="O95" i="10"/>
  <c r="P94" i="10"/>
  <c r="Q94" i="10" s="1"/>
  <c r="Z93" i="6" l="1"/>
  <c r="AI93" i="6"/>
  <c r="S94" i="10"/>
  <c r="T94" i="10" s="1"/>
  <c r="U94" i="10" s="1"/>
  <c r="W94" i="10" s="1"/>
  <c r="R94" i="10"/>
  <c r="X94" i="6"/>
  <c r="AH94" i="6"/>
  <c r="W95" i="6"/>
  <c r="AF95" i="6"/>
  <c r="AG95" i="6" s="1"/>
  <c r="U96" i="6"/>
  <c r="V96" i="6"/>
  <c r="N98" i="6"/>
  <c r="O98" i="6" s="1"/>
  <c r="P98" i="6"/>
  <c r="M99" i="6"/>
  <c r="R97" i="6"/>
  <c r="S97" i="6"/>
  <c r="T97" i="6" s="1"/>
  <c r="AS91" i="6"/>
  <c r="BO91" i="6"/>
  <c r="BP91" i="6" s="1"/>
  <c r="BN88" i="6"/>
  <c r="AS92" i="6"/>
  <c r="N95" i="10"/>
  <c r="BF97" i="6"/>
  <c r="BM97" i="6" s="1"/>
  <c r="BP90" i="6"/>
  <c r="BR91" i="6"/>
  <c r="BR90" i="6"/>
  <c r="AR92" i="6"/>
  <c r="AK92" i="6"/>
  <c r="AT92" i="6" s="1"/>
  <c r="O96" i="10"/>
  <c r="P95" i="10"/>
  <c r="Q95" i="10" s="1"/>
  <c r="Z94" i="6" l="1"/>
  <c r="AI94" i="6"/>
  <c r="S95" i="10"/>
  <c r="T95" i="10" s="1"/>
  <c r="U95" i="10" s="1"/>
  <c r="W95" i="10" s="1"/>
  <c r="R95" i="10"/>
  <c r="X95" i="6"/>
  <c r="AH95" i="6"/>
  <c r="W96" i="6"/>
  <c r="AF96" i="6"/>
  <c r="AG96" i="6" s="1"/>
  <c r="U97" i="6"/>
  <c r="V97" i="6"/>
  <c r="N99" i="6"/>
  <c r="O99" i="6" s="1"/>
  <c r="P99" i="6"/>
  <c r="M100" i="6"/>
  <c r="S98" i="6"/>
  <c r="T98" i="6" s="1"/>
  <c r="R98" i="6"/>
  <c r="BN89" i="6"/>
  <c r="BQ92" i="6"/>
  <c r="BR92" i="6" s="1"/>
  <c r="BO92" i="6"/>
  <c r="BP92" i="6" s="1"/>
  <c r="N96" i="10"/>
  <c r="BF98" i="6"/>
  <c r="BM98" i="6" s="1"/>
  <c r="O97" i="10"/>
  <c r="P96" i="10"/>
  <c r="Q96" i="10" s="1"/>
  <c r="Z95" i="6" l="1"/>
  <c r="AI95" i="6"/>
  <c r="S96" i="10"/>
  <c r="T96" i="10" s="1"/>
  <c r="U96" i="10" s="1"/>
  <c r="W96" i="10" s="1"/>
  <c r="R96" i="10"/>
  <c r="X96" i="6"/>
  <c r="AH96" i="6"/>
  <c r="W97" i="6"/>
  <c r="AF97" i="6"/>
  <c r="AG97" i="6" s="1"/>
  <c r="U98" i="6"/>
  <c r="V98" i="6"/>
  <c r="N100" i="6"/>
  <c r="O100" i="6" s="1"/>
  <c r="P100" i="6"/>
  <c r="M101" i="6"/>
  <c r="R99" i="6"/>
  <c r="S99" i="6"/>
  <c r="T99" i="6" s="1"/>
  <c r="BN90" i="6"/>
  <c r="AS94" i="6"/>
  <c r="BF99" i="6"/>
  <c r="BM99" i="6" s="1"/>
  <c r="AR93" i="6"/>
  <c r="AS93" i="6"/>
  <c r="AK93" i="6"/>
  <c r="AT93" i="6" s="1"/>
  <c r="AK94" i="6"/>
  <c r="AT94" i="6" s="1"/>
  <c r="AR94" i="6"/>
  <c r="N97" i="10"/>
  <c r="P97" i="10"/>
  <c r="Q97" i="10" s="1"/>
  <c r="O98" i="10"/>
  <c r="Z96" i="6" l="1"/>
  <c r="AI96" i="6"/>
  <c r="S97" i="10"/>
  <c r="T97" i="10" s="1"/>
  <c r="U97" i="10" s="1"/>
  <c r="W97" i="10" s="1"/>
  <c r="R97" i="10"/>
  <c r="X97" i="6"/>
  <c r="AH97" i="6"/>
  <c r="W98" i="6"/>
  <c r="AF98" i="6"/>
  <c r="AG98" i="6" s="1"/>
  <c r="V99" i="6"/>
  <c r="U99" i="6"/>
  <c r="P101" i="6"/>
  <c r="N101" i="6"/>
  <c r="O101" i="6" s="1"/>
  <c r="M102" i="6"/>
  <c r="R100" i="6"/>
  <c r="S100" i="6"/>
  <c r="T100" i="6" s="1"/>
  <c r="BQ94" i="6"/>
  <c r="BO94" i="6"/>
  <c r="BN91" i="6"/>
  <c r="BF100" i="6"/>
  <c r="BM100" i="6" s="1"/>
  <c r="BQ93" i="6"/>
  <c r="BR93" i="6" s="1"/>
  <c r="BO93" i="6"/>
  <c r="BP93" i="6" s="1"/>
  <c r="N98" i="10"/>
  <c r="P98" i="10"/>
  <c r="Q98" i="10" s="1"/>
  <c r="O99" i="10"/>
  <c r="Z97" i="6" l="1"/>
  <c r="AI97" i="6"/>
  <c r="S98" i="10"/>
  <c r="T98" i="10" s="1"/>
  <c r="U98" i="10" s="1"/>
  <c r="W98" i="10" s="1"/>
  <c r="R98" i="10"/>
  <c r="X98" i="6"/>
  <c r="AH98" i="6"/>
  <c r="W99" i="6"/>
  <c r="AF99" i="6"/>
  <c r="AG99" i="6" s="1"/>
  <c r="U100" i="6"/>
  <c r="V100" i="6"/>
  <c r="N102" i="6"/>
  <c r="O102" i="6" s="1"/>
  <c r="P102" i="6"/>
  <c r="M103" i="6"/>
  <c r="R101" i="6"/>
  <c r="S101" i="6"/>
  <c r="T101" i="6" s="1"/>
  <c r="BN100" i="6"/>
  <c r="BN92" i="6"/>
  <c r="BN94" i="6"/>
  <c r="BN96" i="6"/>
  <c r="BN93" i="6"/>
  <c r="BN97" i="6"/>
  <c r="BN95" i="6"/>
  <c r="BN99" i="6"/>
  <c r="BN98" i="6"/>
  <c r="BQ95" i="6"/>
  <c r="BR95" i="6" s="1"/>
  <c r="BO96" i="6"/>
  <c r="BF101" i="6"/>
  <c r="BR94" i="6"/>
  <c r="BP94" i="6"/>
  <c r="AK96" i="6"/>
  <c r="AT96" i="6" s="1"/>
  <c r="AR96" i="6"/>
  <c r="AR95" i="6"/>
  <c r="AK95" i="6"/>
  <c r="AT95" i="6" s="1"/>
  <c r="N99" i="10"/>
  <c r="P99" i="10"/>
  <c r="Q99" i="10" s="1"/>
  <c r="O100" i="10"/>
  <c r="Z98" i="6" l="1"/>
  <c r="AI98" i="6"/>
  <c r="S99" i="10"/>
  <c r="T99" i="10" s="1"/>
  <c r="U99" i="10" s="1"/>
  <c r="W99" i="10" s="1"/>
  <c r="R99" i="10"/>
  <c r="X99" i="6"/>
  <c r="AH99" i="6"/>
  <c r="W100" i="6"/>
  <c r="AF100" i="6"/>
  <c r="AG100" i="6" s="1"/>
  <c r="U101" i="6"/>
  <c r="V101" i="6"/>
  <c r="N103" i="6"/>
  <c r="O103" i="6" s="1"/>
  <c r="P103" i="6"/>
  <c r="M104" i="6"/>
  <c r="R102" i="6"/>
  <c r="S102" i="6"/>
  <c r="T102" i="6" s="1"/>
  <c r="BQ96" i="6"/>
  <c r="BR96" i="6" s="1"/>
  <c r="AS96" i="6"/>
  <c r="BO95" i="6"/>
  <c r="BP95" i="6" s="1"/>
  <c r="AS95" i="6"/>
  <c r="BF102" i="6"/>
  <c r="N100" i="10"/>
  <c r="AR97" i="6"/>
  <c r="AK97" i="6"/>
  <c r="AT97" i="6" s="1"/>
  <c r="O101" i="10"/>
  <c r="P100" i="10"/>
  <c r="Q100" i="10" s="1"/>
  <c r="Z99" i="6" l="1"/>
  <c r="AI99" i="6"/>
  <c r="S100" i="10"/>
  <c r="T100" i="10" s="1"/>
  <c r="U100" i="10" s="1"/>
  <c r="W100" i="10" s="1"/>
  <c r="R100" i="10"/>
  <c r="X100" i="6"/>
  <c r="AH100" i="6"/>
  <c r="W101" i="6"/>
  <c r="AF101" i="6"/>
  <c r="AG101" i="6" s="1"/>
  <c r="U102" i="6"/>
  <c r="V102" i="6"/>
  <c r="N104" i="6"/>
  <c r="O104" i="6" s="1"/>
  <c r="P104" i="6"/>
  <c r="M105" i="6"/>
  <c r="S103" i="6"/>
  <c r="T103" i="6" s="1"/>
  <c r="R103" i="6"/>
  <c r="BP96" i="6"/>
  <c r="BO97" i="6"/>
  <c r="BP97" i="6" s="1"/>
  <c r="BQ97" i="6"/>
  <c r="BR97" i="6" s="1"/>
  <c r="AS97" i="6"/>
  <c r="BQ98" i="6"/>
  <c r="N101" i="10"/>
  <c r="BF103" i="6"/>
  <c r="AK98" i="6"/>
  <c r="AT98" i="6" s="1"/>
  <c r="AR98" i="6"/>
  <c r="O102" i="10"/>
  <c r="P101" i="10"/>
  <c r="Q101" i="10" s="1"/>
  <c r="Z100" i="6" l="1"/>
  <c r="AI100" i="6"/>
  <c r="S101" i="10"/>
  <c r="T101" i="10" s="1"/>
  <c r="U101" i="10" s="1"/>
  <c r="W101" i="10" s="1"/>
  <c r="R101" i="10"/>
  <c r="X101" i="6"/>
  <c r="AH101" i="6"/>
  <c r="W102" i="6"/>
  <c r="AF102" i="6"/>
  <c r="AG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S98" i="6"/>
  <c r="BO98" i="6"/>
  <c r="BP98" i="6" s="1"/>
  <c r="N102" i="10"/>
  <c r="M5" i="1"/>
  <c r="BF104" i="6"/>
  <c r="BR98" i="6"/>
  <c r="P102" i="10"/>
  <c r="Q102" i="10" s="1"/>
  <c r="O103" i="10"/>
  <c r="Z101" i="6" l="1"/>
  <c r="AI101" i="6"/>
  <c r="S102" i="10"/>
  <c r="T102" i="10" s="1"/>
  <c r="U102" i="10" s="1"/>
  <c r="W102" i="10" s="1"/>
  <c r="R102" i="10"/>
  <c r="X102" i="6"/>
  <c r="AH102" i="6"/>
  <c r="W103" i="6"/>
  <c r="AF103" i="6"/>
  <c r="AG103" i="6" s="1"/>
  <c r="U104" i="6"/>
  <c r="V104" i="6"/>
  <c r="N106" i="6"/>
  <c r="O106" i="6" s="1"/>
  <c r="P106" i="6"/>
  <c r="S106" i="6" s="1"/>
  <c r="T106" i="6" s="1"/>
  <c r="M107" i="6"/>
  <c r="U105" i="6"/>
  <c r="V105" i="6"/>
  <c r="AS99" i="6"/>
  <c r="N103" i="10"/>
  <c r="BF105" i="6"/>
  <c r="AR99" i="6"/>
  <c r="AK99" i="6"/>
  <c r="AT99" i="6" s="1"/>
  <c r="P103" i="10"/>
  <c r="Q103" i="10" s="1"/>
  <c r="O104" i="10"/>
  <c r="Z102" i="6" l="1"/>
  <c r="AI102" i="6"/>
  <c r="S103" i="10"/>
  <c r="T103" i="10" s="1"/>
  <c r="U103" i="10" s="1"/>
  <c r="W103" i="10" s="1"/>
  <c r="R103" i="10"/>
  <c r="X103" i="6"/>
  <c r="AH103" i="6"/>
  <c r="W105" i="6"/>
  <c r="AF105" i="6"/>
  <c r="AG105" i="6" s="1"/>
  <c r="W104" i="6"/>
  <c r="AF104" i="6"/>
  <c r="AG104" i="6" s="1"/>
  <c r="N107" i="6"/>
  <c r="O107" i="6" s="1"/>
  <c r="P107" i="6"/>
  <c r="S107" i="6" s="1"/>
  <c r="T107" i="6" s="1"/>
  <c r="M108" i="6"/>
  <c r="U106" i="6"/>
  <c r="V106" i="6"/>
  <c r="BQ99" i="6"/>
  <c r="BR99" i="6" s="1"/>
  <c r="BO99" i="6"/>
  <c r="BP99" i="6" s="1"/>
  <c r="AS100" i="6"/>
  <c r="AS101" i="6"/>
  <c r="N104" i="10"/>
  <c r="BF106" i="6"/>
  <c r="AK101" i="6"/>
  <c r="AT101" i="6" s="1"/>
  <c r="AR101" i="6"/>
  <c r="AR100" i="6"/>
  <c r="AK100" i="6"/>
  <c r="AT100" i="6" s="1"/>
  <c r="P104" i="10"/>
  <c r="Q104" i="10" s="1"/>
  <c r="O105" i="10"/>
  <c r="Z103" i="6" l="1"/>
  <c r="AI103" i="6"/>
  <c r="S104" i="10"/>
  <c r="T104" i="10" s="1"/>
  <c r="U104" i="10" s="1"/>
  <c r="W104" i="10" s="1"/>
  <c r="R104" i="10"/>
  <c r="X104" i="6"/>
  <c r="AH104" i="6"/>
  <c r="X105" i="6"/>
  <c r="AH105" i="6"/>
  <c r="W106" i="6"/>
  <c r="AF106" i="6"/>
  <c r="AG106" i="6" s="1"/>
  <c r="N108" i="6"/>
  <c r="O108" i="6" s="1"/>
  <c r="P108" i="6"/>
  <c r="S108" i="6" s="1"/>
  <c r="T108" i="6" s="1"/>
  <c r="M109" i="6"/>
  <c r="U107" i="6"/>
  <c r="V107" i="6"/>
  <c r="BQ100" i="6"/>
  <c r="BR100" i="6" s="1"/>
  <c r="BO100" i="6"/>
  <c r="BP100" i="6" s="1"/>
  <c r="AS102" i="6"/>
  <c r="N105" i="10"/>
  <c r="BF107" i="6"/>
  <c r="AR102" i="6"/>
  <c r="Q17" i="1" s="1"/>
  <c r="AK102" i="6"/>
  <c r="AT102" i="6" s="1"/>
  <c r="O106" i="10"/>
  <c r="P105" i="10"/>
  <c r="Q105" i="10" s="1"/>
  <c r="Z104" i="6" l="1"/>
  <c r="AI104" i="6"/>
  <c r="Z105" i="6"/>
  <c r="AI105" i="6"/>
  <c r="S105" i="10"/>
  <c r="T105" i="10" s="1"/>
  <c r="U105" i="10" s="1"/>
  <c r="W105" i="10" s="1"/>
  <c r="R105" i="10"/>
  <c r="X106" i="6"/>
  <c r="AH106" i="6"/>
  <c r="W107" i="6"/>
  <c r="AF107" i="6"/>
  <c r="AG107" i="6" s="1"/>
  <c r="N109" i="6"/>
  <c r="O109" i="6" s="1"/>
  <c r="P109" i="6"/>
  <c r="S109" i="6" s="1"/>
  <c r="T109" i="6" s="1"/>
  <c r="M110" i="6"/>
  <c r="U108" i="6"/>
  <c r="V108" i="6"/>
  <c r="AS103" i="6"/>
  <c r="BF108" i="6"/>
  <c r="AR103" i="6"/>
  <c r="AK103" i="6"/>
  <c r="AT103" i="6" s="1"/>
  <c r="N106" i="10"/>
  <c r="Q13" i="1"/>
  <c r="Q14" i="1"/>
  <c r="P106" i="10"/>
  <c r="Q106" i="10" s="1"/>
  <c r="O107" i="10"/>
  <c r="Z106" i="6" l="1"/>
  <c r="AI106" i="6"/>
  <c r="S106" i="10"/>
  <c r="T106" i="10" s="1"/>
  <c r="U106" i="10" s="1"/>
  <c r="W106" i="10" s="1"/>
  <c r="R106" i="10"/>
  <c r="X107" i="6"/>
  <c r="AH107" i="6"/>
  <c r="W108" i="6"/>
  <c r="AF108" i="6"/>
  <c r="AG108" i="6" s="1"/>
  <c r="N110" i="6"/>
  <c r="O110" i="6" s="1"/>
  <c r="P110" i="6"/>
  <c r="S110" i="6" s="1"/>
  <c r="T110" i="6" s="1"/>
  <c r="M111" i="6"/>
  <c r="U109" i="6"/>
  <c r="V109" i="6"/>
  <c r="N107" i="10"/>
  <c r="BF109" i="6"/>
  <c r="P107" i="10"/>
  <c r="Q107" i="10" s="1"/>
  <c r="O108" i="10"/>
  <c r="Z107" i="6" l="1"/>
  <c r="AI107" i="6"/>
  <c r="S107" i="10"/>
  <c r="T107" i="10" s="1"/>
  <c r="U107" i="10" s="1"/>
  <c r="W107" i="10" s="1"/>
  <c r="R107" i="10"/>
  <c r="X108" i="6"/>
  <c r="AH108" i="6"/>
  <c r="W109" i="6"/>
  <c r="AF109" i="6"/>
  <c r="AG109" i="6" s="1"/>
  <c r="P111" i="6"/>
  <c r="S111" i="6" s="1"/>
  <c r="T111" i="6" s="1"/>
  <c r="N111" i="6"/>
  <c r="O111" i="6" s="1"/>
  <c r="M112" i="6"/>
  <c r="U110" i="6"/>
  <c r="V110" i="6"/>
  <c r="N108" i="10"/>
  <c r="BF110" i="6"/>
  <c r="AK104" i="6"/>
  <c r="AT104" i="6" s="1"/>
  <c r="AR104" i="6"/>
  <c r="Q8" i="1" s="1"/>
  <c r="P108" i="10"/>
  <c r="Q108" i="10" s="1"/>
  <c r="O109" i="10"/>
  <c r="Z108" i="6" l="1"/>
  <c r="AI108" i="6"/>
  <c r="S108" i="10"/>
  <c r="T108" i="10" s="1"/>
  <c r="U108" i="10" s="1"/>
  <c r="W108" i="10" s="1"/>
  <c r="R108" i="10"/>
  <c r="X109" i="6"/>
  <c r="AH109" i="6"/>
  <c r="W110" i="6"/>
  <c r="AF110" i="6"/>
  <c r="AG110" i="6" s="1"/>
  <c r="P112" i="6"/>
  <c r="S112" i="6" s="1"/>
  <c r="T112" i="6" s="1"/>
  <c r="N112" i="6"/>
  <c r="O112" i="6" s="1"/>
  <c r="M113" i="6"/>
  <c r="U111" i="6"/>
  <c r="V111" i="6"/>
  <c r="AS106" i="6"/>
  <c r="AS104" i="6"/>
  <c r="N109" i="10"/>
  <c r="BF111" i="6"/>
  <c r="Q10" i="1"/>
  <c r="Q9" i="1"/>
  <c r="AK105" i="6"/>
  <c r="AT105" i="6" s="1"/>
  <c r="Q11" i="1"/>
  <c r="Q7" i="1"/>
  <c r="Q6" i="1"/>
  <c r="Q12" i="1"/>
  <c r="Q16" i="1"/>
  <c r="Q15" i="1"/>
  <c r="AK106" i="6"/>
  <c r="AT106" i="6" s="1"/>
  <c r="P109" i="10"/>
  <c r="Q109" i="10" s="1"/>
  <c r="O110" i="10"/>
  <c r="Z109" i="6" l="1"/>
  <c r="AI109" i="6"/>
  <c r="S109" i="10"/>
  <c r="T109" i="10" s="1"/>
  <c r="U109" i="10" s="1"/>
  <c r="W109" i="10" s="1"/>
  <c r="R109" i="10"/>
  <c r="X110" i="6"/>
  <c r="AH110" i="6"/>
  <c r="W111" i="6"/>
  <c r="AF111" i="6"/>
  <c r="AG111" i="6" s="1"/>
  <c r="N113" i="6"/>
  <c r="O113" i="6" s="1"/>
  <c r="P113" i="6"/>
  <c r="S113" i="6" s="1"/>
  <c r="T113" i="6" s="1"/>
  <c r="M114" i="6"/>
  <c r="U112" i="6"/>
  <c r="V112" i="6"/>
  <c r="AS105" i="6"/>
  <c r="N110" i="10"/>
  <c r="BF112" i="6"/>
  <c r="Q19" i="1"/>
  <c r="O111" i="10"/>
  <c r="P110" i="10"/>
  <c r="Q110" i="10" s="1"/>
  <c r="Z110" i="6" l="1"/>
  <c r="AI110" i="6"/>
  <c r="S110" i="10"/>
  <c r="T110" i="10" s="1"/>
  <c r="U110" i="10" s="1"/>
  <c r="W110" i="10" s="1"/>
  <c r="R110" i="10"/>
  <c r="X111" i="6"/>
  <c r="AH111" i="6"/>
  <c r="W112" i="6"/>
  <c r="AF112" i="6"/>
  <c r="AG112" i="6" s="1"/>
  <c r="N114" i="6"/>
  <c r="O114" i="6" s="1"/>
  <c r="P114" i="6"/>
  <c r="S114" i="6" s="1"/>
  <c r="T114" i="6" s="1"/>
  <c r="M115" i="6"/>
  <c r="U113" i="6"/>
  <c r="V113" i="6"/>
  <c r="AS108" i="6"/>
  <c r="N111" i="10"/>
  <c r="BF113" i="6"/>
  <c r="AK108" i="6"/>
  <c r="AT108" i="6" s="1"/>
  <c r="AK107" i="6"/>
  <c r="AT107" i="6" s="1"/>
  <c r="O112" i="10"/>
  <c r="P111" i="10"/>
  <c r="Q111" i="10" s="1"/>
  <c r="Z111" i="6" l="1"/>
  <c r="AI111" i="6"/>
  <c r="S111" i="10"/>
  <c r="T111" i="10" s="1"/>
  <c r="U111" i="10" s="1"/>
  <c r="W111" i="10" s="1"/>
  <c r="R111" i="10"/>
  <c r="X112" i="6"/>
  <c r="AH112" i="6"/>
  <c r="W113" i="6"/>
  <c r="AF113" i="6"/>
  <c r="AG113" i="6" s="1"/>
  <c r="N115" i="6"/>
  <c r="O115" i="6" s="1"/>
  <c r="P115" i="6"/>
  <c r="S115" i="6" s="1"/>
  <c r="T115" i="6" s="1"/>
  <c r="M116" i="6"/>
  <c r="U114" i="6"/>
  <c r="V114" i="6"/>
  <c r="AS107" i="6"/>
  <c r="N112" i="10"/>
  <c r="BF114" i="6"/>
  <c r="P112" i="10"/>
  <c r="Q112" i="10" s="1"/>
  <c r="O113" i="10"/>
  <c r="Z112" i="6" l="1"/>
  <c r="AI112" i="6"/>
  <c r="S112" i="10"/>
  <c r="T112" i="10" s="1"/>
  <c r="U112" i="10" s="1"/>
  <c r="W112" i="10" s="1"/>
  <c r="R112" i="10"/>
  <c r="X113" i="6"/>
  <c r="AH113" i="6"/>
  <c r="W114" i="6"/>
  <c r="AF114" i="6"/>
  <c r="AG114" i="6" s="1"/>
  <c r="N116" i="6"/>
  <c r="O116" i="6" s="1"/>
  <c r="P116" i="6"/>
  <c r="S116" i="6" s="1"/>
  <c r="T116" i="6" s="1"/>
  <c r="M117" i="6"/>
  <c r="U115" i="6"/>
  <c r="V115" i="6"/>
  <c r="AS110" i="6"/>
  <c r="AS109" i="6"/>
  <c r="N113" i="10"/>
  <c r="BF115" i="6"/>
  <c r="AK110" i="6"/>
  <c r="AT110" i="6" s="1"/>
  <c r="AK109" i="6"/>
  <c r="AT109" i="6" s="1"/>
  <c r="O114" i="10"/>
  <c r="P113" i="10"/>
  <c r="Q113" i="10" s="1"/>
  <c r="Z113" i="6" l="1"/>
  <c r="AI113" i="6"/>
  <c r="S113" i="10"/>
  <c r="T113" i="10" s="1"/>
  <c r="U113" i="10" s="1"/>
  <c r="W113" i="10" s="1"/>
  <c r="R113" i="10"/>
  <c r="X114" i="6"/>
  <c r="AH114" i="6"/>
  <c r="W115" i="6"/>
  <c r="AF115" i="6"/>
  <c r="AG115" i="6" s="1"/>
  <c r="U116" i="6"/>
  <c r="V116" i="6"/>
  <c r="N117" i="6"/>
  <c r="O117" i="6" s="1"/>
  <c r="P117" i="6"/>
  <c r="S117" i="6" s="1"/>
  <c r="T117" i="6" s="1"/>
  <c r="M118" i="6"/>
  <c r="BF116" i="6"/>
  <c r="N114" i="10"/>
  <c r="AK111" i="6"/>
  <c r="AT111" i="6" s="1"/>
  <c r="O115" i="10"/>
  <c r="P114" i="10"/>
  <c r="Q114" i="10" s="1"/>
  <c r="Z114" i="6" l="1"/>
  <c r="AI114" i="6"/>
  <c r="S114" i="10"/>
  <c r="T114" i="10" s="1"/>
  <c r="U114" i="10" s="1"/>
  <c r="W114" i="10" s="1"/>
  <c r="R114" i="10"/>
  <c r="X115" i="6"/>
  <c r="AH115" i="6"/>
  <c r="W116" i="6"/>
  <c r="AF116" i="6"/>
  <c r="AG116" i="6" s="1"/>
  <c r="N118" i="6"/>
  <c r="O118" i="6" s="1"/>
  <c r="P118" i="6"/>
  <c r="S118" i="6" s="1"/>
  <c r="T118" i="6" s="1"/>
  <c r="M119" i="6"/>
  <c r="V117" i="6"/>
  <c r="U117" i="6"/>
  <c r="AS111" i="6"/>
  <c r="N115" i="10"/>
  <c r="BF117" i="6"/>
  <c r="AK112" i="6"/>
  <c r="AT112" i="6" s="1"/>
  <c r="P115" i="10"/>
  <c r="Q115" i="10" s="1"/>
  <c r="O116" i="10"/>
  <c r="Z115" i="6" l="1"/>
  <c r="AI115" i="6"/>
  <c r="S115" i="10"/>
  <c r="T115" i="10" s="1"/>
  <c r="U115" i="10" s="1"/>
  <c r="W115" i="10" s="1"/>
  <c r="R115" i="10"/>
  <c r="X116" i="6"/>
  <c r="AH116" i="6"/>
  <c r="W117" i="6"/>
  <c r="AF117" i="6"/>
  <c r="AG117" i="6" s="1"/>
  <c r="N119" i="6"/>
  <c r="O119" i="6" s="1"/>
  <c r="P119" i="6"/>
  <c r="S119" i="6" s="1"/>
  <c r="T119" i="6" s="1"/>
  <c r="M120" i="6"/>
  <c r="U118" i="6"/>
  <c r="V118" i="6"/>
  <c r="AS113" i="6"/>
  <c r="AS112" i="6"/>
  <c r="N116" i="10"/>
  <c r="BF118" i="6"/>
  <c r="AK113" i="6"/>
  <c r="AT113" i="6" s="1"/>
  <c r="O117" i="10"/>
  <c r="P116" i="10"/>
  <c r="Q116" i="10" s="1"/>
  <c r="Z116" i="6" l="1"/>
  <c r="AI116" i="6"/>
  <c r="S116" i="10"/>
  <c r="T116" i="10" s="1"/>
  <c r="U116" i="10" s="1"/>
  <c r="W116" i="10" s="1"/>
  <c r="R116" i="10"/>
  <c r="X117" i="6"/>
  <c r="AH117" i="6"/>
  <c r="W118" i="6"/>
  <c r="AF118" i="6"/>
  <c r="AG118" i="6" s="1"/>
  <c r="N120" i="6"/>
  <c r="O120" i="6" s="1"/>
  <c r="P120" i="6"/>
  <c r="S120" i="6" s="1"/>
  <c r="T120" i="6" s="1"/>
  <c r="M121" i="6"/>
  <c r="U119" i="6"/>
  <c r="V119" i="6"/>
  <c r="N117" i="10"/>
  <c r="BF119" i="6"/>
  <c r="P117" i="10"/>
  <c r="Q117" i="10" s="1"/>
  <c r="O118" i="10"/>
  <c r="Z117" i="6" l="1"/>
  <c r="AI117" i="6"/>
  <c r="S117" i="10"/>
  <c r="T117" i="10" s="1"/>
  <c r="U117" i="10" s="1"/>
  <c r="W117" i="10" s="1"/>
  <c r="R117" i="10"/>
  <c r="X118" i="6"/>
  <c r="AH118" i="6"/>
  <c r="W119" i="6"/>
  <c r="AF119" i="6"/>
  <c r="AG119" i="6" s="1"/>
  <c r="N121" i="6"/>
  <c r="O121" i="6" s="1"/>
  <c r="P121" i="6"/>
  <c r="S121" i="6" s="1"/>
  <c r="T121" i="6" s="1"/>
  <c r="M122" i="6"/>
  <c r="U120" i="6"/>
  <c r="V120" i="6"/>
  <c r="AS115" i="6"/>
  <c r="N118" i="10"/>
  <c r="BF120" i="6"/>
  <c r="AK114" i="6"/>
  <c r="AT114" i="6" s="1"/>
  <c r="AK115" i="6"/>
  <c r="AT115" i="6" s="1"/>
  <c r="O119" i="10"/>
  <c r="P118" i="10"/>
  <c r="Q118" i="10" s="1"/>
  <c r="Z118" i="6" l="1"/>
  <c r="AI118" i="6"/>
  <c r="S118" i="10"/>
  <c r="T118" i="10" s="1"/>
  <c r="U118" i="10" s="1"/>
  <c r="W118" i="10" s="1"/>
  <c r="R118" i="10"/>
  <c r="X119" i="6"/>
  <c r="AH119" i="6"/>
  <c r="W120" i="6"/>
  <c r="AF120" i="6"/>
  <c r="AG120" i="6" s="1"/>
  <c r="P122" i="6"/>
  <c r="S122" i="6" s="1"/>
  <c r="T122" i="6" s="1"/>
  <c r="N122" i="6"/>
  <c r="O122" i="6" s="1"/>
  <c r="M123" i="6"/>
  <c r="U121" i="6"/>
  <c r="V121" i="6"/>
  <c r="AS114" i="6"/>
  <c r="BF121" i="6"/>
  <c r="N119" i="10"/>
  <c r="AK116" i="6"/>
  <c r="AT116" i="6" s="1"/>
  <c r="O120" i="10"/>
  <c r="P119" i="10"/>
  <c r="Q119" i="10" s="1"/>
  <c r="Z119" i="6" l="1"/>
  <c r="AI119" i="6"/>
  <c r="S119" i="10"/>
  <c r="T119" i="10" s="1"/>
  <c r="U119" i="10" s="1"/>
  <c r="W119" i="10" s="1"/>
  <c r="R119" i="10"/>
  <c r="X120" i="6"/>
  <c r="AH120" i="6"/>
  <c r="W121" i="6"/>
  <c r="AF121" i="6"/>
  <c r="AG121" i="6" s="1"/>
  <c r="N123" i="6"/>
  <c r="O123" i="6" s="1"/>
  <c r="P123" i="6"/>
  <c r="S123" i="6" s="1"/>
  <c r="T123" i="6" s="1"/>
  <c r="M124" i="6"/>
  <c r="U122" i="6"/>
  <c r="V122" i="6"/>
  <c r="AS116" i="6"/>
  <c r="N120" i="10"/>
  <c r="BF122" i="6"/>
  <c r="O121" i="10"/>
  <c r="P120" i="10"/>
  <c r="Q120" i="10" s="1"/>
  <c r="Z120" i="6" l="1"/>
  <c r="AI120" i="6"/>
  <c r="S120" i="10"/>
  <c r="T120" i="10" s="1"/>
  <c r="U120" i="10" s="1"/>
  <c r="W120" i="10" s="1"/>
  <c r="R120" i="10"/>
  <c r="X121" i="6"/>
  <c r="AH121" i="6"/>
  <c r="W122" i="6"/>
  <c r="AF122" i="6"/>
  <c r="AG122" i="6" s="1"/>
  <c r="P124" i="6"/>
  <c r="S124" i="6" s="1"/>
  <c r="T124" i="6" s="1"/>
  <c r="N124" i="6"/>
  <c r="O124" i="6" s="1"/>
  <c r="M125" i="6"/>
  <c r="U123" i="6"/>
  <c r="V123" i="6"/>
  <c r="AS118" i="6"/>
  <c r="N121" i="10"/>
  <c r="BF123" i="6"/>
  <c r="AK117" i="6"/>
  <c r="AT117" i="6" s="1"/>
  <c r="AK118" i="6"/>
  <c r="AT118" i="6" s="1"/>
  <c r="P121" i="10"/>
  <c r="Q121" i="10" s="1"/>
  <c r="O122" i="10"/>
  <c r="Z121" i="6" l="1"/>
  <c r="AI121" i="6"/>
  <c r="S121" i="10"/>
  <c r="T121" i="10" s="1"/>
  <c r="U121" i="10" s="1"/>
  <c r="W121" i="10" s="1"/>
  <c r="R121" i="10"/>
  <c r="X122" i="6"/>
  <c r="AH122" i="6"/>
  <c r="W123" i="6"/>
  <c r="AF123" i="6"/>
  <c r="AG123" i="6" s="1"/>
  <c r="N125" i="6"/>
  <c r="O125" i="6" s="1"/>
  <c r="P125" i="6"/>
  <c r="S125" i="6" s="1"/>
  <c r="T125" i="6" s="1"/>
  <c r="M126" i="6"/>
  <c r="U124" i="6"/>
  <c r="V124" i="6"/>
  <c r="AS119" i="6"/>
  <c r="AS117" i="6"/>
  <c r="N122" i="10"/>
  <c r="BF124" i="6"/>
  <c r="AK119" i="6"/>
  <c r="AT119" i="6" s="1"/>
  <c r="O123" i="10"/>
  <c r="P122" i="10"/>
  <c r="Q122" i="10" s="1"/>
  <c r="Z122" i="6" l="1"/>
  <c r="AI122" i="6"/>
  <c r="S122" i="10"/>
  <c r="T122" i="10" s="1"/>
  <c r="U122" i="10" s="1"/>
  <c r="W122" i="10" s="1"/>
  <c r="R122" i="10"/>
  <c r="X123" i="6"/>
  <c r="AH123" i="6"/>
  <c r="W124" i="6"/>
  <c r="AF124" i="6"/>
  <c r="AG124" i="6" s="1"/>
  <c r="N126" i="6"/>
  <c r="O126" i="6" s="1"/>
  <c r="P126" i="6"/>
  <c r="S126" i="6" s="1"/>
  <c r="T126" i="6" s="1"/>
  <c r="M127" i="6"/>
  <c r="V125" i="6"/>
  <c r="U125" i="6"/>
  <c r="BF125" i="6"/>
  <c r="N123" i="10"/>
  <c r="P123" i="10"/>
  <c r="Q123" i="10" s="1"/>
  <c r="O124" i="10"/>
  <c r="Z123" i="6" l="1"/>
  <c r="AI123" i="6"/>
  <c r="S123" i="10"/>
  <c r="T123" i="10" s="1"/>
  <c r="U123" i="10" s="1"/>
  <c r="W123" i="10" s="1"/>
  <c r="R123" i="10"/>
  <c r="X124" i="6"/>
  <c r="AH124" i="6"/>
  <c r="W125" i="6"/>
  <c r="AF125" i="6"/>
  <c r="AG125" i="6" s="1"/>
  <c r="N127" i="6"/>
  <c r="O127" i="6" s="1"/>
  <c r="P127" i="6"/>
  <c r="S127" i="6" s="1"/>
  <c r="T127" i="6" s="1"/>
  <c r="M128" i="6"/>
  <c r="U126" i="6"/>
  <c r="V126" i="6"/>
  <c r="AS121" i="6"/>
  <c r="N124" i="10"/>
  <c r="BF126" i="6"/>
  <c r="AK121" i="6"/>
  <c r="AT121" i="6" s="1"/>
  <c r="AK120" i="6"/>
  <c r="AT120" i="6" s="1"/>
  <c r="O125" i="10"/>
  <c r="P124" i="10"/>
  <c r="Q124" i="10" s="1"/>
  <c r="Z124" i="6" l="1"/>
  <c r="AI124" i="6"/>
  <c r="S124" i="10"/>
  <c r="T124" i="10" s="1"/>
  <c r="U124" i="10" s="1"/>
  <c r="W124" i="10" s="1"/>
  <c r="R124" i="10"/>
  <c r="X125" i="6"/>
  <c r="AH125" i="6"/>
  <c r="W126" i="6"/>
  <c r="AF126" i="6"/>
  <c r="AG126" i="6" s="1"/>
  <c r="N128" i="6"/>
  <c r="O128" i="6" s="1"/>
  <c r="P128" i="6"/>
  <c r="S128" i="6" s="1"/>
  <c r="T128" i="6" s="1"/>
  <c r="M129" i="6"/>
  <c r="U127" i="6"/>
  <c r="V127" i="6"/>
  <c r="AS120" i="6"/>
  <c r="AS122" i="6"/>
  <c r="BF127" i="6"/>
  <c r="AK122" i="6"/>
  <c r="AT122" i="6" s="1"/>
  <c r="N125" i="10"/>
  <c r="P125" i="10"/>
  <c r="Q125" i="10" s="1"/>
  <c r="O126" i="10"/>
  <c r="Z125" i="6" l="1"/>
  <c r="AI125" i="6"/>
  <c r="S125" i="10"/>
  <c r="T125" i="10" s="1"/>
  <c r="U125" i="10" s="1"/>
  <c r="W125" i="10" s="1"/>
  <c r="R125" i="10"/>
  <c r="X126" i="6"/>
  <c r="AH126" i="6"/>
  <c r="W127" i="6"/>
  <c r="AF127" i="6"/>
  <c r="AG127" i="6" s="1"/>
  <c r="P129" i="6"/>
  <c r="S129" i="6" s="1"/>
  <c r="T129" i="6" s="1"/>
  <c r="N129" i="6"/>
  <c r="O129" i="6" s="1"/>
  <c r="M130" i="6"/>
  <c r="V128" i="6"/>
  <c r="U128" i="6"/>
  <c r="N126" i="10"/>
  <c r="BF128" i="6"/>
  <c r="AK123" i="6"/>
  <c r="AT123" i="6" s="1"/>
  <c r="O127" i="10"/>
  <c r="P126" i="10"/>
  <c r="Q126" i="10" s="1"/>
  <c r="Z126" i="6" l="1"/>
  <c r="AI126" i="6"/>
  <c r="S126" i="10"/>
  <c r="T126" i="10" s="1"/>
  <c r="U126" i="10" s="1"/>
  <c r="W126" i="10" s="1"/>
  <c r="R126" i="10"/>
  <c r="X127" i="6"/>
  <c r="AH127" i="6"/>
  <c r="W128" i="6"/>
  <c r="AF128" i="6"/>
  <c r="AG128" i="6" s="1"/>
  <c r="N130" i="6"/>
  <c r="O130" i="6" s="1"/>
  <c r="P130" i="6"/>
  <c r="S130" i="6" s="1"/>
  <c r="T130" i="6" s="1"/>
  <c r="M131" i="6"/>
  <c r="U129" i="6"/>
  <c r="V129" i="6"/>
  <c r="AS123" i="6"/>
  <c r="N127" i="10"/>
  <c r="BF129" i="6"/>
  <c r="P127" i="10"/>
  <c r="Q127" i="10" s="1"/>
  <c r="O128" i="10"/>
  <c r="Z127" i="6" l="1"/>
  <c r="AI127" i="6"/>
  <c r="S127" i="10"/>
  <c r="T127" i="10" s="1"/>
  <c r="U127" i="10" s="1"/>
  <c r="W127" i="10" s="1"/>
  <c r="R127" i="10"/>
  <c r="X128" i="6"/>
  <c r="AH128" i="6"/>
  <c r="W129" i="6"/>
  <c r="AF129" i="6"/>
  <c r="AG129" i="6" s="1"/>
  <c r="P131" i="6"/>
  <c r="S131" i="6" s="1"/>
  <c r="T131" i="6" s="1"/>
  <c r="N131" i="6"/>
  <c r="O131" i="6" s="1"/>
  <c r="M132" i="6"/>
  <c r="U130" i="6"/>
  <c r="V130" i="6"/>
  <c r="AS125" i="6"/>
  <c r="N128" i="10"/>
  <c r="BF130" i="6"/>
  <c r="AK124" i="6"/>
  <c r="AT124" i="6" s="1"/>
  <c r="AK125" i="6"/>
  <c r="AT125" i="6" s="1"/>
  <c r="P128" i="10"/>
  <c r="Q128" i="10" s="1"/>
  <c r="O129" i="10"/>
  <c r="Z128" i="6" l="1"/>
  <c r="AI128" i="6"/>
  <c r="S128" i="10"/>
  <c r="T128" i="10" s="1"/>
  <c r="U128" i="10" s="1"/>
  <c r="W128" i="10" s="1"/>
  <c r="R128" i="10"/>
  <c r="X129" i="6"/>
  <c r="AH129" i="6"/>
  <c r="W130" i="6"/>
  <c r="AF130" i="6"/>
  <c r="AG130" i="6" s="1"/>
  <c r="N132" i="6"/>
  <c r="O132" i="6" s="1"/>
  <c r="P132" i="6"/>
  <c r="S132" i="6" s="1"/>
  <c r="T132" i="6" s="1"/>
  <c r="M133" i="6"/>
  <c r="U131" i="6"/>
  <c r="V131" i="6"/>
  <c r="AS124" i="6"/>
  <c r="AS126" i="6"/>
  <c r="BF131" i="6"/>
  <c r="AK126" i="6"/>
  <c r="AT126" i="6" s="1"/>
  <c r="N129" i="10"/>
  <c r="O130" i="10"/>
  <c r="P129" i="10"/>
  <c r="Q129" i="10" s="1"/>
  <c r="Z129" i="6" l="1"/>
  <c r="AI129" i="6"/>
  <c r="S129" i="10"/>
  <c r="T129" i="10" s="1"/>
  <c r="U129" i="10" s="1"/>
  <c r="W129" i="10" s="1"/>
  <c r="R129" i="10"/>
  <c r="X130" i="6"/>
  <c r="AH130" i="6"/>
  <c r="W131" i="6"/>
  <c r="AF131" i="6"/>
  <c r="AG131" i="6" s="1"/>
  <c r="N133" i="6"/>
  <c r="O133" i="6" s="1"/>
  <c r="P133" i="6"/>
  <c r="S133" i="6" s="1"/>
  <c r="T133" i="6" s="1"/>
  <c r="M134" i="6"/>
  <c r="U132" i="6"/>
  <c r="V132" i="6"/>
  <c r="N130" i="10"/>
  <c r="BF132" i="6"/>
  <c r="AK127" i="6"/>
  <c r="AT127" i="6" s="1"/>
  <c r="O131" i="10"/>
  <c r="P130" i="10"/>
  <c r="Q130" i="10" s="1"/>
  <c r="Z130" i="6" l="1"/>
  <c r="AI130" i="6"/>
  <c r="S130" i="10"/>
  <c r="T130" i="10" s="1"/>
  <c r="U130" i="10" s="1"/>
  <c r="W130" i="10" s="1"/>
  <c r="R130" i="10"/>
  <c r="X131" i="6"/>
  <c r="AH131" i="6"/>
  <c r="W132" i="6"/>
  <c r="AF132" i="6"/>
  <c r="AG132" i="6" s="1"/>
  <c r="N134" i="6"/>
  <c r="O134" i="6" s="1"/>
  <c r="P134" i="6"/>
  <c r="S134" i="6" s="1"/>
  <c r="T134" i="6" s="1"/>
  <c r="M135" i="6"/>
  <c r="V133" i="6"/>
  <c r="U133" i="6"/>
  <c r="AS127" i="6"/>
  <c r="BF133" i="6"/>
  <c r="N131" i="10"/>
  <c r="AK128" i="6"/>
  <c r="AT128" i="6" s="1"/>
  <c r="O132" i="10"/>
  <c r="P131" i="10"/>
  <c r="Q131" i="10" s="1"/>
  <c r="Z131" i="6" l="1"/>
  <c r="AI131" i="6"/>
  <c r="S131" i="10"/>
  <c r="T131" i="10" s="1"/>
  <c r="U131" i="10" s="1"/>
  <c r="W131" i="10" s="1"/>
  <c r="R131" i="10"/>
  <c r="X132" i="6"/>
  <c r="AH132" i="6"/>
  <c r="W133" i="6"/>
  <c r="AF133" i="6"/>
  <c r="AG133" i="6" s="1"/>
  <c r="N135" i="6"/>
  <c r="O135" i="6" s="1"/>
  <c r="P135" i="6"/>
  <c r="S135" i="6" s="1"/>
  <c r="T135" i="6" s="1"/>
  <c r="M136" i="6"/>
  <c r="U134" i="6"/>
  <c r="V134" i="6"/>
  <c r="AS128" i="6"/>
  <c r="BF134" i="6"/>
  <c r="N132" i="10"/>
  <c r="P132" i="10"/>
  <c r="Q132" i="10" s="1"/>
  <c r="O133" i="10"/>
  <c r="Z132" i="6" l="1"/>
  <c r="AI132" i="6"/>
  <c r="S132" i="10"/>
  <c r="T132" i="10" s="1"/>
  <c r="U132" i="10" s="1"/>
  <c r="W132" i="10" s="1"/>
  <c r="R132" i="10"/>
  <c r="X133" i="6"/>
  <c r="AH133" i="6"/>
  <c r="W134" i="6"/>
  <c r="AF134" i="6"/>
  <c r="AG134" i="6" s="1"/>
  <c r="N136" i="6"/>
  <c r="O136" i="6" s="1"/>
  <c r="P136" i="6"/>
  <c r="S136" i="6" s="1"/>
  <c r="T136" i="6" s="1"/>
  <c r="M137" i="6"/>
  <c r="U135" i="6"/>
  <c r="V135" i="6"/>
  <c r="N133" i="10"/>
  <c r="BF135" i="6"/>
  <c r="AS130" i="6"/>
  <c r="AK129" i="6"/>
  <c r="AT129" i="6" s="1"/>
  <c r="AK130" i="6"/>
  <c r="AT130" i="6" s="1"/>
  <c r="O134" i="10"/>
  <c r="P133" i="10"/>
  <c r="Q133" i="10" s="1"/>
  <c r="Z133" i="6" l="1"/>
  <c r="AI133" i="6"/>
  <c r="S133" i="10"/>
  <c r="T133" i="10" s="1"/>
  <c r="U133" i="10" s="1"/>
  <c r="W133" i="10" s="1"/>
  <c r="R133" i="10"/>
  <c r="X134" i="6"/>
  <c r="AH134" i="6"/>
  <c r="W135" i="6"/>
  <c r="AF135" i="6"/>
  <c r="AG135" i="6" s="1"/>
  <c r="P137" i="6"/>
  <c r="S137" i="6" s="1"/>
  <c r="T137" i="6" s="1"/>
  <c r="N137" i="6"/>
  <c r="O137" i="6" s="1"/>
  <c r="M138" i="6"/>
  <c r="V136" i="6"/>
  <c r="U136" i="6"/>
  <c r="AS129" i="6"/>
  <c r="BF136" i="6"/>
  <c r="N134" i="10"/>
  <c r="O135" i="10"/>
  <c r="P134" i="10"/>
  <c r="Q134" i="10" s="1"/>
  <c r="Z134" i="6" l="1"/>
  <c r="AI134" i="6"/>
  <c r="S134" i="10"/>
  <c r="T134" i="10" s="1"/>
  <c r="U134" i="10" s="1"/>
  <c r="W134" i="10" s="1"/>
  <c r="R134" i="10"/>
  <c r="X135" i="6"/>
  <c r="AH135" i="6"/>
  <c r="W136" i="6"/>
  <c r="AF136" i="6"/>
  <c r="AG136" i="6" s="1"/>
  <c r="N138" i="6"/>
  <c r="O138" i="6" s="1"/>
  <c r="P138" i="6"/>
  <c r="S138" i="6" s="1"/>
  <c r="T138" i="6" s="1"/>
  <c r="M139" i="6"/>
  <c r="U137" i="6"/>
  <c r="V137" i="6"/>
  <c r="AS132" i="6"/>
  <c r="N135" i="10"/>
  <c r="BF137" i="6"/>
  <c r="AK131" i="6"/>
  <c r="AT131" i="6" s="1"/>
  <c r="AK132" i="6"/>
  <c r="AT132" i="6" s="1"/>
  <c r="O136" i="10"/>
  <c r="P135" i="10"/>
  <c r="Q135" i="10" s="1"/>
  <c r="Z135" i="6" l="1"/>
  <c r="AI135" i="6"/>
  <c r="S135" i="10"/>
  <c r="T135" i="10" s="1"/>
  <c r="U135" i="10" s="1"/>
  <c r="W135" i="10" s="1"/>
  <c r="R135" i="10"/>
  <c r="X136" i="6"/>
  <c r="AH136" i="6"/>
  <c r="W137" i="6"/>
  <c r="AF137" i="6"/>
  <c r="AG137" i="6" s="1"/>
  <c r="P139" i="6"/>
  <c r="S139" i="6" s="1"/>
  <c r="T139" i="6" s="1"/>
  <c r="N139" i="6"/>
  <c r="O139" i="6" s="1"/>
  <c r="M140" i="6"/>
  <c r="U138" i="6"/>
  <c r="V138" i="6"/>
  <c r="AS131" i="6"/>
  <c r="N136" i="10"/>
  <c r="BF138" i="6"/>
  <c r="P136" i="10"/>
  <c r="Q136" i="10" s="1"/>
  <c r="O137" i="10"/>
  <c r="Z136" i="6" l="1"/>
  <c r="AI136" i="6"/>
  <c r="S136" i="10"/>
  <c r="T136" i="10" s="1"/>
  <c r="U136" i="10" s="1"/>
  <c r="W136" i="10" s="1"/>
  <c r="R136" i="10"/>
  <c r="X137" i="6"/>
  <c r="AH137" i="6"/>
  <c r="W138" i="6"/>
  <c r="AF138" i="6"/>
  <c r="AG138" i="6" s="1"/>
  <c r="N140" i="6"/>
  <c r="O140" i="6" s="1"/>
  <c r="P140" i="6"/>
  <c r="S140" i="6" s="1"/>
  <c r="T140" i="6" s="1"/>
  <c r="M141" i="6"/>
  <c r="U139" i="6"/>
  <c r="V139" i="6"/>
  <c r="N137" i="10"/>
  <c r="BF139" i="6"/>
  <c r="AK133" i="6"/>
  <c r="AT133" i="6" s="1"/>
  <c r="AK134" i="6"/>
  <c r="AT134" i="6" s="1"/>
  <c r="P137" i="10"/>
  <c r="Q137" i="10" s="1"/>
  <c r="O138" i="10"/>
  <c r="Z137" i="6" l="1"/>
  <c r="AI137" i="6"/>
  <c r="S137" i="10"/>
  <c r="T137" i="10" s="1"/>
  <c r="U137" i="10" s="1"/>
  <c r="W137" i="10" s="1"/>
  <c r="R137" i="10"/>
  <c r="X138" i="6"/>
  <c r="AH138" i="6"/>
  <c r="W139" i="6"/>
  <c r="AF139" i="6"/>
  <c r="AG139" i="6" s="1"/>
  <c r="N141" i="6"/>
  <c r="O141" i="6" s="1"/>
  <c r="P141" i="6"/>
  <c r="S141" i="6" s="1"/>
  <c r="T141" i="6" s="1"/>
  <c r="M142" i="6"/>
  <c r="U140" i="6"/>
  <c r="V140" i="6"/>
  <c r="AS135" i="6"/>
  <c r="AS133" i="6"/>
  <c r="AS134" i="6"/>
  <c r="N138" i="10"/>
  <c r="BF140" i="6"/>
  <c r="AK135" i="6"/>
  <c r="AT135" i="6" s="1"/>
  <c r="O139" i="10"/>
  <c r="P138" i="10"/>
  <c r="Q138" i="10" s="1"/>
  <c r="Z138" i="6" l="1"/>
  <c r="AI138" i="6"/>
  <c r="S138" i="10"/>
  <c r="T138" i="10" s="1"/>
  <c r="U138" i="10" s="1"/>
  <c r="W138" i="10" s="1"/>
  <c r="R138" i="10"/>
  <c r="X139" i="6"/>
  <c r="AH139" i="6"/>
  <c r="W140" i="6"/>
  <c r="AF140" i="6"/>
  <c r="AG140" i="6" s="1"/>
  <c r="N142" i="6"/>
  <c r="O142" i="6" s="1"/>
  <c r="P142" i="6"/>
  <c r="S142" i="6" s="1"/>
  <c r="T142" i="6" s="1"/>
  <c r="M143" i="6"/>
  <c r="U141" i="6"/>
  <c r="V141" i="6"/>
  <c r="N139" i="10"/>
  <c r="BF141" i="6"/>
  <c r="P139" i="10"/>
  <c r="Q139" i="10" s="1"/>
  <c r="O140" i="10"/>
  <c r="AK136" i="6"/>
  <c r="AT136" i="6" s="1"/>
  <c r="Z139" i="6" l="1"/>
  <c r="AI139" i="6"/>
  <c r="S139" i="10"/>
  <c r="T139" i="10" s="1"/>
  <c r="U139" i="10" s="1"/>
  <c r="W139" i="10" s="1"/>
  <c r="R139" i="10"/>
  <c r="X140" i="6"/>
  <c r="AH140" i="6"/>
  <c r="W141" i="6"/>
  <c r="AF141" i="6"/>
  <c r="AG141" i="6" s="1"/>
  <c r="N143" i="6"/>
  <c r="O143" i="6" s="1"/>
  <c r="P143" i="6"/>
  <c r="S143" i="6" s="1"/>
  <c r="T143" i="6" s="1"/>
  <c r="M144" i="6"/>
  <c r="V142" i="6"/>
  <c r="U142" i="6"/>
  <c r="AS137" i="6"/>
  <c r="AS136" i="6"/>
  <c r="N140" i="10"/>
  <c r="BF142" i="6"/>
  <c r="AK137" i="6"/>
  <c r="AT137" i="6" s="1"/>
  <c r="O141" i="10"/>
  <c r="P140" i="10"/>
  <c r="Q140" i="10" s="1"/>
  <c r="Z140" i="6" l="1"/>
  <c r="AI140" i="6"/>
  <c r="S140" i="10"/>
  <c r="T140" i="10" s="1"/>
  <c r="U140" i="10" s="1"/>
  <c r="W140" i="10" s="1"/>
  <c r="R140" i="10"/>
  <c r="X141" i="6"/>
  <c r="AH141" i="6"/>
  <c r="W142" i="6"/>
  <c r="AF142" i="6"/>
  <c r="AG142" i="6" s="1"/>
  <c r="P144" i="6"/>
  <c r="S144" i="6" s="1"/>
  <c r="T144" i="6" s="1"/>
  <c r="N144" i="6"/>
  <c r="O144" i="6" s="1"/>
  <c r="M145" i="6"/>
  <c r="V143" i="6"/>
  <c r="U143" i="6"/>
  <c r="N141" i="10"/>
  <c r="BF143" i="6"/>
  <c r="P141" i="10"/>
  <c r="Q141" i="10" s="1"/>
  <c r="O142" i="10"/>
  <c r="Z141" i="6" l="1"/>
  <c r="AI141" i="6"/>
  <c r="S141" i="10"/>
  <c r="T141" i="10" s="1"/>
  <c r="U141" i="10" s="1"/>
  <c r="W141" i="10" s="1"/>
  <c r="R141" i="10"/>
  <c r="X142" i="6"/>
  <c r="AH142" i="6"/>
  <c r="W143" i="6"/>
  <c r="AF143" i="6"/>
  <c r="AG143" i="6" s="1"/>
  <c r="P145" i="6"/>
  <c r="S145" i="6" s="1"/>
  <c r="T145" i="6" s="1"/>
  <c r="N145" i="6"/>
  <c r="O145" i="6" s="1"/>
  <c r="M146" i="6"/>
  <c r="U144" i="6"/>
  <c r="V144" i="6"/>
  <c r="AS138" i="6"/>
  <c r="N142" i="10"/>
  <c r="BF144" i="6"/>
  <c r="AK139" i="6"/>
  <c r="AT139" i="6" s="1"/>
  <c r="AK138" i="6"/>
  <c r="AT138" i="6" s="1"/>
  <c r="P142" i="10"/>
  <c r="Q142" i="10" s="1"/>
  <c r="O143" i="10"/>
  <c r="Z142" i="6" l="1"/>
  <c r="AI142" i="6"/>
  <c r="S142" i="10"/>
  <c r="T142" i="10" s="1"/>
  <c r="U142" i="10" s="1"/>
  <c r="W142" i="10" s="1"/>
  <c r="R142" i="10"/>
  <c r="X143" i="6"/>
  <c r="AH143" i="6"/>
  <c r="W144" i="6"/>
  <c r="AF144" i="6"/>
  <c r="AG144" i="6" s="1"/>
  <c r="N146" i="6"/>
  <c r="O146" i="6" s="1"/>
  <c r="P146" i="6"/>
  <c r="S146" i="6" s="1"/>
  <c r="T146" i="6" s="1"/>
  <c r="M147" i="6"/>
  <c r="U145" i="6"/>
  <c r="V145" i="6"/>
  <c r="AS139" i="6"/>
  <c r="AS140" i="6"/>
  <c r="N143" i="10"/>
  <c r="BF145" i="6"/>
  <c r="O144" i="10"/>
  <c r="P143" i="10"/>
  <c r="Q143" i="10" s="1"/>
  <c r="AK140" i="6"/>
  <c r="AT140" i="6" s="1"/>
  <c r="Z143" i="6" l="1"/>
  <c r="AI143" i="6"/>
  <c r="S143" i="10"/>
  <c r="T143" i="10" s="1"/>
  <c r="U143" i="10" s="1"/>
  <c r="W143" i="10" s="1"/>
  <c r="R143" i="10"/>
  <c r="X144" i="6"/>
  <c r="AH144" i="6"/>
  <c r="W145" i="6"/>
  <c r="AF145" i="6"/>
  <c r="AG145" i="6" s="1"/>
  <c r="N147" i="6"/>
  <c r="O147" i="6" s="1"/>
  <c r="P147" i="6"/>
  <c r="S147" i="6" s="1"/>
  <c r="T147" i="6" s="1"/>
  <c r="M148" i="6"/>
  <c r="U146" i="6"/>
  <c r="V146" i="6"/>
  <c r="AS141" i="6"/>
  <c r="N144" i="10"/>
  <c r="BF146" i="6"/>
  <c r="AK141" i="6"/>
  <c r="AT141" i="6" s="1"/>
  <c r="P144" i="10"/>
  <c r="Q144" i="10" s="1"/>
  <c r="O145" i="10"/>
  <c r="Z144" i="6" l="1"/>
  <c r="AI144" i="6"/>
  <c r="S144" i="10"/>
  <c r="T144" i="10" s="1"/>
  <c r="U144" i="10" s="1"/>
  <c r="W144" i="10" s="1"/>
  <c r="R144" i="10"/>
  <c r="X145" i="6"/>
  <c r="AH145" i="6"/>
  <c r="W146" i="6"/>
  <c r="AF146" i="6"/>
  <c r="AG146" i="6" s="1"/>
  <c r="N148" i="6"/>
  <c r="O148" i="6" s="1"/>
  <c r="P148" i="6"/>
  <c r="S148" i="6" s="1"/>
  <c r="T148" i="6" s="1"/>
  <c r="M149" i="6"/>
  <c r="U147" i="6"/>
  <c r="V147" i="6"/>
  <c r="AS142" i="6"/>
  <c r="N145" i="10"/>
  <c r="BF147" i="6"/>
  <c r="AK142" i="6"/>
  <c r="AT142" i="6" s="1"/>
  <c r="O146" i="10"/>
  <c r="P145" i="10"/>
  <c r="Q145" i="10" s="1"/>
  <c r="Z145" i="6" l="1"/>
  <c r="AI145" i="6"/>
  <c r="S145" i="10"/>
  <c r="T145" i="10" s="1"/>
  <c r="U145" i="10" s="1"/>
  <c r="W145" i="10" s="1"/>
  <c r="R145" i="10"/>
  <c r="X146" i="6"/>
  <c r="AH146" i="6"/>
  <c r="W147" i="6"/>
  <c r="AF147" i="6"/>
  <c r="AG147" i="6" s="1"/>
  <c r="P149" i="6"/>
  <c r="S149" i="6" s="1"/>
  <c r="T149" i="6" s="1"/>
  <c r="N149" i="6"/>
  <c r="O149" i="6" s="1"/>
  <c r="M150" i="6"/>
  <c r="U148" i="6"/>
  <c r="V148" i="6"/>
  <c r="AS143" i="6"/>
  <c r="N146" i="10"/>
  <c r="BF148" i="6"/>
  <c r="AK143" i="6"/>
  <c r="AT143" i="6" s="1"/>
  <c r="P146" i="10"/>
  <c r="Q146" i="10" s="1"/>
  <c r="O147" i="10"/>
  <c r="Z146" i="6" l="1"/>
  <c r="AI146" i="6"/>
  <c r="S146" i="10"/>
  <c r="T146" i="10" s="1"/>
  <c r="U146" i="10" s="1"/>
  <c r="W146" i="10" s="1"/>
  <c r="R146" i="10"/>
  <c r="X147" i="6"/>
  <c r="AH147" i="6"/>
  <c r="W148" i="6"/>
  <c r="AF148" i="6"/>
  <c r="AG148" i="6" s="1"/>
  <c r="P150" i="6"/>
  <c r="S150" i="6" s="1"/>
  <c r="T150" i="6" s="1"/>
  <c r="N150" i="6"/>
  <c r="O150" i="6" s="1"/>
  <c r="M151" i="6"/>
  <c r="U149" i="6"/>
  <c r="V149" i="6"/>
  <c r="N147" i="10"/>
  <c r="BF149" i="6"/>
  <c r="O148" i="10"/>
  <c r="P147" i="10"/>
  <c r="Q147" i="10" s="1"/>
  <c r="AK144" i="6"/>
  <c r="AT144" i="6" s="1"/>
  <c r="Z147" i="6" l="1"/>
  <c r="AI147" i="6"/>
  <c r="S147" i="10"/>
  <c r="T147" i="10" s="1"/>
  <c r="U147" i="10" s="1"/>
  <c r="W147" i="10" s="1"/>
  <c r="R147" i="10"/>
  <c r="X148" i="6"/>
  <c r="AH148" i="6"/>
  <c r="W149" i="6"/>
  <c r="AF149" i="6"/>
  <c r="AG149" i="6" s="1"/>
  <c r="P151" i="6"/>
  <c r="S151" i="6" s="1"/>
  <c r="T151" i="6" s="1"/>
  <c r="N151" i="6"/>
  <c r="O151" i="6" s="1"/>
  <c r="M152" i="6"/>
  <c r="U150" i="6"/>
  <c r="V150" i="6"/>
  <c r="AS144" i="6"/>
  <c r="N148" i="10"/>
  <c r="BF150" i="6"/>
  <c r="AK145" i="6"/>
  <c r="AT145" i="6" s="1"/>
  <c r="O149" i="10"/>
  <c r="P148" i="10"/>
  <c r="Q148" i="10" s="1"/>
  <c r="Z148" i="6" l="1"/>
  <c r="AI148" i="6"/>
  <c r="S148" i="10"/>
  <c r="T148" i="10" s="1"/>
  <c r="U148" i="10" s="1"/>
  <c r="W148" i="10" s="1"/>
  <c r="R148" i="10"/>
  <c r="X149" i="6"/>
  <c r="AH149" i="6"/>
  <c r="W150" i="6"/>
  <c r="AF150" i="6"/>
  <c r="AG150" i="6" s="1"/>
  <c r="N152" i="6"/>
  <c r="O152" i="6" s="1"/>
  <c r="P152" i="6"/>
  <c r="S152" i="6" s="1"/>
  <c r="T152" i="6" s="1"/>
  <c r="M153" i="6"/>
  <c r="U151" i="6"/>
  <c r="V151" i="6"/>
  <c r="AS146" i="6"/>
  <c r="AS145" i="6"/>
  <c r="N149" i="10"/>
  <c r="BF151" i="6"/>
  <c r="AK146" i="6"/>
  <c r="AT146" i="6" s="1"/>
  <c r="P149" i="10"/>
  <c r="Q149" i="10" s="1"/>
  <c r="O150" i="10"/>
  <c r="Z149" i="6" l="1"/>
  <c r="AI149" i="6"/>
  <c r="S149" i="10"/>
  <c r="T149" i="10" s="1"/>
  <c r="U149" i="10" s="1"/>
  <c r="W149" i="10" s="1"/>
  <c r="R149" i="10"/>
  <c r="X150" i="6"/>
  <c r="AH150" i="6"/>
  <c r="W151" i="6"/>
  <c r="AF151" i="6"/>
  <c r="AG151" i="6" s="1"/>
  <c r="N153" i="6"/>
  <c r="O153" i="6" s="1"/>
  <c r="P153" i="6"/>
  <c r="S153" i="6" s="1"/>
  <c r="T153" i="6" s="1"/>
  <c r="M154" i="6"/>
  <c r="U152" i="6"/>
  <c r="V152" i="6"/>
  <c r="AS147" i="6"/>
  <c r="N150" i="10"/>
  <c r="BF152" i="6"/>
  <c r="AK147" i="6"/>
  <c r="AT147" i="6" s="1"/>
  <c r="O151" i="10"/>
  <c r="P150" i="10"/>
  <c r="Q150" i="10" s="1"/>
  <c r="Z150" i="6" l="1"/>
  <c r="AI150" i="6"/>
  <c r="S150" i="10"/>
  <c r="T150" i="10" s="1"/>
  <c r="U150" i="10" s="1"/>
  <c r="W150" i="10" s="1"/>
  <c r="R150" i="10"/>
  <c r="X151" i="6"/>
  <c r="AH151" i="6"/>
  <c r="W152" i="6"/>
  <c r="AF152" i="6"/>
  <c r="AG152" i="6" s="1"/>
  <c r="P154" i="6"/>
  <c r="S154" i="6" s="1"/>
  <c r="T154" i="6" s="1"/>
  <c r="N154" i="6"/>
  <c r="O154" i="6" s="1"/>
  <c r="M155" i="6"/>
  <c r="U153" i="6"/>
  <c r="V153" i="6"/>
  <c r="N151" i="10"/>
  <c r="BF153" i="6"/>
  <c r="O152" i="10"/>
  <c r="P151" i="10"/>
  <c r="Q151" i="10" s="1"/>
  <c r="Z151" i="6" l="1"/>
  <c r="AI151" i="6"/>
  <c r="S151" i="10"/>
  <c r="T151" i="10" s="1"/>
  <c r="U151" i="10" s="1"/>
  <c r="W151" i="10" s="1"/>
  <c r="R151" i="10"/>
  <c r="X152" i="6"/>
  <c r="AH152" i="6"/>
  <c r="W153" i="6"/>
  <c r="AF153" i="6"/>
  <c r="AG153" i="6" s="1"/>
  <c r="P155" i="6"/>
  <c r="S155" i="6" s="1"/>
  <c r="T155" i="6" s="1"/>
  <c r="N155" i="6"/>
  <c r="O155" i="6" s="1"/>
  <c r="M156" i="6"/>
  <c r="U154" i="6"/>
  <c r="V154" i="6"/>
  <c r="AS148" i="6"/>
  <c r="BF154" i="6"/>
  <c r="AK148" i="6"/>
  <c r="AT148" i="6" s="1"/>
  <c r="N152" i="10"/>
  <c r="O153" i="10"/>
  <c r="P152" i="10"/>
  <c r="Q152" i="10" s="1"/>
  <c r="Z152" i="6" l="1"/>
  <c r="AI152" i="6"/>
  <c r="S152" i="10"/>
  <c r="T152" i="10" s="1"/>
  <c r="U152" i="10" s="1"/>
  <c r="W152" i="10" s="1"/>
  <c r="R152" i="10"/>
  <c r="X153" i="6"/>
  <c r="AH153" i="6"/>
  <c r="W154" i="6"/>
  <c r="AF154" i="6"/>
  <c r="AG154" i="6" s="1"/>
  <c r="N156" i="6"/>
  <c r="O156" i="6" s="1"/>
  <c r="P156" i="6"/>
  <c r="S156" i="6" s="1"/>
  <c r="T156" i="6" s="1"/>
  <c r="M157" i="6"/>
  <c r="U155" i="6"/>
  <c r="V155" i="6"/>
  <c r="N153" i="10"/>
  <c r="BF155" i="6"/>
  <c r="AK149" i="6"/>
  <c r="AT149" i="6" s="1"/>
  <c r="AK150" i="6"/>
  <c r="AT150" i="6" s="1"/>
  <c r="P153" i="10"/>
  <c r="Q153" i="10" s="1"/>
  <c r="O154" i="10"/>
  <c r="Z153" i="6" l="1"/>
  <c r="AI153" i="6"/>
  <c r="S153" i="10"/>
  <c r="T153" i="10" s="1"/>
  <c r="U153" i="10" s="1"/>
  <c r="W153" i="10" s="1"/>
  <c r="R153" i="10"/>
  <c r="X154" i="6"/>
  <c r="AH154" i="6"/>
  <c r="W155" i="6"/>
  <c r="AF155" i="6"/>
  <c r="AG155" i="6" s="1"/>
  <c r="N157" i="6"/>
  <c r="O157" i="6" s="1"/>
  <c r="P157" i="6"/>
  <c r="S157" i="6" s="1"/>
  <c r="T157" i="6" s="1"/>
  <c r="M158" i="6"/>
  <c r="U156" i="6"/>
  <c r="V156" i="6"/>
  <c r="AS150" i="6"/>
  <c r="AS151" i="6"/>
  <c r="AS149" i="6"/>
  <c r="N154" i="10"/>
  <c r="AK151" i="6"/>
  <c r="AT151" i="6" s="1"/>
  <c r="P154" i="10"/>
  <c r="Q154" i="10" s="1"/>
  <c r="O155" i="10"/>
  <c r="Z154" i="6" l="1"/>
  <c r="AI154" i="6"/>
  <c r="S154" i="10"/>
  <c r="T154" i="10" s="1"/>
  <c r="U154" i="10" s="1"/>
  <c r="W154" i="10" s="1"/>
  <c r="R154" i="10"/>
  <c r="X155" i="6"/>
  <c r="AH155" i="6"/>
  <c r="W156" i="6"/>
  <c r="AF156" i="6"/>
  <c r="AG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Z155" i="6" l="1"/>
  <c r="AI155" i="6"/>
  <c r="S155" i="10"/>
  <c r="T155" i="10" s="1"/>
  <c r="U155" i="10" s="1"/>
  <c r="W155" i="10" s="1"/>
  <c r="R155" i="10"/>
  <c r="X156" i="6"/>
  <c r="AH156" i="6"/>
  <c r="W157" i="6"/>
  <c r="AF157" i="6"/>
  <c r="AG157" i="6" s="1"/>
  <c r="P159" i="6"/>
  <c r="S159" i="6" s="1"/>
  <c r="T159" i="6" s="1"/>
  <c r="N159" i="6"/>
  <c r="O159" i="6" s="1"/>
  <c r="M160" i="6"/>
  <c r="V158" i="6"/>
  <c r="U158" i="6"/>
  <c r="AS152" i="6"/>
  <c r="AS153" i="6"/>
  <c r="N156" i="10"/>
  <c r="AK153" i="6"/>
  <c r="AT153" i="6" s="1"/>
  <c r="AK152" i="6"/>
  <c r="AT152" i="6" s="1"/>
  <c r="P156" i="10"/>
  <c r="Q156" i="10" s="1"/>
  <c r="O157" i="10"/>
  <c r="Z156" i="6" l="1"/>
  <c r="AI156" i="6"/>
  <c r="S156" i="10"/>
  <c r="T156" i="10" s="1"/>
  <c r="U156" i="10" s="1"/>
  <c r="W156" i="10" s="1"/>
  <c r="R156" i="10"/>
  <c r="X157" i="6"/>
  <c r="AH157" i="6"/>
  <c r="W158" i="6"/>
  <c r="AF158" i="6"/>
  <c r="AG158" i="6" s="1"/>
  <c r="N160" i="6"/>
  <c r="O160" i="6" s="1"/>
  <c r="P160" i="6"/>
  <c r="S160" i="6" s="1"/>
  <c r="T160" i="6" s="1"/>
  <c r="M161" i="6"/>
  <c r="U159" i="6"/>
  <c r="V159" i="6"/>
  <c r="AS154" i="6"/>
  <c r="N157" i="10"/>
  <c r="O158" i="10"/>
  <c r="P157" i="10"/>
  <c r="Q157" i="10" s="1"/>
  <c r="AK154" i="6"/>
  <c r="AT154" i="6" s="1"/>
  <c r="Z157" i="6" l="1"/>
  <c r="AI157" i="6"/>
  <c r="S157" i="10"/>
  <c r="T157" i="10" s="1"/>
  <c r="U157" i="10" s="1"/>
  <c r="W157" i="10" s="1"/>
  <c r="R157" i="10"/>
  <c r="X158" i="6"/>
  <c r="AH158" i="6"/>
  <c r="W159" i="6"/>
  <c r="AF159" i="6"/>
  <c r="AG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Z158" i="6" l="1"/>
  <c r="AI158" i="6"/>
  <c r="S158" i="10"/>
  <c r="T158" i="10" s="1"/>
  <c r="U158" i="10" s="1"/>
  <c r="W158" i="10" s="1"/>
  <c r="R158" i="10"/>
  <c r="X159" i="6"/>
  <c r="AH159" i="6"/>
  <c r="W160" i="6"/>
  <c r="AF160" i="6"/>
  <c r="AG160" i="6" s="1"/>
  <c r="N162" i="6"/>
  <c r="O162" i="6" s="1"/>
  <c r="P162" i="6"/>
  <c r="S162" i="6" s="1"/>
  <c r="T162" i="6" s="1"/>
  <c r="M163" i="6"/>
  <c r="U161" i="6"/>
  <c r="V161" i="6"/>
  <c r="AS155" i="6"/>
  <c r="N159" i="10"/>
  <c r="AK155" i="6"/>
  <c r="AT155" i="6" s="1"/>
  <c r="AK156" i="6"/>
  <c r="AT156" i="6" s="1"/>
  <c r="P159" i="10"/>
  <c r="Q159" i="10" s="1"/>
  <c r="O160" i="10"/>
  <c r="Z159" i="6" l="1"/>
  <c r="AI159" i="6"/>
  <c r="S159" i="10"/>
  <c r="T159" i="10" s="1"/>
  <c r="U159" i="10" s="1"/>
  <c r="W159" i="10" s="1"/>
  <c r="R159" i="10"/>
  <c r="X160" i="6"/>
  <c r="AH160" i="6"/>
  <c r="W161" i="6"/>
  <c r="AF161" i="6"/>
  <c r="AG161" i="6" s="1"/>
  <c r="N163" i="6"/>
  <c r="O163" i="6" s="1"/>
  <c r="P163" i="6"/>
  <c r="S163" i="6" s="1"/>
  <c r="T163" i="6" s="1"/>
  <c r="M164" i="6"/>
  <c r="U162" i="6"/>
  <c r="V162" i="6"/>
  <c r="AS157" i="6"/>
  <c r="AS156" i="6"/>
  <c r="N160" i="10"/>
  <c r="O161" i="10"/>
  <c r="P160" i="10"/>
  <c r="Q160" i="10" s="1"/>
  <c r="AK157" i="6"/>
  <c r="AT157" i="6" s="1"/>
  <c r="Z160" i="6" l="1"/>
  <c r="AI160" i="6"/>
  <c r="S160" i="10"/>
  <c r="T160" i="10" s="1"/>
  <c r="U160" i="10" s="1"/>
  <c r="W160" i="10" s="1"/>
  <c r="R160" i="10"/>
  <c r="X161" i="6"/>
  <c r="AH161" i="6"/>
  <c r="W162" i="6"/>
  <c r="AF162" i="6"/>
  <c r="AG162" i="6" s="1"/>
  <c r="N164" i="6"/>
  <c r="O164" i="6" s="1"/>
  <c r="P164" i="6"/>
  <c r="S164" i="6" s="1"/>
  <c r="T164" i="6" s="1"/>
  <c r="M165" i="6"/>
  <c r="U163" i="6"/>
  <c r="V163" i="6"/>
  <c r="N161" i="10"/>
  <c r="AK158" i="6"/>
  <c r="AT158" i="6" s="1"/>
  <c r="P161" i="10"/>
  <c r="Q161" i="10" s="1"/>
  <c r="O162" i="10"/>
  <c r="Z161" i="6" l="1"/>
  <c r="AI161" i="6"/>
  <c r="S161" i="10"/>
  <c r="T161" i="10" s="1"/>
  <c r="U161" i="10" s="1"/>
  <c r="W161" i="10" s="1"/>
  <c r="R161" i="10"/>
  <c r="X162" i="6"/>
  <c r="AH162" i="6"/>
  <c r="W163" i="6"/>
  <c r="AF163" i="6"/>
  <c r="AG163" i="6" s="1"/>
  <c r="N165" i="6"/>
  <c r="O165" i="6" s="1"/>
  <c r="P165" i="6"/>
  <c r="S165" i="6" s="1"/>
  <c r="T165" i="6" s="1"/>
  <c r="M166" i="6"/>
  <c r="U164" i="6"/>
  <c r="V164" i="6"/>
  <c r="AS158" i="6"/>
  <c r="N162" i="10"/>
  <c r="O163" i="10"/>
  <c r="P162" i="10"/>
  <c r="Q162" i="10" s="1"/>
  <c r="Z162" i="6" l="1"/>
  <c r="AI162" i="6"/>
  <c r="S162" i="10"/>
  <c r="T162" i="10" s="1"/>
  <c r="U162" i="10" s="1"/>
  <c r="W162" i="10" s="1"/>
  <c r="R162" i="10"/>
  <c r="X163" i="6"/>
  <c r="AH163" i="6"/>
  <c r="W164" i="6"/>
  <c r="AF164" i="6"/>
  <c r="AG164" i="6" s="1"/>
  <c r="P166" i="6"/>
  <c r="S166" i="6" s="1"/>
  <c r="T166" i="6" s="1"/>
  <c r="N166" i="6"/>
  <c r="O166" i="6" s="1"/>
  <c r="M167" i="6"/>
  <c r="U165" i="6"/>
  <c r="V165" i="6"/>
  <c r="N163" i="10"/>
  <c r="AS160" i="6"/>
  <c r="AK159" i="6"/>
  <c r="AT159" i="6" s="1"/>
  <c r="AK160" i="6"/>
  <c r="AT160" i="6" s="1"/>
  <c r="O164" i="10"/>
  <c r="P163" i="10"/>
  <c r="Q163" i="10" s="1"/>
  <c r="Z163" i="6" l="1"/>
  <c r="AI163" i="6"/>
  <c r="S163" i="10"/>
  <c r="T163" i="10" s="1"/>
  <c r="U163" i="10" s="1"/>
  <c r="W163" i="10" s="1"/>
  <c r="R163" i="10"/>
  <c r="X164" i="6"/>
  <c r="AH164" i="6"/>
  <c r="W165" i="6"/>
  <c r="AF165" i="6"/>
  <c r="AG165" i="6" s="1"/>
  <c r="N167" i="6"/>
  <c r="O167" i="6" s="1"/>
  <c r="P167" i="6"/>
  <c r="S167" i="6" s="1"/>
  <c r="T167" i="6" s="1"/>
  <c r="M168" i="6"/>
  <c r="U166" i="6"/>
  <c r="V166" i="6"/>
  <c r="AS161" i="6"/>
  <c r="AS159" i="6"/>
  <c r="N164" i="10"/>
  <c r="AK161" i="6"/>
  <c r="AT161" i="6" s="1"/>
  <c r="P164" i="10"/>
  <c r="Q164" i="10" s="1"/>
  <c r="O165" i="10"/>
  <c r="Z164" i="6" l="1"/>
  <c r="AI164" i="6"/>
  <c r="S164" i="10"/>
  <c r="T164" i="10" s="1"/>
  <c r="U164" i="10" s="1"/>
  <c r="W164" i="10" s="1"/>
  <c r="R164" i="10"/>
  <c r="X165" i="6"/>
  <c r="AH165" i="6"/>
  <c r="W166" i="6"/>
  <c r="AF166" i="6"/>
  <c r="AG166" i="6" s="1"/>
  <c r="P168" i="6"/>
  <c r="S168" i="6" s="1"/>
  <c r="T168" i="6" s="1"/>
  <c r="N168" i="6"/>
  <c r="O168" i="6" s="1"/>
  <c r="M169" i="6"/>
  <c r="U167" i="6"/>
  <c r="V167" i="6"/>
  <c r="AS162" i="6"/>
  <c r="N165" i="10"/>
  <c r="AK162" i="6"/>
  <c r="AT162" i="6" s="1"/>
  <c r="O166" i="10"/>
  <c r="P165" i="10"/>
  <c r="Q165" i="10" s="1"/>
  <c r="Z165" i="6" l="1"/>
  <c r="AI165" i="6"/>
  <c r="S165" i="10"/>
  <c r="T165" i="10" s="1"/>
  <c r="U165" i="10" s="1"/>
  <c r="W165" i="10" s="1"/>
  <c r="R165" i="10"/>
  <c r="X166" i="6"/>
  <c r="AH166" i="6"/>
  <c r="W167" i="6"/>
  <c r="AF167" i="6"/>
  <c r="AG167" i="6" s="1"/>
  <c r="N169" i="6"/>
  <c r="O169" i="6" s="1"/>
  <c r="P169" i="6"/>
  <c r="S169" i="6" s="1"/>
  <c r="T169" i="6" s="1"/>
  <c r="M170" i="6"/>
  <c r="U168" i="6"/>
  <c r="V168" i="6"/>
  <c r="AS163" i="6"/>
  <c r="N166" i="10"/>
  <c r="AK163" i="6"/>
  <c r="AT163" i="6" s="1"/>
  <c r="O167" i="10"/>
  <c r="P166" i="10"/>
  <c r="Q166" i="10" s="1"/>
  <c r="Z166" i="6" l="1"/>
  <c r="AI166" i="6"/>
  <c r="S166" i="10"/>
  <c r="T166" i="10" s="1"/>
  <c r="U166" i="10" s="1"/>
  <c r="W166" i="10" s="1"/>
  <c r="R166" i="10"/>
  <c r="X167" i="6"/>
  <c r="AH167" i="6"/>
  <c r="W168" i="6"/>
  <c r="AF168" i="6"/>
  <c r="AG168" i="6" s="1"/>
  <c r="P170" i="6"/>
  <c r="S170" i="6" s="1"/>
  <c r="T170" i="6" s="1"/>
  <c r="N170" i="6"/>
  <c r="O170" i="6" s="1"/>
  <c r="M171" i="6"/>
  <c r="U169" i="6"/>
  <c r="V169" i="6"/>
  <c r="AS164" i="6"/>
  <c r="N167" i="10"/>
  <c r="AK164" i="6"/>
  <c r="AT164" i="6" s="1"/>
  <c r="O168" i="10"/>
  <c r="P167" i="10"/>
  <c r="Q167" i="10" s="1"/>
  <c r="Z167" i="6" l="1"/>
  <c r="AI167" i="6"/>
  <c r="S167" i="10"/>
  <c r="T167" i="10" s="1"/>
  <c r="U167" i="10" s="1"/>
  <c r="W167" i="10" s="1"/>
  <c r="R167" i="10"/>
  <c r="X168" i="6"/>
  <c r="AH168" i="6"/>
  <c r="W169" i="6"/>
  <c r="AF169" i="6"/>
  <c r="AG169" i="6" s="1"/>
  <c r="N171" i="6"/>
  <c r="O171" i="6" s="1"/>
  <c r="P171" i="6"/>
  <c r="S171" i="6" s="1"/>
  <c r="T171" i="6" s="1"/>
  <c r="M172" i="6"/>
  <c r="U170" i="6"/>
  <c r="V170" i="6"/>
  <c r="AS165" i="6"/>
  <c r="AK165" i="6"/>
  <c r="AT165" i="6" s="1"/>
  <c r="N168" i="10"/>
  <c r="O169" i="10"/>
  <c r="P168" i="10"/>
  <c r="Q168" i="10" s="1"/>
  <c r="Z168" i="6" l="1"/>
  <c r="AI168" i="6"/>
  <c r="S168" i="10"/>
  <c r="T168" i="10" s="1"/>
  <c r="U168" i="10" s="1"/>
  <c r="W168" i="10" s="1"/>
  <c r="R168" i="10"/>
  <c r="X169" i="6"/>
  <c r="AH169" i="6"/>
  <c r="W170" i="6"/>
  <c r="AF170" i="6"/>
  <c r="AG170" i="6" s="1"/>
  <c r="P172" i="6"/>
  <c r="S172" i="6" s="1"/>
  <c r="T172" i="6" s="1"/>
  <c r="N172" i="6"/>
  <c r="O172" i="6" s="1"/>
  <c r="M173" i="6"/>
  <c r="U171" i="6"/>
  <c r="V171" i="6"/>
  <c r="N169" i="10"/>
  <c r="AK166" i="6"/>
  <c r="AT166" i="6" s="1"/>
  <c r="P169" i="10"/>
  <c r="Q169" i="10" s="1"/>
  <c r="O170" i="10"/>
  <c r="Z169" i="6" l="1"/>
  <c r="AI169" i="6"/>
  <c r="S169" i="10"/>
  <c r="T169" i="10" s="1"/>
  <c r="U169" i="10" s="1"/>
  <c r="W169" i="10" s="1"/>
  <c r="R169" i="10"/>
  <c r="X170" i="6"/>
  <c r="AH170" i="6"/>
  <c r="W171" i="6"/>
  <c r="AF171" i="6"/>
  <c r="AG171" i="6" s="1"/>
  <c r="N173" i="6"/>
  <c r="O173" i="6" s="1"/>
  <c r="P173" i="6"/>
  <c r="S173" i="6" s="1"/>
  <c r="T173" i="6" s="1"/>
  <c r="M174" i="6"/>
  <c r="U172" i="6"/>
  <c r="V172" i="6"/>
  <c r="AS166" i="6"/>
  <c r="AS167" i="6"/>
  <c r="AK167" i="6"/>
  <c r="AT167" i="6" s="1"/>
  <c r="N170" i="10"/>
  <c r="P170" i="10"/>
  <c r="Q170" i="10" s="1"/>
  <c r="O171" i="10"/>
  <c r="Z170" i="6" l="1"/>
  <c r="AI170" i="6"/>
  <c r="S170" i="10"/>
  <c r="T170" i="10" s="1"/>
  <c r="U170" i="10" s="1"/>
  <c r="W170" i="10" s="1"/>
  <c r="R170" i="10"/>
  <c r="X171" i="6"/>
  <c r="AH171" i="6"/>
  <c r="W172" i="6"/>
  <c r="AF172" i="6"/>
  <c r="AG172" i="6" s="1"/>
  <c r="N174" i="6"/>
  <c r="O174" i="6" s="1"/>
  <c r="P174" i="6"/>
  <c r="S174" i="6" s="1"/>
  <c r="T174" i="6" s="1"/>
  <c r="M175" i="6"/>
  <c r="U173" i="6"/>
  <c r="V173" i="6"/>
  <c r="AS168" i="6"/>
  <c r="AK168" i="6"/>
  <c r="AT168" i="6" s="1"/>
  <c r="N171" i="10"/>
  <c r="P171" i="10"/>
  <c r="Q171" i="10" s="1"/>
  <c r="O172" i="10"/>
  <c r="Z171" i="6" l="1"/>
  <c r="AI171" i="6"/>
  <c r="S171" i="10"/>
  <c r="T171" i="10" s="1"/>
  <c r="U171" i="10" s="1"/>
  <c r="W171" i="10" s="1"/>
  <c r="R171" i="10"/>
  <c r="X172" i="6"/>
  <c r="AH172" i="6"/>
  <c r="W173" i="6"/>
  <c r="AF173" i="6"/>
  <c r="AG173" i="6" s="1"/>
  <c r="N175" i="6"/>
  <c r="O175" i="6" s="1"/>
  <c r="P175" i="6"/>
  <c r="S175" i="6" s="1"/>
  <c r="T175" i="6" s="1"/>
  <c r="M176" i="6"/>
  <c r="U174" i="6"/>
  <c r="V174" i="6"/>
  <c r="AS169" i="6"/>
  <c r="AK169" i="6"/>
  <c r="AT169" i="6" s="1"/>
  <c r="N172" i="10"/>
  <c r="O173" i="10"/>
  <c r="P172" i="10"/>
  <c r="Q172" i="10" s="1"/>
  <c r="Z172" i="6" l="1"/>
  <c r="AI172" i="6"/>
  <c r="S172" i="10"/>
  <c r="T172" i="10" s="1"/>
  <c r="U172" i="10" s="1"/>
  <c r="W172" i="10" s="1"/>
  <c r="R172" i="10"/>
  <c r="X173" i="6"/>
  <c r="AH173" i="6"/>
  <c r="W174" i="6"/>
  <c r="AF174" i="6"/>
  <c r="AG174" i="6" s="1"/>
  <c r="N176" i="6"/>
  <c r="O176" i="6" s="1"/>
  <c r="P176" i="6"/>
  <c r="S176" i="6" s="1"/>
  <c r="T176" i="6" s="1"/>
  <c r="M177" i="6"/>
  <c r="U175" i="6"/>
  <c r="V175" i="6"/>
  <c r="AK170" i="6"/>
  <c r="AT170" i="6" s="1"/>
  <c r="N173" i="10"/>
  <c r="P173" i="10"/>
  <c r="Q173" i="10" s="1"/>
  <c r="O174" i="10"/>
  <c r="Z173" i="6" l="1"/>
  <c r="AI173" i="6"/>
  <c r="S173" i="10"/>
  <c r="T173" i="10" s="1"/>
  <c r="U173" i="10" s="1"/>
  <c r="W173" i="10" s="1"/>
  <c r="R173" i="10"/>
  <c r="X174" i="6"/>
  <c r="AH174" i="6"/>
  <c r="W175" i="6"/>
  <c r="AF175" i="6"/>
  <c r="AG175" i="6" s="1"/>
  <c r="N177" i="6"/>
  <c r="O177" i="6" s="1"/>
  <c r="P177" i="6"/>
  <c r="S177" i="6" s="1"/>
  <c r="T177" i="6" s="1"/>
  <c r="M178" i="6"/>
  <c r="U176" i="6"/>
  <c r="V176" i="6"/>
  <c r="AS170" i="6"/>
  <c r="N174" i="10"/>
  <c r="O175" i="10"/>
  <c r="P174" i="10"/>
  <c r="Q174" i="10" s="1"/>
  <c r="Z174" i="6" l="1"/>
  <c r="AI174" i="6"/>
  <c r="S174" i="10"/>
  <c r="T174" i="10" s="1"/>
  <c r="U174" i="10" s="1"/>
  <c r="W174" i="10" s="1"/>
  <c r="R174" i="10"/>
  <c r="X175" i="6"/>
  <c r="AH175" i="6"/>
  <c r="W176" i="6"/>
  <c r="AF176" i="6"/>
  <c r="AG176" i="6" s="1"/>
  <c r="N178" i="6"/>
  <c r="O178" i="6" s="1"/>
  <c r="P178" i="6"/>
  <c r="S178" i="6" s="1"/>
  <c r="T178" i="6" s="1"/>
  <c r="M179" i="6"/>
  <c r="U177" i="6"/>
  <c r="V177" i="6"/>
  <c r="AS172" i="6"/>
  <c r="N175" i="10"/>
  <c r="AK171" i="6"/>
  <c r="AT171" i="6" s="1"/>
  <c r="P175" i="10"/>
  <c r="Q175" i="10" s="1"/>
  <c r="O176" i="10"/>
  <c r="AK172" i="6"/>
  <c r="AT172" i="6" s="1"/>
  <c r="Z175" i="6" l="1"/>
  <c r="AI175" i="6"/>
  <c r="S175" i="10"/>
  <c r="T175" i="10" s="1"/>
  <c r="U175" i="10" s="1"/>
  <c r="W175" i="10" s="1"/>
  <c r="R175" i="10"/>
  <c r="X176" i="6"/>
  <c r="AH176" i="6"/>
  <c r="W177" i="6"/>
  <c r="AF177" i="6"/>
  <c r="AG177" i="6" s="1"/>
  <c r="N179" i="6"/>
  <c r="O179" i="6" s="1"/>
  <c r="P179" i="6"/>
  <c r="S179" i="6" s="1"/>
  <c r="T179" i="6" s="1"/>
  <c r="M180" i="6"/>
  <c r="U178" i="6"/>
  <c r="V178" i="6"/>
  <c r="AS171" i="6"/>
  <c r="AK173" i="6"/>
  <c r="AT173" i="6" s="1"/>
  <c r="N176" i="10"/>
  <c r="P176" i="10"/>
  <c r="Q176" i="10" s="1"/>
  <c r="O177" i="10"/>
  <c r="Z176" i="6" l="1"/>
  <c r="AI176" i="6"/>
  <c r="S176" i="10"/>
  <c r="T176" i="10" s="1"/>
  <c r="U176" i="10" s="1"/>
  <c r="W176" i="10" s="1"/>
  <c r="R176" i="10"/>
  <c r="X177" i="6"/>
  <c r="AH177" i="6"/>
  <c r="W178" i="6"/>
  <c r="AF178" i="6"/>
  <c r="AG178" i="6" s="1"/>
  <c r="P180" i="6"/>
  <c r="S180" i="6" s="1"/>
  <c r="T180" i="6" s="1"/>
  <c r="N180" i="6"/>
  <c r="O180" i="6" s="1"/>
  <c r="M181" i="6"/>
  <c r="U179" i="6"/>
  <c r="V179" i="6"/>
  <c r="AS173" i="6"/>
  <c r="AS174" i="6"/>
  <c r="AK174" i="6"/>
  <c r="AT174" i="6" s="1"/>
  <c r="N177" i="10"/>
  <c r="O178" i="10"/>
  <c r="P177" i="10"/>
  <c r="Q177" i="10" s="1"/>
  <c r="Z177" i="6" l="1"/>
  <c r="AI177" i="6"/>
  <c r="S177" i="10"/>
  <c r="T177" i="10" s="1"/>
  <c r="U177" i="10" s="1"/>
  <c r="W177" i="10" s="1"/>
  <c r="R177" i="10"/>
  <c r="X178" i="6"/>
  <c r="AH178" i="6"/>
  <c r="W179" i="6"/>
  <c r="AF179" i="6"/>
  <c r="AG179" i="6" s="1"/>
  <c r="N181" i="6"/>
  <c r="O181" i="6" s="1"/>
  <c r="P181" i="6"/>
  <c r="S181" i="6" s="1"/>
  <c r="T181" i="6" s="1"/>
  <c r="M182" i="6"/>
  <c r="U180" i="6"/>
  <c r="V180" i="6"/>
  <c r="AS175" i="6"/>
  <c r="AK175" i="6"/>
  <c r="AT175" i="6" s="1"/>
  <c r="N178" i="10"/>
  <c r="O179" i="10"/>
  <c r="P178" i="10"/>
  <c r="Q178" i="10" s="1"/>
  <c r="Z178" i="6" l="1"/>
  <c r="AI178" i="6"/>
  <c r="S178" i="10"/>
  <c r="T178" i="10" s="1"/>
  <c r="U178" i="10" s="1"/>
  <c r="W178" i="10" s="1"/>
  <c r="R178" i="10"/>
  <c r="X179" i="6"/>
  <c r="AH179" i="6"/>
  <c r="W180" i="6"/>
  <c r="AF180" i="6"/>
  <c r="AG180" i="6" s="1"/>
  <c r="N182" i="6"/>
  <c r="O182" i="6" s="1"/>
  <c r="P182" i="6"/>
  <c r="S182" i="6" s="1"/>
  <c r="T182" i="6" s="1"/>
  <c r="M183" i="6"/>
  <c r="U181" i="6"/>
  <c r="V181" i="6"/>
  <c r="AS176" i="6"/>
  <c r="AK176" i="6"/>
  <c r="AT176" i="6" s="1"/>
  <c r="N179" i="10"/>
  <c r="P179" i="10"/>
  <c r="Q179" i="10" s="1"/>
  <c r="O180" i="10"/>
  <c r="Z179" i="6" l="1"/>
  <c r="AI179" i="6"/>
  <c r="S179" i="10"/>
  <c r="T179" i="10" s="1"/>
  <c r="U179" i="10" s="1"/>
  <c r="W179" i="10" s="1"/>
  <c r="R179" i="10"/>
  <c r="X180" i="6"/>
  <c r="AH180" i="6"/>
  <c r="W181" i="6"/>
  <c r="AF181" i="6"/>
  <c r="AG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K177" i="6"/>
  <c r="AT177" i="6" s="1"/>
  <c r="Z180" i="6" l="1"/>
  <c r="AI180" i="6"/>
  <c r="S180" i="10"/>
  <c r="T180" i="10" s="1"/>
  <c r="U180" i="10" s="1"/>
  <c r="W180" i="10" s="1"/>
  <c r="R180" i="10"/>
  <c r="X181" i="6"/>
  <c r="AH181" i="6"/>
  <c r="W182" i="6"/>
  <c r="AF182" i="6"/>
  <c r="AG182" i="6" s="1"/>
  <c r="N184" i="6"/>
  <c r="O184" i="6" s="1"/>
  <c r="P184" i="6"/>
  <c r="S184" i="6" s="1"/>
  <c r="T184" i="6" s="1"/>
  <c r="M185" i="6"/>
  <c r="U183" i="6"/>
  <c r="V183" i="6"/>
  <c r="AS178" i="6"/>
  <c r="AS177" i="6"/>
  <c r="AK178" i="6"/>
  <c r="AT178" i="6" s="1"/>
  <c r="N181" i="10"/>
  <c r="O182" i="10"/>
  <c r="P181" i="10"/>
  <c r="Q181" i="10" s="1"/>
  <c r="Z181" i="6" l="1"/>
  <c r="AI181" i="6"/>
  <c r="S181" i="10"/>
  <c r="T181" i="10" s="1"/>
  <c r="U181" i="10" s="1"/>
  <c r="W181" i="10" s="1"/>
  <c r="R181" i="10"/>
  <c r="X182" i="6"/>
  <c r="AH182" i="6"/>
  <c r="W183" i="6"/>
  <c r="AF183" i="6"/>
  <c r="AG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Z182" i="6" l="1"/>
  <c r="AI182" i="6"/>
  <c r="S182" i="10"/>
  <c r="T182" i="10" s="1"/>
  <c r="U182" i="10" s="1"/>
  <c r="W182" i="10" s="1"/>
  <c r="R182" i="10"/>
  <c r="X183" i="6"/>
  <c r="AH183" i="6"/>
  <c r="W184" i="6"/>
  <c r="AF184" i="6"/>
  <c r="AG184" i="6" s="1"/>
  <c r="N186" i="6"/>
  <c r="O186" i="6" s="1"/>
  <c r="P186" i="6"/>
  <c r="S186" i="6" s="1"/>
  <c r="T186" i="6" s="1"/>
  <c r="M187" i="6"/>
  <c r="U185" i="6"/>
  <c r="V185" i="6"/>
  <c r="AS180" i="6"/>
  <c r="N183" i="10"/>
  <c r="AK180" i="6"/>
  <c r="AT180" i="6" s="1"/>
  <c r="O184" i="10"/>
  <c r="P183" i="10"/>
  <c r="Q183" i="10" s="1"/>
  <c r="AK179" i="6"/>
  <c r="AT179" i="6" s="1"/>
  <c r="Z183" i="6" l="1"/>
  <c r="AI183" i="6"/>
  <c r="S183" i="10"/>
  <c r="T183" i="10" s="1"/>
  <c r="U183" i="10" s="1"/>
  <c r="W183" i="10" s="1"/>
  <c r="R183" i="10"/>
  <c r="X184" i="6"/>
  <c r="AH184" i="6"/>
  <c r="W185" i="6"/>
  <c r="AF185" i="6"/>
  <c r="AG185" i="6" s="1"/>
  <c r="N187" i="6"/>
  <c r="O187" i="6" s="1"/>
  <c r="P187" i="6"/>
  <c r="S187" i="6" s="1"/>
  <c r="T187" i="6" s="1"/>
  <c r="M188" i="6"/>
  <c r="U186" i="6"/>
  <c r="V186" i="6"/>
  <c r="AS179" i="6"/>
  <c r="N184" i="10"/>
  <c r="AK181" i="6"/>
  <c r="AT181" i="6" s="1"/>
  <c r="P184" i="10"/>
  <c r="Q184" i="10" s="1"/>
  <c r="O185" i="10"/>
  <c r="Z184" i="6" l="1"/>
  <c r="AI184" i="6"/>
  <c r="S184" i="10"/>
  <c r="T184" i="10" s="1"/>
  <c r="U184" i="10" s="1"/>
  <c r="W184" i="10" s="1"/>
  <c r="R184" i="10"/>
  <c r="X185" i="6"/>
  <c r="AH185" i="6"/>
  <c r="W186" i="6"/>
  <c r="AF186" i="6"/>
  <c r="AG186" i="6" s="1"/>
  <c r="N188" i="6"/>
  <c r="O188" i="6" s="1"/>
  <c r="P188" i="6"/>
  <c r="S188" i="6" s="1"/>
  <c r="T188" i="6" s="1"/>
  <c r="M189" i="6"/>
  <c r="U187" i="6"/>
  <c r="V187" i="6"/>
  <c r="AS182" i="6"/>
  <c r="AS181" i="6"/>
  <c r="N185" i="10"/>
  <c r="O186" i="10"/>
  <c r="P185" i="10"/>
  <c r="Q185" i="10" s="1"/>
  <c r="AK182" i="6"/>
  <c r="AT182" i="6" s="1"/>
  <c r="Z185" i="6" l="1"/>
  <c r="AI185" i="6"/>
  <c r="S185" i="10"/>
  <c r="T185" i="10" s="1"/>
  <c r="U185" i="10" s="1"/>
  <c r="W185" i="10" s="1"/>
  <c r="R185" i="10"/>
  <c r="X186" i="6"/>
  <c r="AH186" i="6"/>
  <c r="W187" i="6"/>
  <c r="AF187" i="6"/>
  <c r="AG187" i="6" s="1"/>
  <c r="P189" i="6"/>
  <c r="S189" i="6" s="1"/>
  <c r="T189" i="6" s="1"/>
  <c r="N189" i="6"/>
  <c r="O189" i="6" s="1"/>
  <c r="M190" i="6"/>
  <c r="U188" i="6"/>
  <c r="V188" i="6"/>
  <c r="AS183" i="6"/>
  <c r="AK183" i="6"/>
  <c r="AT183" i="6" s="1"/>
  <c r="N186" i="10"/>
  <c r="P186" i="10"/>
  <c r="Q186" i="10" s="1"/>
  <c r="O187" i="10"/>
  <c r="Z186" i="6" l="1"/>
  <c r="AI186" i="6"/>
  <c r="S186" i="10"/>
  <c r="T186" i="10" s="1"/>
  <c r="U186" i="10" s="1"/>
  <c r="W186" i="10" s="1"/>
  <c r="R186" i="10"/>
  <c r="X187" i="6"/>
  <c r="AH187" i="6"/>
  <c r="W188" i="6"/>
  <c r="AF188" i="6"/>
  <c r="AG188" i="6" s="1"/>
  <c r="N190" i="6"/>
  <c r="O190" i="6" s="1"/>
  <c r="P190" i="6"/>
  <c r="S190" i="6" s="1"/>
  <c r="T190" i="6" s="1"/>
  <c r="M191" i="6"/>
  <c r="U189" i="6"/>
  <c r="V189" i="6"/>
  <c r="AS184" i="6"/>
  <c r="N187" i="10"/>
  <c r="O188" i="10"/>
  <c r="P187" i="10"/>
  <c r="Q187" i="10" s="1"/>
  <c r="AK184" i="6"/>
  <c r="AT184" i="6" s="1"/>
  <c r="Z187" i="6" l="1"/>
  <c r="AI187" i="6"/>
  <c r="S187" i="10"/>
  <c r="T187" i="10" s="1"/>
  <c r="U187" i="10" s="1"/>
  <c r="W187" i="10" s="1"/>
  <c r="R187" i="10"/>
  <c r="X188" i="6"/>
  <c r="AH188" i="6"/>
  <c r="W189" i="6"/>
  <c r="AF189" i="6"/>
  <c r="AG189" i="6" s="1"/>
  <c r="N191" i="6"/>
  <c r="O191" i="6" s="1"/>
  <c r="P191" i="6"/>
  <c r="S191" i="6" s="1"/>
  <c r="T191" i="6" s="1"/>
  <c r="M192" i="6"/>
  <c r="U190" i="6"/>
  <c r="V190" i="6"/>
  <c r="AS185" i="6"/>
  <c r="AK185" i="6"/>
  <c r="AT185" i="6" s="1"/>
  <c r="N188" i="10"/>
  <c r="P188" i="10"/>
  <c r="Q188" i="10" s="1"/>
  <c r="O189" i="10"/>
  <c r="Z188" i="6" l="1"/>
  <c r="AI188" i="6"/>
  <c r="S188" i="10"/>
  <c r="T188" i="10" s="1"/>
  <c r="U188" i="10" s="1"/>
  <c r="W188" i="10" s="1"/>
  <c r="R188" i="10"/>
  <c r="X189" i="6"/>
  <c r="AH189" i="6"/>
  <c r="W190" i="6"/>
  <c r="AF190" i="6"/>
  <c r="AG190" i="6" s="1"/>
  <c r="N192" i="6"/>
  <c r="O192" i="6" s="1"/>
  <c r="P192" i="6"/>
  <c r="S192" i="6" s="1"/>
  <c r="T192" i="6" s="1"/>
  <c r="M193" i="6"/>
  <c r="U191" i="6"/>
  <c r="V191" i="6"/>
  <c r="AS186" i="6"/>
  <c r="N189" i="10"/>
  <c r="P189" i="10"/>
  <c r="Q189" i="10" s="1"/>
  <c r="O190" i="10"/>
  <c r="AK186" i="6"/>
  <c r="AT186" i="6" s="1"/>
  <c r="Z189" i="6" l="1"/>
  <c r="AI189" i="6"/>
  <c r="S189" i="10"/>
  <c r="T189" i="10" s="1"/>
  <c r="U189" i="10" s="1"/>
  <c r="W189" i="10" s="1"/>
  <c r="R189" i="10"/>
  <c r="X190" i="6"/>
  <c r="AH190" i="6"/>
  <c r="W191" i="6"/>
  <c r="AF191" i="6"/>
  <c r="AG191" i="6" s="1"/>
  <c r="N193" i="6"/>
  <c r="O193" i="6" s="1"/>
  <c r="P193" i="6"/>
  <c r="S193" i="6" s="1"/>
  <c r="T193" i="6" s="1"/>
  <c r="M194" i="6"/>
  <c r="U192" i="6"/>
  <c r="V192" i="6"/>
  <c r="AS187" i="6"/>
  <c r="AK187" i="6"/>
  <c r="AT187" i="6" s="1"/>
  <c r="N190" i="10"/>
  <c r="P190" i="10"/>
  <c r="Q190" i="10" s="1"/>
  <c r="O191" i="10"/>
  <c r="Z190" i="6" l="1"/>
  <c r="AI190" i="6"/>
  <c r="S190" i="10"/>
  <c r="T190" i="10" s="1"/>
  <c r="U190" i="10" s="1"/>
  <c r="W190" i="10" s="1"/>
  <c r="R190" i="10"/>
  <c r="X191" i="6"/>
  <c r="AH191" i="6"/>
  <c r="W192" i="6"/>
  <c r="AF192" i="6"/>
  <c r="AG192" i="6" s="1"/>
  <c r="N194" i="6"/>
  <c r="O194" i="6" s="1"/>
  <c r="P194" i="6"/>
  <c r="S194" i="6" s="1"/>
  <c r="T194" i="6" s="1"/>
  <c r="M195" i="6"/>
  <c r="U193" i="6"/>
  <c r="V193" i="6"/>
  <c r="AS188" i="6"/>
  <c r="AK188" i="6"/>
  <c r="AT188" i="6" s="1"/>
  <c r="N191" i="10"/>
  <c r="P191" i="10"/>
  <c r="Q191" i="10" s="1"/>
  <c r="O192" i="10"/>
  <c r="Z191" i="6" l="1"/>
  <c r="AI191" i="6"/>
  <c r="S191" i="10"/>
  <c r="T191" i="10" s="1"/>
  <c r="U191" i="10" s="1"/>
  <c r="W191" i="10" s="1"/>
  <c r="R191" i="10"/>
  <c r="X192" i="6"/>
  <c r="AH192" i="6"/>
  <c r="W193" i="6"/>
  <c r="AF193" i="6"/>
  <c r="AG193" i="6" s="1"/>
  <c r="N195" i="6"/>
  <c r="O195" i="6" s="1"/>
  <c r="P195" i="6"/>
  <c r="S195" i="6" s="1"/>
  <c r="T195" i="6" s="1"/>
  <c r="M196" i="6"/>
  <c r="U194" i="6"/>
  <c r="V194" i="6"/>
  <c r="N192" i="10"/>
  <c r="AK189" i="6"/>
  <c r="AT189" i="6" s="1"/>
  <c r="P192" i="10"/>
  <c r="Q192" i="10" s="1"/>
  <c r="O193" i="10"/>
  <c r="Z192" i="6" l="1"/>
  <c r="AI192" i="6"/>
  <c r="S192" i="10"/>
  <c r="T192" i="10" s="1"/>
  <c r="U192" i="10" s="1"/>
  <c r="W192" i="10" s="1"/>
  <c r="R192" i="10"/>
  <c r="X193" i="6"/>
  <c r="AH193" i="6"/>
  <c r="W194" i="6"/>
  <c r="AF194" i="6"/>
  <c r="AG194" i="6" s="1"/>
  <c r="N196" i="6"/>
  <c r="O196" i="6" s="1"/>
  <c r="P196" i="6"/>
  <c r="S196" i="6" s="1"/>
  <c r="T196" i="6" s="1"/>
  <c r="M197" i="6"/>
  <c r="U195" i="6"/>
  <c r="V195" i="6"/>
  <c r="AS190" i="6"/>
  <c r="AS189" i="6"/>
  <c r="AK190" i="6"/>
  <c r="AT190" i="6" s="1"/>
  <c r="N193" i="10"/>
  <c r="O194" i="10"/>
  <c r="P193" i="10"/>
  <c r="Q193" i="10" s="1"/>
  <c r="Z193" i="6" l="1"/>
  <c r="AI193" i="6"/>
  <c r="S193" i="10"/>
  <c r="T193" i="10" s="1"/>
  <c r="U193" i="10" s="1"/>
  <c r="W193" i="10" s="1"/>
  <c r="R193" i="10"/>
  <c r="X194" i="6"/>
  <c r="AH194" i="6"/>
  <c r="W195" i="6"/>
  <c r="AF195" i="6"/>
  <c r="AG195" i="6" s="1"/>
  <c r="N197" i="6"/>
  <c r="O197" i="6" s="1"/>
  <c r="P197" i="6"/>
  <c r="S197" i="6" s="1"/>
  <c r="T197" i="6" s="1"/>
  <c r="M198" i="6"/>
  <c r="U196" i="6"/>
  <c r="V196" i="6"/>
  <c r="AS191" i="6"/>
  <c r="AK191" i="6"/>
  <c r="AT191" i="6" s="1"/>
  <c r="N194" i="10"/>
  <c r="O195" i="10"/>
  <c r="P194" i="10"/>
  <c r="Q194" i="10" s="1"/>
  <c r="Z194" i="6" l="1"/>
  <c r="AI194" i="6"/>
  <c r="S194" i="10"/>
  <c r="T194" i="10" s="1"/>
  <c r="U194" i="10" s="1"/>
  <c r="W194" i="10" s="1"/>
  <c r="R194" i="10"/>
  <c r="X195" i="6"/>
  <c r="AH195" i="6"/>
  <c r="W196" i="6"/>
  <c r="AF196" i="6"/>
  <c r="AG196" i="6" s="1"/>
  <c r="N198" i="6"/>
  <c r="O198" i="6" s="1"/>
  <c r="P198" i="6"/>
  <c r="S198" i="6" s="1"/>
  <c r="T198" i="6" s="1"/>
  <c r="M199" i="6"/>
  <c r="U197" i="6"/>
  <c r="V197" i="6"/>
  <c r="N195" i="10"/>
  <c r="AK192" i="6"/>
  <c r="AT192" i="6" s="1"/>
  <c r="P195" i="10"/>
  <c r="Q195" i="10" s="1"/>
  <c r="O196" i="10"/>
  <c r="Z195" i="6" l="1"/>
  <c r="AI195" i="6"/>
  <c r="S195" i="10"/>
  <c r="T195" i="10" s="1"/>
  <c r="U195" i="10" s="1"/>
  <c r="W195" i="10" s="1"/>
  <c r="R195" i="10"/>
  <c r="X196" i="6"/>
  <c r="AH196" i="6"/>
  <c r="W197" i="6"/>
  <c r="AF197" i="6"/>
  <c r="AG197" i="6" s="1"/>
  <c r="N199" i="6"/>
  <c r="O199" i="6" s="1"/>
  <c r="P199" i="6"/>
  <c r="S199" i="6" s="1"/>
  <c r="T199" i="6" s="1"/>
  <c r="M200" i="6"/>
  <c r="U198" i="6"/>
  <c r="V198" i="6"/>
  <c r="AS192" i="6"/>
  <c r="N196" i="10"/>
  <c r="O197" i="10"/>
  <c r="P196" i="10"/>
  <c r="Q196" i="10" s="1"/>
  <c r="Z196" i="6" l="1"/>
  <c r="AI196" i="6"/>
  <c r="S196" i="10"/>
  <c r="T196" i="10" s="1"/>
  <c r="U196" i="10" s="1"/>
  <c r="W196" i="10" s="1"/>
  <c r="R196" i="10"/>
  <c r="X197" i="6"/>
  <c r="AH197" i="6"/>
  <c r="W198" i="6"/>
  <c r="AF198" i="6"/>
  <c r="AG198" i="6" s="1"/>
  <c r="N200" i="6"/>
  <c r="O200" i="6" s="1"/>
  <c r="P200" i="6"/>
  <c r="S200" i="6" s="1"/>
  <c r="T200" i="6" s="1"/>
  <c r="M201" i="6"/>
  <c r="V199" i="6"/>
  <c r="U199" i="6"/>
  <c r="AS194" i="6"/>
  <c r="AK194" i="6"/>
  <c r="AT194" i="6" s="1"/>
  <c r="N197" i="10"/>
  <c r="AK193" i="6"/>
  <c r="AT193" i="6" s="1"/>
  <c r="O198" i="10"/>
  <c r="P197" i="10"/>
  <c r="Q197" i="10" s="1"/>
  <c r="Z197" i="6" l="1"/>
  <c r="AI197" i="6"/>
  <c r="S197" i="10"/>
  <c r="T197" i="10" s="1"/>
  <c r="U197" i="10" s="1"/>
  <c r="W197" i="10" s="1"/>
  <c r="R197" i="10"/>
  <c r="X198" i="6"/>
  <c r="AH198" i="6"/>
  <c r="W199" i="6"/>
  <c r="AF199" i="6"/>
  <c r="AG199" i="6" s="1"/>
  <c r="N201" i="6"/>
  <c r="O201" i="6" s="1"/>
  <c r="P201" i="6"/>
  <c r="S201" i="6" s="1"/>
  <c r="T201" i="6" s="1"/>
  <c r="M202" i="6"/>
  <c r="U200" i="6"/>
  <c r="V200" i="6"/>
  <c r="AS195" i="6"/>
  <c r="AS193" i="6"/>
  <c r="N198" i="10"/>
  <c r="P198" i="10"/>
  <c r="Q198" i="10" s="1"/>
  <c r="O199" i="10"/>
  <c r="AK195" i="6"/>
  <c r="AT195" i="6" s="1"/>
  <c r="Z198" i="6" l="1"/>
  <c r="AI198" i="6"/>
  <c r="S198" i="10"/>
  <c r="T198" i="10" s="1"/>
  <c r="U198" i="10" s="1"/>
  <c r="W198" i="10" s="1"/>
  <c r="R198" i="10"/>
  <c r="X199" i="6"/>
  <c r="AH199" i="6"/>
  <c r="W200" i="6"/>
  <c r="AF200" i="6"/>
  <c r="AG200" i="6" s="1"/>
  <c r="N202" i="6"/>
  <c r="O202" i="6" s="1"/>
  <c r="P202" i="6"/>
  <c r="S202" i="6" s="1"/>
  <c r="T202" i="6" s="1"/>
  <c r="M203" i="6"/>
  <c r="U201" i="6"/>
  <c r="V201" i="6"/>
  <c r="AS196" i="6"/>
  <c r="N199" i="10"/>
  <c r="P199" i="10"/>
  <c r="Q199" i="10" s="1"/>
  <c r="O200" i="10"/>
  <c r="AK196" i="6"/>
  <c r="AT196" i="6" s="1"/>
  <c r="Z199" i="6" l="1"/>
  <c r="AI199" i="6"/>
  <c r="S199" i="10"/>
  <c r="T199" i="10" s="1"/>
  <c r="U199" i="10" s="1"/>
  <c r="W199" i="10" s="1"/>
  <c r="R199" i="10"/>
  <c r="X200" i="6"/>
  <c r="AH200" i="6"/>
  <c r="W201" i="6"/>
  <c r="AF201" i="6"/>
  <c r="AG201" i="6" s="1"/>
  <c r="N203" i="6"/>
  <c r="O203" i="6" s="1"/>
  <c r="P203" i="6"/>
  <c r="S203" i="6" s="1"/>
  <c r="T203" i="6" s="1"/>
  <c r="M204" i="6"/>
  <c r="U202" i="6"/>
  <c r="V202" i="6"/>
  <c r="AS197" i="6"/>
  <c r="N200" i="10"/>
  <c r="AK197" i="6"/>
  <c r="AT197" i="6" s="1"/>
  <c r="O201" i="10"/>
  <c r="P200" i="10"/>
  <c r="Q200" i="10" s="1"/>
  <c r="Z200" i="6" l="1"/>
  <c r="AI200" i="6"/>
  <c r="S200" i="10"/>
  <c r="T200" i="10" s="1"/>
  <c r="U200" i="10" s="1"/>
  <c r="W200" i="10" s="1"/>
  <c r="R200" i="10"/>
  <c r="X201" i="6"/>
  <c r="AH201" i="6"/>
  <c r="W202" i="6"/>
  <c r="AF202" i="6"/>
  <c r="AG202" i="6" s="1"/>
  <c r="N204" i="6"/>
  <c r="O204" i="6" s="1"/>
  <c r="P204" i="6"/>
  <c r="S204" i="6" s="1"/>
  <c r="T204" i="6" s="1"/>
  <c r="U203" i="6"/>
  <c r="V203" i="6"/>
  <c r="AS198" i="6"/>
  <c r="N201" i="10"/>
  <c r="O202" i="10"/>
  <c r="P201" i="10"/>
  <c r="Q201" i="10" s="1"/>
  <c r="AK198" i="6"/>
  <c r="AT198" i="6" s="1"/>
  <c r="Z201" i="6" l="1"/>
  <c r="AI201" i="6"/>
  <c r="S201" i="10"/>
  <c r="T201" i="10" s="1"/>
  <c r="U201" i="10" s="1"/>
  <c r="W201" i="10" s="1"/>
  <c r="R201" i="10"/>
  <c r="X202" i="6"/>
  <c r="AH202" i="6"/>
  <c r="W203" i="6"/>
  <c r="AF203" i="6"/>
  <c r="AG203" i="6" s="1"/>
  <c r="U204" i="6"/>
  <c r="V204" i="6"/>
  <c r="AS199" i="6"/>
  <c r="N202" i="10"/>
  <c r="AK199" i="6"/>
  <c r="AT199" i="6" s="1"/>
  <c r="O203" i="10"/>
  <c r="P202" i="10"/>
  <c r="Q202" i="10" s="1"/>
  <c r="Z202" i="6" l="1"/>
  <c r="AI202" i="6"/>
  <c r="S202" i="10"/>
  <c r="T202" i="10" s="1"/>
  <c r="U202" i="10" s="1"/>
  <c r="W202" i="10" s="1"/>
  <c r="R202" i="10"/>
  <c r="X203" i="6"/>
  <c r="AH203" i="6"/>
  <c r="W204" i="6"/>
  <c r="AF204" i="6"/>
  <c r="AG204" i="6" s="1"/>
  <c r="AS200" i="6"/>
  <c r="N204" i="10"/>
  <c r="N203" i="10"/>
  <c r="P203" i="10"/>
  <c r="Q203" i="10" s="1"/>
  <c r="O204" i="10"/>
  <c r="AK200" i="6"/>
  <c r="AT200" i="6" s="1"/>
  <c r="Z203" i="6" l="1"/>
  <c r="AI203" i="6"/>
  <c r="S203" i="10"/>
  <c r="T203" i="10" s="1"/>
  <c r="U203" i="10" s="1"/>
  <c r="W203" i="10" s="1"/>
  <c r="R203" i="10"/>
  <c r="X204" i="6"/>
  <c r="AH204" i="6"/>
  <c r="AS201" i="6"/>
  <c r="P204" i="10"/>
  <c r="Q204" i="10" s="1"/>
  <c r="AK201" i="6"/>
  <c r="AT201" i="6" s="1"/>
  <c r="Z204" i="6" l="1"/>
  <c r="AA4" i="6" s="1"/>
  <c r="AI204" i="6"/>
  <c r="S204" i="10"/>
  <c r="T204" i="10" s="1"/>
  <c r="U204" i="10" s="1"/>
  <c r="W204" i="10" s="1"/>
  <c r="R204" i="10"/>
  <c r="AS202" i="6"/>
  <c r="AK202" i="6"/>
  <c r="AT202" i="6" s="1"/>
  <c r="AS203" i="6" l="1"/>
  <c r="AZ5" i="6" s="1"/>
  <c r="AS204" i="6"/>
  <c r="AK204" i="6"/>
  <c r="AK203" i="6"/>
  <c r="AT203" i="6" s="1"/>
  <c r="BA1" i="6" l="1"/>
  <c r="BM5" i="6"/>
  <c r="BA5" i="6"/>
  <c r="AZ6" i="6"/>
  <c r="AZ7" i="6"/>
  <c r="AZ11" i="6"/>
  <c r="AZ9" i="6"/>
  <c r="AZ10" i="6"/>
  <c r="AZ8" i="6"/>
  <c r="AZ12" i="6"/>
  <c r="AZ13" i="6"/>
  <c r="AZ14" i="6"/>
  <c r="AZ15" i="6"/>
  <c r="AZ17" i="6"/>
  <c r="AZ16" i="6"/>
  <c r="AZ19" i="6"/>
  <c r="AZ18" i="6"/>
  <c r="AZ20" i="6"/>
  <c r="AZ21" i="6"/>
  <c r="AZ22" i="6"/>
  <c r="AZ23" i="6"/>
  <c r="AZ24" i="6"/>
  <c r="AZ27" i="6"/>
  <c r="AZ25" i="6"/>
  <c r="AZ26" i="6"/>
  <c r="AZ29" i="6"/>
  <c r="AZ28" i="6"/>
  <c r="AZ30" i="6"/>
  <c r="AZ32" i="6"/>
  <c r="AZ33" i="6"/>
  <c r="AZ31" i="6"/>
  <c r="AZ35" i="6"/>
  <c r="AZ34" i="6"/>
  <c r="AZ36" i="6"/>
  <c r="AZ37" i="6"/>
  <c r="AZ40" i="6"/>
  <c r="AZ38" i="6"/>
  <c r="AZ39" i="6"/>
  <c r="AZ41" i="6"/>
  <c r="AZ42" i="6"/>
  <c r="AZ44" i="6"/>
  <c r="AZ43" i="6"/>
  <c r="AZ45" i="6"/>
  <c r="AZ47" i="6"/>
  <c r="AZ46" i="6"/>
  <c r="AZ48" i="6"/>
  <c r="AZ50" i="6"/>
  <c r="AZ49" i="6"/>
  <c r="AZ55" i="6"/>
  <c r="AZ52" i="6"/>
  <c r="AZ54" i="6"/>
  <c r="AZ51" i="6"/>
  <c r="AZ53" i="6"/>
  <c r="AT204" i="6"/>
  <c r="BM44" i="6" l="1"/>
  <c r="BA44" i="6"/>
  <c r="BM18" i="6"/>
  <c r="BA18" i="6"/>
  <c r="BM35" i="6"/>
  <c r="BA35" i="6"/>
  <c r="BM19" i="6"/>
  <c r="BA19" i="6"/>
  <c r="BM31" i="6"/>
  <c r="BA31" i="6"/>
  <c r="BM9" i="6"/>
  <c r="BA9" i="6"/>
  <c r="BM48" i="6"/>
  <c r="BA48" i="6"/>
  <c r="BM24" i="6"/>
  <c r="BA24" i="6"/>
  <c r="BM11" i="6"/>
  <c r="BA11" i="6"/>
  <c r="BM53" i="6"/>
  <c r="BA53" i="6"/>
  <c r="BM46" i="6"/>
  <c r="BA46" i="6"/>
  <c r="BM38" i="6"/>
  <c r="BA38" i="6"/>
  <c r="BM32" i="6"/>
  <c r="BA32" i="6"/>
  <c r="BM23" i="6"/>
  <c r="BA23" i="6"/>
  <c r="BM15" i="6"/>
  <c r="BA15" i="6"/>
  <c r="BM7" i="6"/>
  <c r="BA7" i="6"/>
  <c r="BM26" i="6"/>
  <c r="BA26" i="6"/>
  <c r="BM49" i="6"/>
  <c r="BA49" i="6"/>
  <c r="BM25" i="6"/>
  <c r="BA25" i="6"/>
  <c r="BM50" i="6"/>
  <c r="BA50" i="6"/>
  <c r="BM27" i="6"/>
  <c r="BA27" i="6"/>
  <c r="BM39" i="6"/>
  <c r="BA39" i="6"/>
  <c r="BM51" i="6"/>
  <c r="BA51" i="6"/>
  <c r="BM30" i="6"/>
  <c r="BA30" i="6"/>
  <c r="BM14" i="6"/>
  <c r="BA14" i="6"/>
  <c r="BM6" i="6"/>
  <c r="BA6" i="6"/>
  <c r="BM16" i="6"/>
  <c r="BA16" i="6"/>
  <c r="BM33" i="6"/>
  <c r="BA33" i="6"/>
  <c r="BM54" i="6"/>
  <c r="BA54" i="6"/>
  <c r="BM13" i="6"/>
  <c r="BA13" i="6"/>
  <c r="BM55" i="6"/>
  <c r="BN55" i="6" s="1"/>
  <c r="BA55" i="6"/>
  <c r="BM34" i="6"/>
  <c r="BA34" i="6"/>
  <c r="BM8" i="6"/>
  <c r="BA8" i="6"/>
  <c r="BM42" i="6"/>
  <c r="BA42" i="6"/>
  <c r="BM10" i="6"/>
  <c r="BA10" i="6"/>
  <c r="BM41" i="6"/>
  <c r="BA41" i="6"/>
  <c r="BM17" i="6"/>
  <c r="BA17" i="6"/>
  <c r="BM47" i="6"/>
  <c r="BA47" i="6"/>
  <c r="BM40" i="6"/>
  <c r="BA40" i="6"/>
  <c r="BM22" i="6"/>
  <c r="BA22" i="6"/>
  <c r="BM45" i="6"/>
  <c r="BA45" i="6"/>
  <c r="BM37" i="6"/>
  <c r="BA37" i="6"/>
  <c r="BM28" i="6"/>
  <c r="BA28" i="6"/>
  <c r="BM21" i="6"/>
  <c r="BA21" i="6"/>
  <c r="BM52" i="6"/>
  <c r="BA52" i="6"/>
  <c r="BM43" i="6"/>
  <c r="BA43" i="6"/>
  <c r="BM36" i="6"/>
  <c r="BA36" i="6"/>
  <c r="BM29" i="6"/>
  <c r="BA29" i="6"/>
  <c r="BM20" i="6"/>
  <c r="BA20" i="6"/>
  <c r="BM12" i="6"/>
  <c r="BA12" i="6"/>
  <c r="AU4" i="6"/>
  <c r="AU7" i="6"/>
  <c r="AU10" i="6"/>
  <c r="AU6" i="6"/>
  <c r="AU9" i="6"/>
  <c r="AU12" i="6"/>
  <c r="AU5" i="6"/>
  <c r="AU11" i="6"/>
  <c r="AU14" i="6"/>
  <c r="AU8" i="6"/>
  <c r="AU17" i="6"/>
  <c r="AU13" i="6"/>
  <c r="AU18" i="6"/>
  <c r="AU16" i="6"/>
  <c r="AU19" i="6"/>
  <c r="AU15" i="6"/>
  <c r="AU22" i="6"/>
  <c r="AU20" i="6"/>
  <c r="AU24" i="6"/>
  <c r="AU21" i="6"/>
  <c r="AU26" i="6"/>
  <c r="AU25" i="6"/>
  <c r="AU29" i="6"/>
  <c r="AU27" i="6"/>
  <c r="AU28" i="6"/>
  <c r="AU23" i="6"/>
  <c r="AU30" i="6"/>
  <c r="AU31" i="6"/>
  <c r="AU32" i="6"/>
  <c r="AU34" i="6"/>
  <c r="AU33" i="6"/>
  <c r="AU36" i="6"/>
  <c r="AU35" i="6"/>
  <c r="AU38" i="6"/>
  <c r="AU40" i="6"/>
  <c r="AU39" i="6"/>
  <c r="AU42" i="6"/>
  <c r="AU43" i="6"/>
  <c r="AU46" i="6"/>
  <c r="AU41" i="6"/>
  <c r="AU37" i="6"/>
  <c r="AU44" i="6"/>
  <c r="AU52" i="6"/>
  <c r="AU48" i="6"/>
  <c r="AU49" i="6"/>
  <c r="AU45" i="6"/>
  <c r="AU50" i="6"/>
  <c r="AU54" i="6"/>
  <c r="AU47" i="6"/>
  <c r="AU55" i="6"/>
  <c r="AU56" i="6"/>
  <c r="AU58" i="6"/>
  <c r="AU51" i="6"/>
  <c r="AU53" i="6"/>
  <c r="AU59" i="6"/>
  <c r="AU60" i="6"/>
  <c r="AU62" i="6"/>
  <c r="AU57" i="6"/>
  <c r="AU66" i="6"/>
  <c r="AU64" i="6"/>
  <c r="AU61" i="6"/>
  <c r="AU68" i="6"/>
  <c r="AU67" i="6"/>
  <c r="AU63" i="6"/>
  <c r="AU65" i="6"/>
  <c r="AU69" i="6"/>
  <c r="AU72" i="6"/>
  <c r="AU70" i="6"/>
  <c r="AU74" i="6"/>
  <c r="AU71" i="6"/>
  <c r="AU73" i="6"/>
  <c r="AU75" i="6"/>
  <c r="AU76" i="6"/>
  <c r="AU78" i="6"/>
  <c r="AU80" i="6"/>
  <c r="AU79" i="6"/>
  <c r="AU81" i="6"/>
  <c r="AU82" i="6"/>
  <c r="AU86" i="6"/>
  <c r="AU84" i="6"/>
  <c r="AU77" i="6"/>
  <c r="AU83" i="6"/>
  <c r="AU85" i="6"/>
  <c r="AU89" i="6"/>
  <c r="AU87" i="6"/>
  <c r="AU88" i="6"/>
  <c r="AU91" i="6"/>
  <c r="AU92" i="6"/>
  <c r="AU94" i="6"/>
  <c r="AU90" i="6"/>
  <c r="AU93" i="6"/>
  <c r="AU97" i="6"/>
  <c r="AU101" i="6"/>
  <c r="AU95" i="6"/>
  <c r="AU96" i="6"/>
  <c r="AU100" i="6"/>
  <c r="AU99" i="6"/>
  <c r="AU98" i="6"/>
  <c r="AU102" i="6"/>
  <c r="AU104" i="6"/>
  <c r="AU103" i="6"/>
  <c r="BB13" i="6" l="1"/>
  <c r="BB31" i="6"/>
  <c r="BB8" i="6"/>
  <c r="BB44" i="6"/>
  <c r="BB11" i="6"/>
  <c r="BB26" i="6"/>
  <c r="BB20" i="6"/>
  <c r="BB14" i="6"/>
  <c r="BB23" i="6"/>
  <c r="BB35" i="6"/>
  <c r="BB17" i="6"/>
  <c r="BB52" i="6"/>
  <c r="BB54" i="6"/>
  <c r="BB42" i="6"/>
  <c r="BB51" i="6"/>
  <c r="BB39" i="6"/>
  <c r="BB25" i="6"/>
  <c r="BB22" i="6"/>
  <c r="BB30" i="6"/>
  <c r="BN52" i="6"/>
  <c r="BN36" i="6"/>
  <c r="BN10" i="6"/>
  <c r="BN40" i="6"/>
  <c r="BN9" i="6"/>
  <c r="BN29" i="6"/>
  <c r="BN18" i="6"/>
  <c r="BN41" i="6"/>
  <c r="BN30" i="6"/>
  <c r="BN44" i="6"/>
  <c r="BN8" i="6"/>
  <c r="BN51" i="6"/>
  <c r="BN43" i="6"/>
  <c r="BB34" i="6"/>
  <c r="BN34" i="6"/>
  <c r="BB37" i="6"/>
  <c r="BB47" i="6"/>
  <c r="BB49" i="6"/>
  <c r="BB53" i="6"/>
  <c r="BB18" i="6"/>
  <c r="BB9" i="6"/>
  <c r="BN39" i="6"/>
  <c r="BN22" i="6"/>
  <c r="BN32" i="6"/>
  <c r="BN7" i="6"/>
  <c r="BN38" i="6"/>
  <c r="BN24" i="6"/>
  <c r="BN19" i="6"/>
  <c r="BB29" i="6"/>
  <c r="BB41" i="6"/>
  <c r="BB16" i="6"/>
  <c r="BB36" i="6"/>
  <c r="BN25" i="6"/>
  <c r="BN14" i="6"/>
  <c r="BN46" i="6"/>
  <c r="BN48" i="6"/>
  <c r="BN35" i="6"/>
  <c r="BB38" i="6"/>
  <c r="BB48" i="6"/>
  <c r="BB43" i="6"/>
  <c r="BB6" i="6"/>
  <c r="BB7" i="6"/>
  <c r="BB40" i="6"/>
  <c r="BB50" i="6"/>
  <c r="BB24" i="6"/>
  <c r="BB10" i="6"/>
  <c r="BB19" i="6"/>
  <c r="BN17" i="6"/>
  <c r="BN11" i="6"/>
  <c r="BN37" i="6"/>
  <c r="BN33" i="6"/>
  <c r="BB21" i="6"/>
  <c r="BB46" i="6"/>
  <c r="BB55" i="6"/>
  <c r="BB15" i="6"/>
  <c r="BB28" i="6"/>
  <c r="BB27" i="6"/>
  <c r="BB33" i="6"/>
  <c r="BB12" i="6"/>
  <c r="BB32" i="6"/>
  <c r="BB45" i="6"/>
  <c r="BN5" i="6"/>
  <c r="BN47" i="6"/>
  <c r="BN13" i="6"/>
  <c r="BN31" i="6"/>
  <c r="BN49" i="6"/>
  <c r="BN28" i="6"/>
  <c r="BN53" i="6"/>
  <c r="BN23" i="6"/>
  <c r="BN50" i="6"/>
  <c r="BN12" i="6"/>
  <c r="BN16" i="6"/>
  <c r="BN15" i="6"/>
  <c r="BN6" i="6"/>
  <c r="BN42" i="6"/>
  <c r="BN20" i="6"/>
  <c r="BN26" i="6"/>
  <c r="BN21" i="6"/>
  <c r="BN27" i="6"/>
  <c r="BN45" i="6"/>
  <c r="BN54" i="6"/>
  <c r="M10" i="1"/>
  <c r="BS83" i="6" l="1"/>
  <c r="BS61" i="6"/>
  <c r="BS12" i="6"/>
  <c r="BS78" i="6"/>
  <c r="BS54" i="6"/>
  <c r="BS99" i="6"/>
  <c r="BS91" i="6"/>
  <c r="BS84" i="6"/>
  <c r="BS79" i="6"/>
  <c r="BS80" i="6"/>
  <c r="BS67" i="6"/>
  <c r="BS60" i="6"/>
  <c r="BS50" i="6"/>
  <c r="BS26" i="6"/>
  <c r="BS19" i="6"/>
  <c r="BS13" i="6"/>
  <c r="BS100" i="6"/>
  <c r="BS92" i="6"/>
  <c r="BS85" i="6"/>
  <c r="BS69" i="6"/>
  <c r="BS75" i="6"/>
  <c r="BS65" i="6"/>
  <c r="BS58" i="6"/>
  <c r="BS51" i="6"/>
  <c r="BS43" i="6"/>
  <c r="BS34" i="6"/>
  <c r="BS27" i="6"/>
  <c r="BS16" i="6"/>
  <c r="BS17" i="6"/>
  <c r="BS11" i="6"/>
  <c r="BS23" i="6"/>
  <c r="BS24" i="6"/>
  <c r="BS98" i="6"/>
  <c r="BS89" i="6"/>
  <c r="BS81" i="6"/>
  <c r="BS73" i="6"/>
  <c r="BS68" i="6"/>
  <c r="BS57" i="6"/>
  <c r="BS52" i="6"/>
  <c r="BS42" i="6"/>
  <c r="BS33" i="6"/>
  <c r="BS25" i="6"/>
  <c r="BS20" i="6"/>
  <c r="BS9" i="6"/>
  <c r="BS36" i="6"/>
  <c r="BS37" i="6"/>
  <c r="BS87" i="6"/>
  <c r="BS82" i="6"/>
  <c r="BS71" i="6"/>
  <c r="BS66" i="6"/>
  <c r="BS56" i="6"/>
  <c r="BS59" i="6"/>
  <c r="BS49" i="6"/>
  <c r="BS41" i="6"/>
  <c r="BS35" i="6"/>
  <c r="BS18" i="6"/>
  <c r="BS8" i="6"/>
  <c r="BS44" i="6"/>
  <c r="BS45" i="6"/>
  <c r="BS97" i="6"/>
  <c r="BS90" i="6"/>
  <c r="BS76" i="6"/>
  <c r="BS63" i="6"/>
  <c r="BS64" i="6"/>
  <c r="BS53" i="6"/>
  <c r="BS48" i="6"/>
  <c r="BS39" i="6"/>
  <c r="BS40" i="6"/>
  <c r="BS31" i="6"/>
  <c r="BS32" i="6"/>
  <c r="BS21" i="6"/>
  <c r="BS10" i="6"/>
  <c r="BS93" i="6"/>
  <c r="BS74" i="6"/>
  <c r="BS47" i="6"/>
  <c r="BS30" i="6"/>
  <c r="BS14" i="6"/>
  <c r="BS6" i="6"/>
  <c r="BS4" i="6"/>
  <c r="BS94" i="6"/>
  <c r="BS70" i="6"/>
  <c r="BS86" i="6"/>
  <c r="BS77" i="6"/>
  <c r="BS95" i="6"/>
  <c r="BS96" i="6"/>
  <c r="BS88" i="6"/>
  <c r="BS72" i="6"/>
  <c r="BS62" i="6"/>
  <c r="BS55" i="6"/>
  <c r="BS46" i="6"/>
  <c r="BS38" i="6"/>
  <c r="BS28" i="6"/>
  <c r="BS29" i="6"/>
  <c r="BS22" i="6"/>
  <c r="BS15" i="6"/>
  <c r="BS5" i="6"/>
  <c r="BS7" i="6"/>
  <c r="M17" i="1"/>
  <c r="BT83" i="6" l="1"/>
  <c r="BT77" i="6"/>
  <c r="BU77" i="6"/>
  <c r="BT74" i="6"/>
  <c r="BU74" i="6"/>
  <c r="BT58" i="6"/>
  <c r="BU58" i="6"/>
  <c r="BT91" i="6"/>
  <c r="BU91" i="6"/>
  <c r="BU73" i="6"/>
  <c r="BT73" i="6"/>
  <c r="BT72" i="6"/>
  <c r="BU72" i="6"/>
  <c r="BT64" i="6"/>
  <c r="BU64" i="6"/>
  <c r="BU82" i="6"/>
  <c r="BT82" i="6"/>
  <c r="BT81" i="6"/>
  <c r="BU81" i="6"/>
  <c r="BT75" i="6"/>
  <c r="BU75" i="6"/>
  <c r="BU88" i="6"/>
  <c r="BT88" i="6"/>
  <c r="BT63" i="6"/>
  <c r="BU63" i="6"/>
  <c r="BU87" i="6"/>
  <c r="BU89" i="6"/>
  <c r="BT89" i="6"/>
  <c r="BT69" i="6"/>
  <c r="BU69" i="6"/>
  <c r="BT60" i="6"/>
  <c r="BU60" i="6"/>
  <c r="BT87" i="6"/>
  <c r="BU86" i="6"/>
  <c r="BT86" i="6"/>
  <c r="BU96" i="6"/>
  <c r="BT96" i="6"/>
  <c r="BT76" i="6"/>
  <c r="BU76" i="6"/>
  <c r="BU98" i="6"/>
  <c r="BT98" i="6"/>
  <c r="BT85" i="6"/>
  <c r="BU85" i="6"/>
  <c r="BT67" i="6"/>
  <c r="BU67" i="6"/>
  <c r="BU54" i="6"/>
  <c r="BT54" i="6"/>
  <c r="BT68" i="6"/>
  <c r="BU68" i="6"/>
  <c r="BU65" i="6"/>
  <c r="BT65" i="6"/>
  <c r="BU90" i="6"/>
  <c r="BT90" i="6"/>
  <c r="BT92" i="6"/>
  <c r="BU92" i="6"/>
  <c r="BT80" i="6"/>
  <c r="BU80" i="6"/>
  <c r="BU61" i="6"/>
  <c r="BT59" i="6"/>
  <c r="BU59" i="6"/>
  <c r="BT100" i="6"/>
  <c r="BU100" i="6"/>
  <c r="BU79" i="6"/>
  <c r="BT79" i="6"/>
  <c r="BT61" i="6"/>
  <c r="BU55" i="6"/>
  <c r="BT55" i="6"/>
  <c r="BU94" i="6"/>
  <c r="BT94" i="6"/>
  <c r="BT66" i="6"/>
  <c r="BU66" i="6"/>
  <c r="BT78" i="6"/>
  <c r="BU62" i="6"/>
  <c r="BT62" i="6"/>
  <c r="BT93" i="6"/>
  <c r="BU93" i="6"/>
  <c r="BT71" i="6"/>
  <c r="BU71" i="6"/>
  <c r="BU99" i="6"/>
  <c r="BT99" i="6"/>
  <c r="BT95" i="6"/>
  <c r="BU95" i="6"/>
  <c r="BU5" i="6"/>
  <c r="BT97" i="6"/>
  <c r="BU97" i="6"/>
  <c r="BU70" i="6"/>
  <c r="BT70" i="6"/>
  <c r="BU83" i="6"/>
  <c r="BU56" i="6"/>
  <c r="BT56" i="6"/>
  <c r="BU78" i="6"/>
  <c r="BU57" i="6"/>
  <c r="BT57" i="6"/>
  <c r="BU84" i="6"/>
  <c r="BT84" i="6"/>
  <c r="BT53" i="6"/>
  <c r="BU53" i="6"/>
  <c r="BT31" i="6"/>
  <c r="BT35" i="6"/>
  <c r="BT43" i="6"/>
  <c r="BU43" i="6"/>
  <c r="BT33" i="6"/>
  <c r="BU33" i="6"/>
  <c r="BU46" i="6"/>
  <c r="BT46" i="6"/>
  <c r="BT40" i="6"/>
  <c r="BU40" i="6"/>
  <c r="BU36" i="6"/>
  <c r="BT36" i="6"/>
  <c r="BT45" i="6"/>
  <c r="BU45" i="6"/>
  <c r="BU50" i="6"/>
  <c r="BT50" i="6"/>
  <c r="BT51" i="6"/>
  <c r="BU51" i="6"/>
  <c r="BU26" i="6"/>
  <c r="BT26" i="6"/>
  <c r="BT48" i="6"/>
  <c r="BU48" i="6"/>
  <c r="BT9" i="6"/>
  <c r="BT44" i="6"/>
  <c r="BU44" i="6"/>
  <c r="BU18" i="6"/>
  <c r="BT18" i="6"/>
  <c r="BT20" i="6"/>
  <c r="BU20" i="6"/>
  <c r="BT11" i="6"/>
  <c r="BT49" i="6"/>
  <c r="BU49" i="6"/>
  <c r="BU39" i="6"/>
  <c r="BT38" i="6"/>
  <c r="BU38" i="6"/>
  <c r="BT37" i="6"/>
  <c r="BU37" i="6"/>
  <c r="BT23" i="6"/>
  <c r="BU23" i="6"/>
  <c r="BU10" i="6"/>
  <c r="BT10" i="6"/>
  <c r="BU28" i="6"/>
  <c r="BT28" i="6"/>
  <c r="BT25" i="6"/>
  <c r="BU25" i="6"/>
  <c r="BT17" i="6"/>
  <c r="BU17" i="6"/>
  <c r="BU32" i="6"/>
  <c r="BT32" i="6"/>
  <c r="BT13" i="6"/>
  <c r="BU13" i="6"/>
  <c r="BT24" i="6"/>
  <c r="BU24" i="6"/>
  <c r="BU19" i="6"/>
  <c r="BT19" i="6"/>
  <c r="BU31" i="6"/>
  <c r="BT30" i="6"/>
  <c r="BU30" i="6"/>
  <c r="BU42" i="6"/>
  <c r="BT42" i="6"/>
  <c r="BU27" i="6"/>
  <c r="BT27" i="6"/>
  <c r="BT14" i="6"/>
  <c r="BU14" i="6"/>
  <c r="BT15" i="6"/>
  <c r="BU15" i="6"/>
  <c r="BT22" i="6"/>
  <c r="BU22" i="6"/>
  <c r="BT39" i="6"/>
  <c r="BT16" i="6"/>
  <c r="BU16" i="6"/>
  <c r="BT29" i="6"/>
  <c r="BU29" i="6"/>
  <c r="BT47" i="6"/>
  <c r="BU47" i="6"/>
  <c r="BT21" i="6"/>
  <c r="BU21" i="6"/>
  <c r="BT41" i="6"/>
  <c r="BU41" i="6"/>
  <c r="BT52" i="6"/>
  <c r="BU52" i="6"/>
  <c r="BU35" i="6"/>
  <c r="BU34" i="6"/>
  <c r="BT34" i="6"/>
  <c r="BT12" i="6"/>
  <c r="BU12" i="6"/>
  <c r="BT5" i="6"/>
  <c r="BU6" i="6"/>
  <c r="BU8" i="6"/>
  <c r="BT8" i="6"/>
  <c r="BU9" i="6"/>
  <c r="BU11" i="6"/>
  <c r="BT7" i="6"/>
  <c r="BU7" i="6"/>
  <c r="BT6" i="6"/>
  <c r="M11" i="1"/>
  <c r="M13" i="1" l="1"/>
  <c r="M14" i="1"/>
  <c r="M9" i="1" l="1"/>
  <c r="M16" i="1" l="1"/>
  <c r="M8" i="1"/>
  <c r="M15" i="1" l="1"/>
  <c r="M12" i="1"/>
  <c r="M6" i="1" l="1"/>
  <c r="M7" i="1" l="1"/>
  <c r="M19" i="1" s="1"/>
  <c r="M20" i="1" s="1"/>
  <c r="X4" i="10" l="1"/>
  <c r="AZ4" i="6"/>
  <c r="BM4" i="6" s="1"/>
  <c r="BN4" i="6" s="1"/>
  <c r="BA4" i="6" l="1"/>
  <c r="BB5" i="6" s="1"/>
</calcChain>
</file>

<file path=xl/sharedStrings.xml><?xml version="1.0" encoding="utf-8"?>
<sst xmlns="http://schemas.openxmlformats.org/spreadsheetml/2006/main" count="260" uniqueCount="207">
  <si>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</si>
  <si>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</si>
  <si>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</si>
  <si>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</si>
  <si>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</si>
  <si>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</si>
  <si>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</si>
  <si>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</si>
  <si>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</si>
  <si>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</si>
  <si>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</si>
  <si>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</si>
  <si>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</si>
  <si>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</si>
  <si>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</si>
  <si>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</si>
  <si>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</si>
  <si>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</si>
  <si>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</si>
  <si>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</si>
  <si>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</si>
  <si>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</si>
  <si>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</si>
  <si>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</si>
  <si>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</si>
  <si>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</si>
  <si>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</si>
  <si>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</si>
  <si>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</si>
  <si>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</si>
  <si>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</si>
  <si>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</si>
  <si>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</si>
  <si>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</si>
  <si>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</si>
  <si>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</si>
  <si>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</si>
  <si>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Clean adj costs (% of investment)</t>
  </si>
  <si>
    <t>Dirty adjustment costs (% of investment)</t>
  </si>
  <si>
    <t>discount factor</t>
  </si>
  <si>
    <t>ratio of renewable over all energy  from IEA (should be 0.16)</t>
  </si>
  <si>
    <t>mean emissions intensity at start</t>
  </si>
  <si>
    <t>ratio clean/dirty adj costs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</si>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</sst>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" fontId="0" fillId="0" borderId="1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9" fontId="0" fillId="0" borderId="0" xfId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ont="1" applyFill="1"/>
    <xf numFmtId="169" fontId="0" fillId="0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0" xfId="0" applyNumberFormat="1" applyFont="1" applyBorder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 applyBorder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" fontId="0" fillId="3" borderId="0" xfId="0" applyNumberFormat="1" applyFill="1" applyBorder="1"/>
    <xf numFmtId="0" fontId="0" fillId="3" borderId="0" xfId="0" applyFill="1" applyBorder="1"/>
    <xf numFmtId="2" fontId="0" fillId="3" borderId="0" xfId="0" applyNumberFormat="1" applyFill="1" applyBorder="1"/>
    <xf numFmtId="169" fontId="0" fillId="0" borderId="0" xfId="0" applyNumberFormat="1" applyFont="1"/>
    <xf numFmtId="2" fontId="0" fillId="0" borderId="0" xfId="0" applyNumberFormat="1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7.xml"/><Relationship Id="rId5" Type="http://schemas.openxmlformats.org/officeDocument/2006/relationships/chartsheet" Target="chartsheets/sheet1.xml"/><Relationship Id="rId15" Type="http://schemas.openxmlformats.org/officeDocument/2006/relationships/sharedStrings" Target="sharedStrings.xml"/><Relationship Id="rId10" Type="http://schemas.openxmlformats.org/officeDocument/2006/relationships/chartsheet" Target="chartsheets/sheet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</c:v>
                </c:pt>
                <c:pt idx="1">
                  <c:v>45.531984300540032</c:v>
                </c:pt>
                <c:pt idx="2">
                  <c:v>41.020361171463271</c:v>
                </c:pt>
                <c:pt idx="3">
                  <c:v>37.873749203489417</c:v>
                </c:pt>
                <c:pt idx="4">
                  <c:v>35.464165401928142</c:v>
                </c:pt>
                <c:pt idx="5">
                  <c:v>33.521427390089677</c:v>
                </c:pt>
                <c:pt idx="6">
                  <c:v>31.78795028903237</c:v>
                </c:pt>
                <c:pt idx="7">
                  <c:v>30.1535499655899</c:v>
                </c:pt>
                <c:pt idx="8">
                  <c:v>28.659748738361557</c:v>
                </c:pt>
                <c:pt idx="9">
                  <c:v>27.286371833435847</c:v>
                </c:pt>
                <c:pt idx="10">
                  <c:v>26.014158683236715</c:v>
                </c:pt>
                <c:pt idx="11">
                  <c:v>24.825145577118633</c:v>
                </c:pt>
                <c:pt idx="12">
                  <c:v>23.702303675335187</c:v>
                </c:pt>
                <c:pt idx="13">
                  <c:v>22.630689647837816</c:v>
                </c:pt>
                <c:pt idx="14">
                  <c:v>21.599134345039779</c:v>
                </c:pt>
                <c:pt idx="15">
                  <c:v>20.599008795317079</c:v>
                </c:pt>
                <c:pt idx="16">
                  <c:v>19.625925881685092</c:v>
                </c:pt>
                <c:pt idx="17">
                  <c:v>18.704548063995855</c:v>
                </c:pt>
                <c:pt idx="18">
                  <c:v>17.829909987550973</c:v>
                </c:pt>
                <c:pt idx="19">
                  <c:v>17.004657190698531</c:v>
                </c:pt>
                <c:pt idx="20">
                  <c:v>16.218610568758201</c:v>
                </c:pt>
                <c:pt idx="21">
                  <c:v>15.480989332505427</c:v>
                </c:pt>
                <c:pt idx="22">
                  <c:v>14.782074680283431</c:v>
                </c:pt>
                <c:pt idx="23">
                  <c:v>14.112360094661158</c:v>
                </c:pt>
                <c:pt idx="24">
                  <c:v>13.47782659162112</c:v>
                </c:pt>
                <c:pt idx="25">
                  <c:v>12.876697626906463</c:v>
                </c:pt>
                <c:pt idx="26">
                  <c:v>12.309632448693355</c:v>
                </c:pt>
                <c:pt idx="27">
                  <c:v>11.770223467560667</c:v>
                </c:pt>
                <c:pt idx="28">
                  <c:v>11.259421825858073</c:v>
                </c:pt>
                <c:pt idx="29">
                  <c:v>10.811819865079872</c:v>
                </c:pt>
                <c:pt idx="30">
                  <c:v>10.388670645150881</c:v>
                </c:pt>
                <c:pt idx="31">
                  <c:v>9.9842412611866056</c:v>
                </c:pt>
                <c:pt idx="32">
                  <c:v>9.6020553721367126</c:v>
                </c:pt>
                <c:pt idx="33">
                  <c:v>9.2345008343236987</c:v>
                </c:pt>
                <c:pt idx="34">
                  <c:v>8.8872734086654877</c:v>
                </c:pt>
                <c:pt idx="35">
                  <c:v>8.558551606700135</c:v>
                </c:pt>
                <c:pt idx="36">
                  <c:v>8.248219025643527</c:v>
                </c:pt>
                <c:pt idx="37">
                  <c:v>7.9577853697519343</c:v>
                </c:pt>
                <c:pt idx="38">
                  <c:v>7.6838785772568681</c:v>
                </c:pt>
                <c:pt idx="39">
                  <c:v>7.4199906568424439</c:v>
                </c:pt>
                <c:pt idx="40">
                  <c:v>7.1712529253563062</c:v>
                </c:pt>
                <c:pt idx="41">
                  <c:v>6.9202246345293519</c:v>
                </c:pt>
                <c:pt idx="42">
                  <c:v>6.683508254889162</c:v>
                </c:pt>
                <c:pt idx="43">
                  <c:v>6.4603993519653633</c:v>
                </c:pt>
                <c:pt idx="44">
                  <c:v>6.2322548195114935</c:v>
                </c:pt>
                <c:pt idx="45">
                  <c:v>6.0170746795038639</c:v>
                </c:pt>
                <c:pt idx="46">
                  <c:v>5.8142198149663917</c:v>
                </c:pt>
                <c:pt idx="47">
                  <c:v>5.5919586021051684</c:v>
                </c:pt>
                <c:pt idx="48">
                  <c:v>5.3819898191338948</c:v>
                </c:pt>
                <c:pt idx="49">
                  <c:v>5.1837020268876692</c:v>
                </c:pt>
                <c:pt idx="50">
                  <c:v>4.9605821318088292</c:v>
                </c:pt>
                <c:pt idx="51">
                  <c:v>4.7250613730360786</c:v>
                </c:pt>
                <c:pt idx="52">
                  <c:v>4.5017542080554325</c:v>
                </c:pt>
                <c:pt idx="53">
                  <c:v>4.290041583921794</c:v>
                </c:pt>
                <c:pt idx="54">
                  <c:v>4.0743826939011711</c:v>
                </c:pt>
                <c:pt idx="55">
                  <c:v>3.8697420450974658</c:v>
                </c:pt>
                <c:pt idx="56">
                  <c:v>3.6755590022243947</c:v>
                </c:pt>
                <c:pt idx="57">
                  <c:v>3.4913014861807246</c:v>
                </c:pt>
                <c:pt idx="58">
                  <c:v>3.3192103278843255</c:v>
                </c:pt>
                <c:pt idx="59">
                  <c:v>3.1559558734172524</c:v>
                </c:pt>
                <c:pt idx="60">
                  <c:v>3.0010890683040321</c:v>
                </c:pt>
                <c:pt idx="61">
                  <c:v>2.853229138270359</c:v>
                </c:pt>
                <c:pt idx="62">
                  <c:v>2.7113684017609474</c:v>
                </c:pt>
                <c:pt idx="63">
                  <c:v>2.5767758681035628</c:v>
                </c:pt>
                <c:pt idx="64">
                  <c:v>2.4490819777788109</c:v>
                </c:pt>
                <c:pt idx="65">
                  <c:v>2.3279359986973849</c:v>
                </c:pt>
                <c:pt idx="66">
                  <c:v>2.2130050675658057</c:v>
                </c:pt>
                <c:pt idx="67">
                  <c:v>2.1029086347954391</c:v>
                </c:pt>
                <c:pt idx="68">
                  <c:v>1.998452083593468</c:v>
                </c:pt>
                <c:pt idx="69">
                  <c:v>1.8993486365899737</c:v>
                </c:pt>
                <c:pt idx="70">
                  <c:v>1.8053261262833611</c:v>
                </c:pt>
                <c:pt idx="71">
                  <c:v>1.7160924230408898</c:v>
                </c:pt>
                <c:pt idx="72">
                  <c:v>1.6315195755173697</c:v>
                </c:pt>
                <c:pt idx="73">
                  <c:v>1.5512896617825251</c:v>
                </c:pt>
                <c:pt idx="74">
                  <c:v>1.4751819894685434</c:v>
                </c:pt>
                <c:pt idx="75">
                  <c:v>1.4029871114240688</c:v>
                </c:pt>
                <c:pt idx="76">
                  <c:v>1.3345062531860683</c:v>
                </c:pt>
                <c:pt idx="77">
                  <c:v>1.2695507696119019</c:v>
                </c:pt>
                <c:pt idx="78">
                  <c:v>1.2079416291868079</c:v>
                </c:pt>
                <c:pt idx="79">
                  <c:v>1.1495089245976193</c:v>
                </c:pt>
                <c:pt idx="80">
                  <c:v>1.0940914082352808</c:v>
                </c:pt>
                <c:pt idx="81">
                  <c:v>1.0403854073975582</c:v>
                </c:pt>
                <c:pt idx="82">
                  <c:v>0.9878362865806678</c:v>
                </c:pt>
                <c:pt idx="83">
                  <c:v>0.93796872249435903</c:v>
                </c:pt>
                <c:pt idx="84">
                  <c:v>0.89064622925018255</c:v>
                </c:pt>
                <c:pt idx="85">
                  <c:v>0.84573927235230684</c:v>
                </c:pt>
                <c:pt idx="86">
                  <c:v>0.80312491471540315</c:v>
                </c:pt>
                <c:pt idx="87">
                  <c:v>0.762686480709172</c:v>
                </c:pt>
                <c:pt idx="88">
                  <c:v>0.72431323731153063</c:v>
                </c:pt>
                <c:pt idx="89">
                  <c:v>0.68790009149922782</c:v>
                </c:pt>
                <c:pt idx="90">
                  <c:v>0.65334730304901956</c:v>
                </c:pt>
                <c:pt idx="91">
                  <c:v>0.62014358482729826</c:v>
                </c:pt>
                <c:pt idx="92">
                  <c:v>0.58827334816040189</c:v>
                </c:pt>
                <c:pt idx="93">
                  <c:v>0.55802387979012169</c:v>
                </c:pt>
                <c:pt idx="94">
                  <c:v>0.52931272259174389</c:v>
                </c:pt>
                <c:pt idx="95">
                  <c:v>0.50206162634265183</c:v>
                </c:pt>
                <c:pt idx="96">
                  <c:v>0.47619633387491911</c:v>
                </c:pt>
                <c:pt idx="97">
                  <c:v>0.45164637811190578</c:v>
                </c:pt>
                <c:pt idx="98">
                  <c:v>0.42834488942967947</c:v>
                </c:pt>
                <c:pt idx="99">
                  <c:v>0.40622841281176358</c:v>
                </c:pt>
                <c:pt idx="100">
                  <c:v>0.38523673429191119</c:v>
                </c:pt>
              </c:numCache>
            </c:numRef>
          </c:xVal>
          <c:yVal>
            <c:numRef>
              <c:f>'6states'!$AU$4:$AU$104</c:f>
              <c:numCache>
                <c:formatCode>0.00</c:formatCode>
                <c:ptCount val="101"/>
                <c:pt idx="0">
                  <c:v>167.21872995078172</c:v>
                </c:pt>
                <c:pt idx="1">
                  <c:v>171.27933130892123</c:v>
                </c:pt>
                <c:pt idx="2">
                  <c:v>175.41427929518892</c:v>
                </c:pt>
                <c:pt idx="3">
                  <c:v>179.62839935336271</c:v>
                </c:pt>
                <c:pt idx="4">
                  <c:v>183.92551741671411</c:v>
                </c:pt>
                <c:pt idx="5">
                  <c:v>188.30877200054604</c:v>
                </c:pt>
                <c:pt idx="6">
                  <c:v>192.78081345169835</c:v>
                </c:pt>
                <c:pt idx="7">
                  <c:v>197.34441460578341</c:v>
                </c:pt>
                <c:pt idx="8">
                  <c:v>202.00247727791626</c:v>
                </c:pt>
                <c:pt idx="9">
                  <c:v>206.75751558092389</c:v>
                </c:pt>
                <c:pt idx="10">
                  <c:v>211.61191492476459</c:v>
                </c:pt>
                <c:pt idx="11">
                  <c:v>216.56801281558776</c:v>
                </c:pt>
                <c:pt idx="12">
                  <c:v>221.62813708200849</c:v>
                </c:pt>
                <c:pt idx="13">
                  <c:v>226.79463501245186</c:v>
                </c:pt>
                <c:pt idx="14">
                  <c:v>232.06988925352744</c:v>
                </c:pt>
                <c:pt idx="15">
                  <c:v>237.45631685889299</c:v>
                </c:pt>
                <c:pt idx="16">
                  <c:v>242.95637871917864</c:v>
                </c:pt>
                <c:pt idx="17">
                  <c:v>248.57259636401866</c:v>
                </c:pt>
                <c:pt idx="18">
                  <c:v>254.30747989916665</c:v>
                </c:pt>
                <c:pt idx="19">
                  <c:v>260.1636095081783</c:v>
                </c:pt>
                <c:pt idx="20">
                  <c:v>266.14349145780255</c:v>
                </c:pt>
                <c:pt idx="21">
                  <c:v>272.24971861895187</c:v>
                </c:pt>
                <c:pt idx="22">
                  <c:v>278.48481795030682</c:v>
                </c:pt>
                <c:pt idx="23">
                  <c:v>284.85166738618631</c:v>
                </c:pt>
                <c:pt idx="24">
                  <c:v>291.35300424813704</c:v>
                </c:pt>
                <c:pt idx="25">
                  <c:v>297.99177288435106</c:v>
                </c:pt>
                <c:pt idx="26">
                  <c:v>304.77073054023015</c:v>
                </c:pt>
                <c:pt idx="27">
                  <c:v>311.69277745352247</c:v>
                </c:pt>
                <c:pt idx="28">
                  <c:v>318.76089246637582</c:v>
                </c:pt>
                <c:pt idx="29">
                  <c:v>325.97815352556785</c:v>
                </c:pt>
                <c:pt idx="30">
                  <c:v>333.34703759958302</c:v>
                </c:pt>
                <c:pt idx="31">
                  <c:v>340.87062775363898</c:v>
                </c:pt>
                <c:pt idx="32">
                  <c:v>348.55197074650641</c:v>
                </c:pt>
                <c:pt idx="33">
                  <c:v>356.39423396578877</c:v>
                </c:pt>
                <c:pt idx="34">
                  <c:v>364.40040969650266</c:v>
                </c:pt>
                <c:pt idx="35">
                  <c:v>372.57375218192436</c:v>
                </c:pt>
                <c:pt idx="36">
                  <c:v>380.91724427232259</c:v>
                </c:pt>
                <c:pt idx="37">
                  <c:v>389.43421863563549</c:v>
                </c:pt>
                <c:pt idx="38">
                  <c:v>398.1277462746076</c:v>
                </c:pt>
                <c:pt idx="39">
                  <c:v>407.00123492192557</c:v>
                </c:pt>
                <c:pt idx="40">
                  <c:v>416.05793819506499</c:v>
                </c:pt>
                <c:pt idx="41">
                  <c:v>425.30135694516309</c:v>
                </c:pt>
                <c:pt idx="42">
                  <c:v>434.73524617612577</c:v>
                </c:pt>
                <c:pt idx="43">
                  <c:v>444.36323350226343</c:v>
                </c:pt>
                <c:pt idx="44">
                  <c:v>454.18899372125935</c:v>
                </c:pt>
                <c:pt idx="45">
                  <c:v>464.21630379886511</c:v>
                </c:pt>
                <c:pt idx="46">
                  <c:v>474.44896920620533</c:v>
                </c:pt>
                <c:pt idx="47">
                  <c:v>484.89084477952377</c:v>
                </c:pt>
                <c:pt idx="48">
                  <c:v>495.54639043256822</c:v>
                </c:pt>
                <c:pt idx="49">
                  <c:v>506.41963798251726</c:v>
                </c:pt>
                <c:pt idx="50">
                  <c:v>517.51467290987034</c:v>
                </c:pt>
                <c:pt idx="51">
                  <c:v>528.8362303004244</c:v>
                </c:pt>
                <c:pt idx="52">
                  <c:v>540.38889236743671</c:v>
                </c:pt>
                <c:pt idx="53">
                  <c:v>552.17707185353004</c:v>
                </c:pt>
                <c:pt idx="54">
                  <c:v>564.20524446293848</c:v>
                </c:pt>
                <c:pt idx="55">
                  <c:v>576.47799507447621</c:v>
                </c:pt>
                <c:pt idx="56">
                  <c:v>588.99996576274884</c:v>
                </c:pt>
                <c:pt idx="57">
                  <c:v>601.7758648218196</c:v>
                </c:pt>
                <c:pt idx="58">
                  <c:v>614.81046723446786</c:v>
                </c:pt>
                <c:pt idx="59">
                  <c:v>628.10782419226791</c:v>
                </c:pt>
                <c:pt idx="60">
                  <c:v>641.67281793014843</c:v>
                </c:pt>
                <c:pt idx="61">
                  <c:v>655.51039648654853</c:v>
                </c:pt>
                <c:pt idx="62">
                  <c:v>669.62572541599434</c:v>
                </c:pt>
                <c:pt idx="63">
                  <c:v>684.024099939542</c:v>
                </c:pt>
                <c:pt idx="64">
                  <c:v>698.71068283508828</c:v>
                </c:pt>
                <c:pt idx="65">
                  <c:v>713.69070384140832</c:v>
                </c:pt>
                <c:pt idx="66">
                  <c:v>728.96945956471438</c:v>
                </c:pt>
                <c:pt idx="67">
                  <c:v>744.55231330398772</c:v>
                </c:pt>
                <c:pt idx="68">
                  <c:v>760.4447812704052</c:v>
                </c:pt>
                <c:pt idx="69">
                  <c:v>776.65236459985272</c:v>
                </c:pt>
                <c:pt idx="70">
                  <c:v>793.18063035511989</c:v>
                </c:pt>
                <c:pt idx="71">
                  <c:v>810.03521102118839</c:v>
                </c:pt>
                <c:pt idx="72">
                  <c:v>827.22158419400284</c:v>
                </c:pt>
                <c:pt idx="73">
                  <c:v>844.74514501966826</c:v>
                </c:pt>
                <c:pt idx="74">
                  <c:v>862.61170346432687</c:v>
                </c:pt>
                <c:pt idx="75">
                  <c:v>880.82713073769901</c:v>
                </c:pt>
                <c:pt idx="76">
                  <c:v>899.39735823424871</c:v>
                </c:pt>
                <c:pt idx="77">
                  <c:v>918.32837635077328</c:v>
                </c:pt>
                <c:pt idx="78">
                  <c:v>937.62623317505813</c:v>
                </c:pt>
                <c:pt idx="79">
                  <c:v>957.29703303993881</c:v>
                </c:pt>
                <c:pt idx="80">
                  <c:v>977.3469349368138</c:v>
                </c:pt>
                <c:pt idx="81">
                  <c:v>997.7821507823287</c:v>
                </c:pt>
                <c:pt idx="82">
                  <c:v>1018.6081058843343</c:v>
                </c:pt>
                <c:pt idx="83">
                  <c:v>1039.8307449475733</c:v>
                </c:pt>
                <c:pt idx="84">
                  <c:v>1061.4564091611217</c:v>
                </c:pt>
                <c:pt idx="85">
                  <c:v>1083.4914824324178</c:v>
                </c:pt>
                <c:pt idx="86">
                  <c:v>1105.9423888462018</c:v>
                </c:pt>
                <c:pt idx="87">
                  <c:v>1128.8155899274363</c:v>
                </c:pt>
                <c:pt idx="88">
                  <c:v>1152.1175816998955</c:v>
                </c:pt>
                <c:pt idx="89">
                  <c:v>1175.854891531691</c:v>
                </c:pt>
                <c:pt idx="90">
                  <c:v>1200.0340747585785</c:v>
                </c:pt>
                <c:pt idx="91">
                  <c:v>1224.6617110754296</c:v>
                </c:pt>
                <c:pt idx="92">
                  <c:v>1249.7443120680214</c:v>
                </c:pt>
                <c:pt idx="93">
                  <c:v>1275.2878029959409</c:v>
                </c:pt>
                <c:pt idx="94">
                  <c:v>1301.2987995530268</c:v>
                </c:pt>
                <c:pt idx="95">
                  <c:v>1327.7839232984459</c:v>
                </c:pt>
                <c:pt idx="96">
                  <c:v>1354.7497967547349</c:v>
                </c:pt>
                <c:pt idx="97">
                  <c:v>1382.203038200093</c:v>
                </c:pt>
                <c:pt idx="98">
                  <c:v>1410.1502561422619</c:v>
                </c:pt>
                <c:pt idx="99">
                  <c:v>1438.5980434606977</c:v>
                </c:pt>
                <c:pt idx="100">
                  <c:v>1467.5529712031284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</c:v>
                </c:pt>
                <c:pt idx="1">
                  <c:v>45.531984300540032</c:v>
                </c:pt>
                <c:pt idx="2">
                  <c:v>41.020361171463271</c:v>
                </c:pt>
                <c:pt idx="3">
                  <c:v>37.873749203489417</c:v>
                </c:pt>
                <c:pt idx="4">
                  <c:v>35.464165401928142</c:v>
                </c:pt>
                <c:pt idx="5">
                  <c:v>33.521427390089677</c:v>
                </c:pt>
                <c:pt idx="6">
                  <c:v>31.78795028903237</c:v>
                </c:pt>
                <c:pt idx="7">
                  <c:v>30.1535499655899</c:v>
                </c:pt>
                <c:pt idx="8">
                  <c:v>28.659748738361557</c:v>
                </c:pt>
                <c:pt idx="9">
                  <c:v>27.286371833435847</c:v>
                </c:pt>
                <c:pt idx="10">
                  <c:v>26.014158683236715</c:v>
                </c:pt>
                <c:pt idx="11">
                  <c:v>24.825145577118633</c:v>
                </c:pt>
                <c:pt idx="12">
                  <c:v>23.702303675335187</c:v>
                </c:pt>
                <c:pt idx="13">
                  <c:v>22.630689647837816</c:v>
                </c:pt>
                <c:pt idx="14">
                  <c:v>21.599134345039779</c:v>
                </c:pt>
                <c:pt idx="15">
                  <c:v>20.599008795317079</c:v>
                </c:pt>
                <c:pt idx="16">
                  <c:v>19.625925881685092</c:v>
                </c:pt>
                <c:pt idx="17">
                  <c:v>18.704548063995855</c:v>
                </c:pt>
                <c:pt idx="18">
                  <c:v>17.829909987550973</c:v>
                </c:pt>
                <c:pt idx="19">
                  <c:v>17.004657190698531</c:v>
                </c:pt>
                <c:pt idx="20">
                  <c:v>16.218610568758201</c:v>
                </c:pt>
                <c:pt idx="21">
                  <c:v>15.480989332505427</c:v>
                </c:pt>
                <c:pt idx="22">
                  <c:v>14.782074680283431</c:v>
                </c:pt>
                <c:pt idx="23">
                  <c:v>14.112360094661158</c:v>
                </c:pt>
                <c:pt idx="24">
                  <c:v>13.47782659162112</c:v>
                </c:pt>
                <c:pt idx="25">
                  <c:v>12.876697626906463</c:v>
                </c:pt>
                <c:pt idx="26">
                  <c:v>12.309632448693355</c:v>
                </c:pt>
                <c:pt idx="27">
                  <c:v>11.770223467560667</c:v>
                </c:pt>
                <c:pt idx="28">
                  <c:v>11.259421825858073</c:v>
                </c:pt>
                <c:pt idx="29">
                  <c:v>10.811819865079872</c:v>
                </c:pt>
                <c:pt idx="30">
                  <c:v>10.388670645150881</c:v>
                </c:pt>
                <c:pt idx="31">
                  <c:v>9.9842412611866056</c:v>
                </c:pt>
                <c:pt idx="32">
                  <c:v>9.6020553721367126</c:v>
                </c:pt>
                <c:pt idx="33">
                  <c:v>9.2345008343236987</c:v>
                </c:pt>
                <c:pt idx="34">
                  <c:v>8.8872734086654877</c:v>
                </c:pt>
                <c:pt idx="35">
                  <c:v>8.558551606700135</c:v>
                </c:pt>
                <c:pt idx="36">
                  <c:v>8.248219025643527</c:v>
                </c:pt>
                <c:pt idx="37">
                  <c:v>7.9577853697519343</c:v>
                </c:pt>
                <c:pt idx="38">
                  <c:v>7.6838785772568681</c:v>
                </c:pt>
                <c:pt idx="39">
                  <c:v>7.4199906568424439</c:v>
                </c:pt>
                <c:pt idx="40">
                  <c:v>7.1712529253563062</c:v>
                </c:pt>
                <c:pt idx="41">
                  <c:v>6.9202246345293519</c:v>
                </c:pt>
                <c:pt idx="42">
                  <c:v>6.683508254889162</c:v>
                </c:pt>
                <c:pt idx="43">
                  <c:v>6.4603993519653633</c:v>
                </c:pt>
                <c:pt idx="44">
                  <c:v>6.2322548195114935</c:v>
                </c:pt>
                <c:pt idx="45">
                  <c:v>6.0170746795038639</c:v>
                </c:pt>
                <c:pt idx="46">
                  <c:v>5.8142198149663917</c:v>
                </c:pt>
                <c:pt idx="47">
                  <c:v>5.5919586021051684</c:v>
                </c:pt>
                <c:pt idx="48">
                  <c:v>5.3819898191338948</c:v>
                </c:pt>
                <c:pt idx="49">
                  <c:v>5.1837020268876692</c:v>
                </c:pt>
                <c:pt idx="50">
                  <c:v>4.9605821318088292</c:v>
                </c:pt>
                <c:pt idx="51">
                  <c:v>4.7250613730360786</c:v>
                </c:pt>
                <c:pt idx="52">
                  <c:v>4.5017542080554325</c:v>
                </c:pt>
                <c:pt idx="53">
                  <c:v>4.290041583921794</c:v>
                </c:pt>
                <c:pt idx="54">
                  <c:v>4.0743826939011711</c:v>
                </c:pt>
                <c:pt idx="55">
                  <c:v>3.8697420450974658</c:v>
                </c:pt>
                <c:pt idx="56">
                  <c:v>3.6755590022243947</c:v>
                </c:pt>
                <c:pt idx="57">
                  <c:v>3.4913014861807246</c:v>
                </c:pt>
                <c:pt idx="58">
                  <c:v>3.3192103278843255</c:v>
                </c:pt>
                <c:pt idx="59">
                  <c:v>3.1559558734172524</c:v>
                </c:pt>
                <c:pt idx="60">
                  <c:v>3.0010890683040321</c:v>
                </c:pt>
                <c:pt idx="61">
                  <c:v>2.853229138270359</c:v>
                </c:pt>
                <c:pt idx="62">
                  <c:v>2.7113684017609474</c:v>
                </c:pt>
                <c:pt idx="63">
                  <c:v>2.5767758681035628</c:v>
                </c:pt>
                <c:pt idx="64">
                  <c:v>2.4490819777788109</c:v>
                </c:pt>
                <c:pt idx="65">
                  <c:v>2.3279359986973849</c:v>
                </c:pt>
                <c:pt idx="66">
                  <c:v>2.2130050675658057</c:v>
                </c:pt>
                <c:pt idx="67">
                  <c:v>2.1029086347954391</c:v>
                </c:pt>
                <c:pt idx="68">
                  <c:v>1.998452083593468</c:v>
                </c:pt>
                <c:pt idx="69">
                  <c:v>1.8993486365899737</c:v>
                </c:pt>
                <c:pt idx="70">
                  <c:v>1.8053261262833611</c:v>
                </c:pt>
                <c:pt idx="71">
                  <c:v>1.7160924230408898</c:v>
                </c:pt>
                <c:pt idx="72">
                  <c:v>1.6315195755173697</c:v>
                </c:pt>
                <c:pt idx="73">
                  <c:v>1.5512896617825251</c:v>
                </c:pt>
                <c:pt idx="74">
                  <c:v>1.4751819894685434</c:v>
                </c:pt>
                <c:pt idx="75">
                  <c:v>1.4029871114240688</c:v>
                </c:pt>
                <c:pt idx="76">
                  <c:v>1.3345062531860683</c:v>
                </c:pt>
                <c:pt idx="77">
                  <c:v>1.2695507696119019</c:v>
                </c:pt>
                <c:pt idx="78">
                  <c:v>1.2079416291868079</c:v>
                </c:pt>
                <c:pt idx="79">
                  <c:v>1.1495089245976193</c:v>
                </c:pt>
                <c:pt idx="80">
                  <c:v>1.0940914082352808</c:v>
                </c:pt>
                <c:pt idx="81">
                  <c:v>1.0403854073975582</c:v>
                </c:pt>
                <c:pt idx="82">
                  <c:v>0.9878362865806678</c:v>
                </c:pt>
                <c:pt idx="83">
                  <c:v>0.93796872249435903</c:v>
                </c:pt>
                <c:pt idx="84">
                  <c:v>0.89064622925018255</c:v>
                </c:pt>
                <c:pt idx="85">
                  <c:v>0.84573927235230684</c:v>
                </c:pt>
                <c:pt idx="86">
                  <c:v>0.80312491471540315</c:v>
                </c:pt>
                <c:pt idx="87">
                  <c:v>0.762686480709172</c:v>
                </c:pt>
                <c:pt idx="88">
                  <c:v>0.72431323731153063</c:v>
                </c:pt>
                <c:pt idx="89">
                  <c:v>0.68790009149922782</c:v>
                </c:pt>
                <c:pt idx="90">
                  <c:v>0.65334730304901956</c:v>
                </c:pt>
                <c:pt idx="91">
                  <c:v>0.62014358482729826</c:v>
                </c:pt>
                <c:pt idx="92">
                  <c:v>0.58827334816040189</c:v>
                </c:pt>
                <c:pt idx="93">
                  <c:v>0.55802387979012169</c:v>
                </c:pt>
                <c:pt idx="94">
                  <c:v>0.52931272259174389</c:v>
                </c:pt>
                <c:pt idx="95">
                  <c:v>0.50206162634265183</c:v>
                </c:pt>
                <c:pt idx="96">
                  <c:v>0.47619633387491911</c:v>
                </c:pt>
                <c:pt idx="97">
                  <c:v>0.45164637811190578</c:v>
                </c:pt>
                <c:pt idx="98">
                  <c:v>0.42834488942967947</c:v>
                </c:pt>
                <c:pt idx="99">
                  <c:v>0.40622841281176358</c:v>
                </c:pt>
                <c:pt idx="100">
                  <c:v>0.38523673429191119</c:v>
                </c:pt>
              </c:numCache>
            </c:numRef>
          </c:xVal>
          <c:yVal>
            <c:numRef>
              <c:f>'6states'!$AR$4:$AR$104</c:f>
              <c:numCache>
                <c:formatCode>0.0%</c:formatCode>
                <c:ptCount val="101"/>
                <c:pt idx="0">
                  <c:v>0</c:v>
                </c:pt>
                <c:pt idx="1">
                  <c:v>5.3538935073860205E-3</c:v>
                </c:pt>
                <c:pt idx="2">
                  <c:v>1.0784476684223998E-2</c:v>
                </c:pt>
                <c:pt idx="3">
                  <c:v>1.6205550531297686E-2</c:v>
                </c:pt>
                <c:pt idx="4">
                  <c:v>2.1487460693383365E-2</c:v>
                </c:pt>
                <c:pt idx="5">
                  <c:v>2.6528686581173244E-2</c:v>
                </c:pt>
                <c:pt idx="6">
                  <c:v>3.1417699693887968E-2</c:v>
                </c:pt>
                <c:pt idx="7">
                  <c:v>3.6195007403765356E-2</c:v>
                </c:pt>
                <c:pt idx="8">
                  <c:v>4.0712076739884862E-2</c:v>
                </c:pt>
                <c:pt idx="9">
                  <c:v>4.4985611898992639E-2</c:v>
                </c:pt>
                <c:pt idx="10">
                  <c:v>4.8977516778298869E-2</c:v>
                </c:pt>
                <c:pt idx="11">
                  <c:v>5.2700204385346283E-2</c:v>
                </c:pt>
                <c:pt idx="12">
                  <c:v>5.6171104261680149E-2</c:v>
                </c:pt>
                <c:pt idx="13">
                  <c:v>5.9407485274189709E-2</c:v>
                </c:pt>
                <c:pt idx="14">
                  <c:v>6.2421704405052569E-2</c:v>
                </c:pt>
                <c:pt idx="15">
                  <c:v>6.5218512380987193E-2</c:v>
                </c:pt>
                <c:pt idx="16">
                  <c:v>6.7830544258680514E-2</c:v>
                </c:pt>
                <c:pt idx="17">
                  <c:v>7.0235145831926582E-2</c:v>
                </c:pt>
                <c:pt idx="18">
                  <c:v>7.2476327993020173E-2</c:v>
                </c:pt>
                <c:pt idx="19">
                  <c:v>7.451627144661177E-2</c:v>
                </c:pt>
                <c:pt idx="20">
                  <c:v>7.6399459143636217E-2</c:v>
                </c:pt>
                <c:pt idx="21">
                  <c:v>7.8084845578766493E-2</c:v>
                </c:pt>
                <c:pt idx="22">
                  <c:v>7.9693105056500402E-2</c:v>
                </c:pt>
                <c:pt idx="23">
                  <c:v>8.1179285732414841E-2</c:v>
                </c:pt>
                <c:pt idx="24">
                  <c:v>8.259154794602408E-2</c:v>
                </c:pt>
                <c:pt idx="25">
                  <c:v>8.3878292492545525E-2</c:v>
                </c:pt>
                <c:pt idx="26">
                  <c:v>8.5040394482601589E-2</c:v>
                </c:pt>
                <c:pt idx="27">
                  <c:v>8.6124247272346133E-2</c:v>
                </c:pt>
                <c:pt idx="28">
                  <c:v>8.7146093642970435E-2</c:v>
                </c:pt>
                <c:pt idx="29">
                  <c:v>8.7981239683010304E-2</c:v>
                </c:pt>
                <c:pt idx="30">
                  <c:v>8.8763545422795409E-2</c:v>
                </c:pt>
                <c:pt idx="31">
                  <c:v>8.9442976670906504E-2</c:v>
                </c:pt>
                <c:pt idx="32">
                  <c:v>9.007651290617591E-2</c:v>
                </c:pt>
                <c:pt idx="33">
                  <c:v>9.0622447896264058E-2</c:v>
                </c:pt>
                <c:pt idx="34">
                  <c:v>9.1128546439052216E-2</c:v>
                </c:pt>
                <c:pt idx="35">
                  <c:v>9.1538789343285742E-2</c:v>
                </c:pt>
                <c:pt idx="36">
                  <c:v>9.191584519599072E-2</c:v>
                </c:pt>
                <c:pt idx="37">
                  <c:v>9.220883337016883E-2</c:v>
                </c:pt>
                <c:pt idx="38">
                  <c:v>9.2474717821791508E-2</c:v>
                </c:pt>
                <c:pt idx="39">
                  <c:v>9.2680563536261418E-2</c:v>
                </c:pt>
                <c:pt idx="40">
                  <c:v>9.2864184808408634E-2</c:v>
                </c:pt>
                <c:pt idx="41">
                  <c:v>9.3022262293551705E-2</c:v>
                </c:pt>
                <c:pt idx="42">
                  <c:v>9.316119923513777E-2</c:v>
                </c:pt>
                <c:pt idx="43">
                  <c:v>9.32821806910481E-2</c:v>
                </c:pt>
                <c:pt idx="44">
                  <c:v>9.3389459492426941E-2</c:v>
                </c:pt>
                <c:pt idx="45">
                  <c:v>9.3480826679806062E-2</c:v>
                </c:pt>
                <c:pt idx="46">
                  <c:v>9.3557346242613026E-2</c:v>
                </c:pt>
                <c:pt idx="47">
                  <c:v>9.3687115667505982E-2</c:v>
                </c:pt>
                <c:pt idx="48">
                  <c:v>9.3800073033118991E-2</c:v>
                </c:pt>
                <c:pt idx="49">
                  <c:v>9.3897318208917668E-2</c:v>
                </c:pt>
                <c:pt idx="50">
                  <c:v>9.4045511959641837E-2</c:v>
                </c:pt>
                <c:pt idx="51">
                  <c:v>9.4183413736386834E-2</c:v>
                </c:pt>
                <c:pt idx="52">
                  <c:v>9.4304980614218437E-2</c:v>
                </c:pt>
                <c:pt idx="53">
                  <c:v>9.4411198002524843E-2</c:v>
                </c:pt>
                <c:pt idx="54">
                  <c:v>9.450425431245324E-2</c:v>
                </c:pt>
                <c:pt idx="55">
                  <c:v>9.4583942884115424E-2</c:v>
                </c:pt>
                <c:pt idx="56">
                  <c:v>9.4651094320387097E-2</c:v>
                </c:pt>
                <c:pt idx="57">
                  <c:v>9.470651394787355E-2</c:v>
                </c:pt>
                <c:pt idx="58">
                  <c:v>9.4669087682381914E-2</c:v>
                </c:pt>
                <c:pt idx="59">
                  <c:v>9.4626114370514047E-2</c:v>
                </c:pt>
                <c:pt idx="60">
                  <c:v>9.4578038953841648E-2</c:v>
                </c:pt>
                <c:pt idx="61">
                  <c:v>9.4527741694514833E-2</c:v>
                </c:pt>
                <c:pt idx="62">
                  <c:v>9.4492517810809029E-2</c:v>
                </c:pt>
                <c:pt idx="63">
                  <c:v>9.4452244042153466E-2</c:v>
                </c:pt>
                <c:pt idx="64">
                  <c:v>9.4407362386022986E-2</c:v>
                </c:pt>
                <c:pt idx="65">
                  <c:v>9.4358295296619432E-2</c:v>
                </c:pt>
                <c:pt idx="66">
                  <c:v>9.4305445268753951E-2</c:v>
                </c:pt>
                <c:pt idx="67">
                  <c:v>9.4256228829642463E-2</c:v>
                </c:pt>
                <c:pt idx="68">
                  <c:v>9.4203550315522522E-2</c:v>
                </c:pt>
                <c:pt idx="69">
                  <c:v>9.4147768925814335E-2</c:v>
                </c:pt>
                <c:pt idx="70">
                  <c:v>9.4089224279027772E-2</c:v>
                </c:pt>
                <c:pt idx="71">
                  <c:v>9.4009850425254005E-2</c:v>
                </c:pt>
                <c:pt idx="72">
                  <c:v>9.3902225427013097E-2</c:v>
                </c:pt>
                <c:pt idx="73">
                  <c:v>9.3795290381537888E-2</c:v>
                </c:pt>
                <c:pt idx="74">
                  <c:v>9.3689158316192289E-2</c:v>
                </c:pt>
                <c:pt idx="75">
                  <c:v>9.3583934282941539E-2</c:v>
                </c:pt>
                <c:pt idx="76">
                  <c:v>9.3479715301185151E-2</c:v>
                </c:pt>
                <c:pt idx="77">
                  <c:v>9.3376590387621028E-2</c:v>
                </c:pt>
                <c:pt idx="78">
                  <c:v>9.3274640658653873E-2</c:v>
                </c:pt>
                <c:pt idx="79">
                  <c:v>9.3173939492627422E-2</c:v>
                </c:pt>
                <c:pt idx="80">
                  <c:v>9.3074552740751049E-2</c:v>
                </c:pt>
                <c:pt idx="81">
                  <c:v>9.2931741831171588E-2</c:v>
                </c:pt>
                <c:pt idx="82">
                  <c:v>9.2771409107815339E-2</c:v>
                </c:pt>
                <c:pt idx="83">
                  <c:v>9.2616154585939969E-2</c:v>
                </c:pt>
                <c:pt idx="84">
                  <c:v>9.246579147240841E-2</c:v>
                </c:pt>
                <c:pt idx="85">
                  <c:v>9.232014314510073E-2</c:v>
                </c:pt>
                <c:pt idx="86">
                  <c:v>9.2179042113470722E-2</c:v>
                </c:pt>
                <c:pt idx="87">
                  <c:v>9.2042329115154864E-2</c:v>
                </c:pt>
                <c:pt idx="88">
                  <c:v>9.1909852331580666E-2</c:v>
                </c:pt>
                <c:pt idx="89">
                  <c:v>9.1781466707462123E-2</c:v>
                </c:pt>
                <c:pt idx="90">
                  <c:v>9.1657033360802553E-2</c:v>
                </c:pt>
                <c:pt idx="91">
                  <c:v>9.1499942810561175E-2</c:v>
                </c:pt>
                <c:pt idx="92">
                  <c:v>9.131566795205126E-2</c:v>
                </c:pt>
                <c:pt idx="93">
                  <c:v>9.1138890898799563E-2</c:v>
                </c:pt>
                <c:pt idx="94">
                  <c:v>9.0969248124477931E-2</c:v>
                </c:pt>
                <c:pt idx="95">
                  <c:v>9.0806397159228558E-2</c:v>
                </c:pt>
                <c:pt idx="96">
                  <c:v>9.0650015011336516E-2</c:v>
                </c:pt>
                <c:pt idx="97">
                  <c:v>9.0499796740997174E-2</c:v>
                </c:pt>
                <c:pt idx="98">
                  <c:v>9.0355454169510852E-2</c:v>
                </c:pt>
                <c:pt idx="99">
                  <c:v>9.0216714709073553E-2</c:v>
                </c:pt>
                <c:pt idx="100">
                  <c:v>9.0083320300009206E-2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</c:v>
                </c:pt>
                <c:pt idx="1">
                  <c:v>45.531984300540032</c:v>
                </c:pt>
                <c:pt idx="2">
                  <c:v>41.020361171463271</c:v>
                </c:pt>
                <c:pt idx="3">
                  <c:v>37.873749203489417</c:v>
                </c:pt>
                <c:pt idx="4">
                  <c:v>35.464165401928142</c:v>
                </c:pt>
                <c:pt idx="5">
                  <c:v>33.521427390089677</c:v>
                </c:pt>
                <c:pt idx="6">
                  <c:v>31.78795028903237</c:v>
                </c:pt>
                <c:pt idx="7">
                  <c:v>30.1535499655899</c:v>
                </c:pt>
                <c:pt idx="8">
                  <c:v>28.659748738361557</c:v>
                </c:pt>
                <c:pt idx="9">
                  <c:v>27.286371833435847</c:v>
                </c:pt>
                <c:pt idx="10">
                  <c:v>26.014158683236715</c:v>
                </c:pt>
                <c:pt idx="11">
                  <c:v>24.825145577118633</c:v>
                </c:pt>
                <c:pt idx="12">
                  <c:v>23.702303675335187</c:v>
                </c:pt>
                <c:pt idx="13">
                  <c:v>22.630689647837816</c:v>
                </c:pt>
                <c:pt idx="14">
                  <c:v>21.599134345039779</c:v>
                </c:pt>
                <c:pt idx="15">
                  <c:v>20.599008795317079</c:v>
                </c:pt>
                <c:pt idx="16">
                  <c:v>19.625925881685092</c:v>
                </c:pt>
                <c:pt idx="17">
                  <c:v>18.704548063995855</c:v>
                </c:pt>
                <c:pt idx="18">
                  <c:v>17.829909987550973</c:v>
                </c:pt>
                <c:pt idx="19">
                  <c:v>17.004657190698531</c:v>
                </c:pt>
                <c:pt idx="20">
                  <c:v>16.218610568758201</c:v>
                </c:pt>
                <c:pt idx="21">
                  <c:v>15.480989332505427</c:v>
                </c:pt>
                <c:pt idx="22">
                  <c:v>14.782074680283431</c:v>
                </c:pt>
                <c:pt idx="23">
                  <c:v>14.112360094661158</c:v>
                </c:pt>
                <c:pt idx="24">
                  <c:v>13.47782659162112</c:v>
                </c:pt>
                <c:pt idx="25">
                  <c:v>12.876697626906463</c:v>
                </c:pt>
                <c:pt idx="26">
                  <c:v>12.309632448693355</c:v>
                </c:pt>
                <c:pt idx="27">
                  <c:v>11.770223467560667</c:v>
                </c:pt>
                <c:pt idx="28">
                  <c:v>11.259421825858073</c:v>
                </c:pt>
                <c:pt idx="29">
                  <c:v>10.811819865079872</c:v>
                </c:pt>
                <c:pt idx="30">
                  <c:v>10.388670645150881</c:v>
                </c:pt>
                <c:pt idx="31">
                  <c:v>9.9842412611866056</c:v>
                </c:pt>
                <c:pt idx="32">
                  <c:v>9.6020553721367126</c:v>
                </c:pt>
                <c:pt idx="33">
                  <c:v>9.2345008343236987</c:v>
                </c:pt>
                <c:pt idx="34">
                  <c:v>8.8872734086654877</c:v>
                </c:pt>
                <c:pt idx="35">
                  <c:v>8.558551606700135</c:v>
                </c:pt>
                <c:pt idx="36">
                  <c:v>8.248219025643527</c:v>
                </c:pt>
                <c:pt idx="37">
                  <c:v>7.9577853697519343</c:v>
                </c:pt>
                <c:pt idx="38">
                  <c:v>7.6838785772568681</c:v>
                </c:pt>
                <c:pt idx="39">
                  <c:v>7.4199906568424439</c:v>
                </c:pt>
                <c:pt idx="40">
                  <c:v>7.1712529253563062</c:v>
                </c:pt>
                <c:pt idx="41">
                  <c:v>6.9202246345293519</c:v>
                </c:pt>
                <c:pt idx="42">
                  <c:v>6.683508254889162</c:v>
                </c:pt>
                <c:pt idx="43">
                  <c:v>6.4603993519653633</c:v>
                </c:pt>
                <c:pt idx="44">
                  <c:v>6.2322548195114935</c:v>
                </c:pt>
                <c:pt idx="45">
                  <c:v>6.0170746795038639</c:v>
                </c:pt>
                <c:pt idx="46">
                  <c:v>5.8142198149663917</c:v>
                </c:pt>
                <c:pt idx="47">
                  <c:v>5.5919586021051684</c:v>
                </c:pt>
                <c:pt idx="48">
                  <c:v>5.3819898191338948</c:v>
                </c:pt>
                <c:pt idx="49">
                  <c:v>5.1837020268876692</c:v>
                </c:pt>
                <c:pt idx="50">
                  <c:v>4.9605821318088292</c:v>
                </c:pt>
                <c:pt idx="51">
                  <c:v>4.7250613730360786</c:v>
                </c:pt>
                <c:pt idx="52">
                  <c:v>4.5017542080554325</c:v>
                </c:pt>
                <c:pt idx="53">
                  <c:v>4.290041583921794</c:v>
                </c:pt>
                <c:pt idx="54">
                  <c:v>4.0743826939011711</c:v>
                </c:pt>
                <c:pt idx="55">
                  <c:v>3.8697420450974658</c:v>
                </c:pt>
                <c:pt idx="56">
                  <c:v>3.6755590022243947</c:v>
                </c:pt>
                <c:pt idx="57">
                  <c:v>3.4913014861807246</c:v>
                </c:pt>
                <c:pt idx="58">
                  <c:v>3.3192103278843255</c:v>
                </c:pt>
                <c:pt idx="59">
                  <c:v>3.1559558734172524</c:v>
                </c:pt>
                <c:pt idx="60">
                  <c:v>3.0010890683040321</c:v>
                </c:pt>
                <c:pt idx="61">
                  <c:v>2.853229138270359</c:v>
                </c:pt>
                <c:pt idx="62">
                  <c:v>2.7113684017609474</c:v>
                </c:pt>
                <c:pt idx="63">
                  <c:v>2.5767758681035628</c:v>
                </c:pt>
                <c:pt idx="64">
                  <c:v>2.4490819777788109</c:v>
                </c:pt>
                <c:pt idx="65">
                  <c:v>2.3279359986973849</c:v>
                </c:pt>
                <c:pt idx="66">
                  <c:v>2.2130050675658057</c:v>
                </c:pt>
                <c:pt idx="67">
                  <c:v>2.1029086347954391</c:v>
                </c:pt>
                <c:pt idx="68">
                  <c:v>1.998452083593468</c:v>
                </c:pt>
                <c:pt idx="69">
                  <c:v>1.8993486365899737</c:v>
                </c:pt>
                <c:pt idx="70">
                  <c:v>1.8053261262833611</c:v>
                </c:pt>
                <c:pt idx="71">
                  <c:v>1.7160924230408898</c:v>
                </c:pt>
                <c:pt idx="72">
                  <c:v>1.6315195755173697</c:v>
                </c:pt>
                <c:pt idx="73">
                  <c:v>1.5512896617825251</c:v>
                </c:pt>
                <c:pt idx="74">
                  <c:v>1.4751819894685434</c:v>
                </c:pt>
                <c:pt idx="75">
                  <c:v>1.4029871114240688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5"/>
      </c:val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1.407319190580324</c:v>
                </c:pt>
                <c:pt idx="2">
                  <c:v>1.4319314072832019</c:v>
                </c:pt>
                <c:pt idx="3">
                  <c:v>1.4546556568052953</c:v>
                </c:pt>
                <c:pt idx="4">
                  <c:v>1.4759341560464523</c:v>
                </c:pt>
                <c:pt idx="5">
                  <c:v>1.4960470124805061</c:v>
                </c:pt>
                <c:pt idx="6">
                  <c:v>1.5151197826539256</c:v>
                </c:pt>
                <c:pt idx="7">
                  <c:v>1.5332119126332795</c:v>
                </c:pt>
                <c:pt idx="8">
                  <c:v>1.5504077618762964</c:v>
                </c:pt>
                <c:pt idx="9">
                  <c:v>1.5667795849763577</c:v>
                </c:pt>
                <c:pt idx="10">
                  <c:v>1.5823880801862997</c:v>
                </c:pt>
                <c:pt idx="11">
                  <c:v>1.5972831675325712</c:v>
                </c:pt>
                <c:pt idx="12">
                  <c:v>1.6115045497377722</c:v>
                </c:pt>
                <c:pt idx="13">
                  <c:v>1.625082963526475</c:v>
                </c:pt>
                <c:pt idx="14">
                  <c:v>1.6380424441334986</c:v>
                </c:pt>
                <c:pt idx="15">
                  <c:v>1.6504018494106887</c:v>
                </c:pt>
                <c:pt idx="16">
                  <c:v>1.6621774049396998</c:v>
                </c:pt>
                <c:pt idx="17">
                  <c:v>1.6734001337780973</c:v>
                </c:pt>
                <c:pt idx="18">
                  <c:v>1.6840980797706278</c:v>
                </c:pt>
                <c:pt idx="19">
                  <c:v>1.6943008740850469</c:v>
                </c:pt>
                <c:pt idx="20">
                  <c:v>1.7040320404263019</c:v>
                </c:pt>
                <c:pt idx="21">
                  <c:v>1.7133206340258051</c:v>
                </c:pt>
                <c:pt idx="22">
                  <c:v>1.7221898788339753</c:v>
                </c:pt>
                <c:pt idx="23">
                  <c:v>1.7306572948907721</c:v>
                </c:pt>
                <c:pt idx="24">
                  <c:v>1.7387439908457447</c:v>
                </c:pt>
                <c:pt idx="25">
                  <c:v>1.7464700094218888</c:v>
                </c:pt>
                <c:pt idx="26">
                  <c:v>1.7538557888911046</c:v>
                </c:pt>
                <c:pt idx="27">
                  <c:v>1.7609179229716412</c:v>
                </c:pt>
                <c:pt idx="28">
                  <c:v>1.767673576067156</c:v>
                </c:pt>
                <c:pt idx="29">
                  <c:v>1.7741606679862041</c:v>
                </c:pt>
                <c:pt idx="30">
                  <c:v>1.7803938703732944</c:v>
                </c:pt>
                <c:pt idx="31">
                  <c:v>1.7863844151300066</c:v>
                </c:pt>
                <c:pt idx="32">
                  <c:v>1.7921456483532885</c:v>
                </c:pt>
                <c:pt idx="33">
                  <c:v>1.7976863488538828</c:v>
                </c:pt>
                <c:pt idx="34">
                  <c:v>1.803018712899082</c:v>
                </c:pt>
                <c:pt idx="35">
                  <c:v>1.8081538438631022</c:v>
                </c:pt>
                <c:pt idx="36">
                  <c:v>1.8131027752784885</c:v>
                </c:pt>
                <c:pt idx="37">
                  <c:v>1.8178774465003396</c:v>
                </c:pt>
                <c:pt idx="38">
                  <c:v>1.8224877736466938</c:v>
                </c:pt>
                <c:pt idx="39">
                  <c:v>1.8269397680407993</c:v>
                </c:pt>
                <c:pt idx="40">
                  <c:v>1.8312425197960132</c:v>
                </c:pt>
                <c:pt idx="41">
                  <c:v>1.8353946545767308</c:v>
                </c:pt>
                <c:pt idx="42">
                  <c:v>1.8394047595296641</c:v>
                </c:pt>
                <c:pt idx="43">
                  <c:v>1.8432809991408434</c:v>
                </c:pt>
                <c:pt idx="44">
                  <c:v>1.8470203520325503</c:v>
                </c:pt>
                <c:pt idx="45">
                  <c:v>1.8506305968402528</c:v>
                </c:pt>
                <c:pt idx="46">
                  <c:v>1.8541191287292325</c:v>
                </c:pt>
                <c:pt idx="47">
                  <c:v>1.8574743038904955</c:v>
                </c:pt>
                <c:pt idx="48">
                  <c:v>1.8607034977819759</c:v>
                </c:pt>
                <c:pt idx="49">
                  <c:v>1.8638137189981085</c:v>
                </c:pt>
                <c:pt idx="50">
                  <c:v>1.8667900682771936</c:v>
                </c:pt>
                <c:pt idx="51">
                  <c:v>1.8696251051010153</c:v>
                </c:pt>
                <c:pt idx="52">
                  <c:v>1.8723261576258488</c:v>
                </c:pt>
                <c:pt idx="53">
                  <c:v>1.8749001825762017</c:v>
                </c:pt>
                <c:pt idx="54">
                  <c:v>1.8773448121925422</c:v>
                </c:pt>
                <c:pt idx="55">
                  <c:v>1.8796666574196008</c:v>
                </c:pt>
                <c:pt idx="56">
                  <c:v>1.8818719928209355</c:v>
                </c:pt>
                <c:pt idx="57">
                  <c:v>1.883966773712644</c:v>
                </c:pt>
                <c:pt idx="58">
                  <c:v>1.8859582999093747</c:v>
                </c:pt>
                <c:pt idx="59">
                  <c:v>1.8878518734334249</c:v>
                </c:pt>
                <c:pt idx="60">
                  <c:v>1.8896525268744071</c:v>
                </c:pt>
                <c:pt idx="61">
                  <c:v>1.8913644643573693</c:v>
                </c:pt>
                <c:pt idx="62">
                  <c:v>1.8929912853984259</c:v>
                </c:pt>
                <c:pt idx="63">
                  <c:v>1.894537350919288</c:v>
                </c:pt>
                <c:pt idx="64">
                  <c:v>1.8960068001059553</c:v>
                </c:pt>
                <c:pt idx="65">
                  <c:v>1.8974035617051737</c:v>
                </c:pt>
                <c:pt idx="66">
                  <c:v>1.8987313647457134</c:v>
                </c:pt>
                <c:pt idx="67">
                  <c:v>1.8999931099265905</c:v>
                </c:pt>
                <c:pt idx="68">
                  <c:v>1.9011921811767465</c:v>
                </c:pt>
                <c:pt idx="69">
                  <c:v>1.9023317903587003</c:v>
                </c:pt>
                <c:pt idx="70">
                  <c:v>1.9034149860344705</c:v>
                </c:pt>
                <c:pt idx="71">
                  <c:v>1.904444641488295</c:v>
                </c:pt>
                <c:pt idx="72">
                  <c:v>1.9054235532336052</c:v>
                </c:pt>
                <c:pt idx="73">
                  <c:v>1.9063543270306746</c:v>
                </c:pt>
                <c:pt idx="74">
                  <c:v>1.9072394362243559</c:v>
                </c:pt>
                <c:pt idx="75">
                  <c:v>1.9080812284912103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(degC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'6states'!$AU$4:$AU$79</c:f>
              <c:numCache>
                <c:formatCode>0.00</c:formatCode>
                <c:ptCount val="76"/>
                <c:pt idx="0">
                  <c:v>167.21872995078172</c:v>
                </c:pt>
                <c:pt idx="1">
                  <c:v>171.27933130892123</c:v>
                </c:pt>
                <c:pt idx="2">
                  <c:v>175.41427929518892</c:v>
                </c:pt>
                <c:pt idx="3">
                  <c:v>179.62839935336271</c:v>
                </c:pt>
                <c:pt idx="4">
                  <c:v>183.92551741671411</c:v>
                </c:pt>
                <c:pt idx="5">
                  <c:v>188.30877200054604</c:v>
                </c:pt>
                <c:pt idx="6">
                  <c:v>192.78081345169835</c:v>
                </c:pt>
                <c:pt idx="7">
                  <c:v>197.34441460578341</c:v>
                </c:pt>
                <c:pt idx="8">
                  <c:v>202.00247727791626</c:v>
                </c:pt>
                <c:pt idx="9">
                  <c:v>206.75751558092389</c:v>
                </c:pt>
                <c:pt idx="10">
                  <c:v>211.61191492476459</c:v>
                </c:pt>
                <c:pt idx="11">
                  <c:v>216.56801281558776</c:v>
                </c:pt>
                <c:pt idx="12">
                  <c:v>221.62813708200849</c:v>
                </c:pt>
                <c:pt idx="13">
                  <c:v>226.79463501245186</c:v>
                </c:pt>
                <c:pt idx="14">
                  <c:v>232.06988925352744</c:v>
                </c:pt>
                <c:pt idx="15">
                  <c:v>237.45631685889299</c:v>
                </c:pt>
                <c:pt idx="16">
                  <c:v>242.95637871917864</c:v>
                </c:pt>
                <c:pt idx="17">
                  <c:v>248.57259636401866</c:v>
                </c:pt>
                <c:pt idx="18">
                  <c:v>254.30747989916665</c:v>
                </c:pt>
                <c:pt idx="19">
                  <c:v>260.1636095081783</c:v>
                </c:pt>
                <c:pt idx="20">
                  <c:v>266.14349145780255</c:v>
                </c:pt>
                <c:pt idx="21">
                  <c:v>272.24971861895187</c:v>
                </c:pt>
                <c:pt idx="22">
                  <c:v>278.48481795030682</c:v>
                </c:pt>
                <c:pt idx="23">
                  <c:v>284.85166738618631</c:v>
                </c:pt>
                <c:pt idx="24">
                  <c:v>291.35300424813704</c:v>
                </c:pt>
                <c:pt idx="25">
                  <c:v>297.99177288435106</c:v>
                </c:pt>
                <c:pt idx="26">
                  <c:v>304.77073054023015</c:v>
                </c:pt>
                <c:pt idx="27">
                  <c:v>311.69277745352247</c:v>
                </c:pt>
                <c:pt idx="28">
                  <c:v>318.76089246637582</c:v>
                </c:pt>
                <c:pt idx="29">
                  <c:v>325.97815352556785</c:v>
                </c:pt>
                <c:pt idx="30">
                  <c:v>333.34703759958302</c:v>
                </c:pt>
                <c:pt idx="31">
                  <c:v>340.87062775363898</c:v>
                </c:pt>
                <c:pt idx="32">
                  <c:v>348.55197074650641</c:v>
                </c:pt>
                <c:pt idx="33">
                  <c:v>356.39423396578877</c:v>
                </c:pt>
                <c:pt idx="34">
                  <c:v>364.40040969650266</c:v>
                </c:pt>
                <c:pt idx="35">
                  <c:v>372.57375218192436</c:v>
                </c:pt>
                <c:pt idx="36">
                  <c:v>380.91724427232259</c:v>
                </c:pt>
                <c:pt idx="37">
                  <c:v>389.43421863563549</c:v>
                </c:pt>
                <c:pt idx="38">
                  <c:v>398.1277462746076</c:v>
                </c:pt>
                <c:pt idx="39">
                  <c:v>407.00123492192557</c:v>
                </c:pt>
                <c:pt idx="40">
                  <c:v>416.05793819506499</c:v>
                </c:pt>
                <c:pt idx="41">
                  <c:v>425.30135694516309</c:v>
                </c:pt>
                <c:pt idx="42">
                  <c:v>434.73524617612577</c:v>
                </c:pt>
                <c:pt idx="43">
                  <c:v>444.36323350226343</c:v>
                </c:pt>
                <c:pt idx="44">
                  <c:v>454.18899372125935</c:v>
                </c:pt>
                <c:pt idx="45">
                  <c:v>464.21630379886511</c:v>
                </c:pt>
                <c:pt idx="46">
                  <c:v>474.44896920620533</c:v>
                </c:pt>
                <c:pt idx="47">
                  <c:v>484.89084477952377</c:v>
                </c:pt>
                <c:pt idx="48">
                  <c:v>495.54639043256822</c:v>
                </c:pt>
                <c:pt idx="49">
                  <c:v>506.41963798251726</c:v>
                </c:pt>
                <c:pt idx="50">
                  <c:v>517.51467290987034</c:v>
                </c:pt>
                <c:pt idx="51">
                  <c:v>528.8362303004244</c:v>
                </c:pt>
                <c:pt idx="52">
                  <c:v>540.38889236743671</c:v>
                </c:pt>
                <c:pt idx="53">
                  <c:v>552.17707185353004</c:v>
                </c:pt>
                <c:pt idx="54">
                  <c:v>564.20524446293848</c:v>
                </c:pt>
                <c:pt idx="55">
                  <c:v>576.47799507447621</c:v>
                </c:pt>
                <c:pt idx="56">
                  <c:v>588.99996576274884</c:v>
                </c:pt>
                <c:pt idx="57">
                  <c:v>601.7758648218196</c:v>
                </c:pt>
                <c:pt idx="58">
                  <c:v>614.81046723446786</c:v>
                </c:pt>
                <c:pt idx="59">
                  <c:v>628.10782419226791</c:v>
                </c:pt>
                <c:pt idx="60">
                  <c:v>641.67281793014843</c:v>
                </c:pt>
                <c:pt idx="61">
                  <c:v>655.51039648654853</c:v>
                </c:pt>
                <c:pt idx="62">
                  <c:v>669.62572541599434</c:v>
                </c:pt>
                <c:pt idx="63">
                  <c:v>684.024099939542</c:v>
                </c:pt>
                <c:pt idx="64">
                  <c:v>698.71068283508828</c:v>
                </c:pt>
                <c:pt idx="65">
                  <c:v>713.69070384140832</c:v>
                </c:pt>
                <c:pt idx="66">
                  <c:v>728.96945956471438</c:v>
                </c:pt>
                <c:pt idx="67">
                  <c:v>744.55231330398772</c:v>
                </c:pt>
                <c:pt idx="68">
                  <c:v>760.4447812704052</c:v>
                </c:pt>
                <c:pt idx="69">
                  <c:v>776.65236459985272</c:v>
                </c:pt>
                <c:pt idx="70">
                  <c:v>793.18063035511989</c:v>
                </c:pt>
                <c:pt idx="71">
                  <c:v>810.03521102118839</c:v>
                </c:pt>
                <c:pt idx="72">
                  <c:v>827.22158419400284</c:v>
                </c:pt>
                <c:pt idx="73">
                  <c:v>844.74514501966826</c:v>
                </c:pt>
                <c:pt idx="74">
                  <c:v>862.61170346432687</c:v>
                </c:pt>
                <c:pt idx="75">
                  <c:v>880.82713073769901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carbon/Pigouvian</a:t>
                </a:r>
                <a:r>
                  <a:rPr lang="en-US" baseline="0"/>
                  <a:t> carbon tax</a:t>
                </a:r>
                <a:r>
                  <a:rPr lang="en-US"/>
                  <a:t> (2024</a:t>
                </a:r>
                <a:r>
                  <a:rPr lang="en-US" baseline="0"/>
                  <a:t>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'6states'!$AC$4:$AC$79</c:f>
              <c:numCache>
                <c:formatCode>0.0</c:formatCode>
                <c:ptCount val="76"/>
                <c:pt idx="0">
                  <c:v>0</c:v>
                </c:pt>
                <c:pt idx="1">
                  <c:v>0.97448464222737907</c:v>
                </c:pt>
                <c:pt idx="2">
                  <c:v>1.7042249320764922</c:v>
                </c:pt>
                <c:pt idx="3">
                  <c:v>2.1818310473384241</c:v>
                </c:pt>
                <c:pt idx="4">
                  <c:v>2.4034716956802487</c:v>
                </c:pt>
                <c:pt idx="5">
                  <c:v>2.4022577356876607</c:v>
                </c:pt>
                <c:pt idx="6">
                  <c:v>2.3225069272159424</c:v>
                </c:pt>
                <c:pt idx="7">
                  <c:v>2.2382146588557288</c:v>
                </c:pt>
                <c:pt idx="8">
                  <c:v>2.1455837767202324</c:v>
                </c:pt>
                <c:pt idx="9">
                  <c:v>2.0567865216639132</c:v>
                </c:pt>
                <c:pt idx="10">
                  <c:v>1.9716642349733549</c:v>
                </c:pt>
                <c:pt idx="11">
                  <c:v>1.8900648241938891</c:v>
                </c:pt>
                <c:pt idx="12">
                  <c:v>1.8118424913780278</c:v>
                </c:pt>
                <c:pt idx="13">
                  <c:v>1.7368574725806238</c:v>
                </c:pt>
                <c:pt idx="14">
                  <c:v>1.6649757881352971</c:v>
                </c:pt>
                <c:pt idx="15">
                  <c:v>1.5960690032659386</c:v>
                </c:pt>
                <c:pt idx="16">
                  <c:v>1.5300139986055585</c:v>
                </c:pt>
                <c:pt idx="17">
                  <c:v>1.4666927502124543</c:v>
                </c:pt>
                <c:pt idx="18">
                  <c:v>1.4059921186906437</c:v>
                </c:pt>
                <c:pt idx="19">
                  <c:v>1.3478036470377714</c:v>
                </c:pt>
                <c:pt idx="20">
                  <c:v>1.292023366859294</c:v>
                </c:pt>
                <c:pt idx="21">
                  <c:v>1.2385516126026954</c:v>
                </c:pt>
                <c:pt idx="22">
                  <c:v>1.1872928434798162</c:v>
                </c:pt>
                <c:pt idx="23">
                  <c:v>1.138155472759117</c:v>
                </c:pt>
                <c:pt idx="24">
                  <c:v>1.0910517041228596</c:v>
                </c:pt>
                <c:pt idx="25">
                  <c:v>1.0458973747968217</c:v>
                </c:pt>
                <c:pt idx="26">
                  <c:v>1.0026118051722532</c:v>
                </c:pt>
                <c:pt idx="27">
                  <c:v>0.96111765465138699</c:v>
                </c:pt>
                <c:pt idx="28">
                  <c:v>0.92134078345893733</c:v>
                </c:pt>
                <c:pt idx="29">
                  <c:v>0.88321012017267209</c:v>
                </c:pt>
                <c:pt idx="30">
                  <c:v>0.84665753473637684</c:v>
                </c:pt>
                <c:pt idx="31">
                  <c:v>0.81161771672830862</c:v>
                </c:pt>
                <c:pt idx="32">
                  <c:v>0.77802805866763969</c:v>
                </c:pt>
                <c:pt idx="33">
                  <c:v>0.7458285441503878</c:v>
                </c:pt>
                <c:pt idx="34">
                  <c:v>0.71496164061495859</c:v>
                </c:pt>
                <c:pt idx="35">
                  <c:v>0.68537219654570036</c:v>
                </c:pt>
                <c:pt idx="36">
                  <c:v>0.6570073429307981</c:v>
                </c:pt>
                <c:pt idx="37">
                  <c:v>0.62981639879843687</c:v>
                </c:pt>
                <c:pt idx="38">
                  <c:v>0.60375078066245025</c:v>
                </c:pt>
                <c:pt idx="39">
                  <c:v>0.57876391571565855</c:v>
                </c:pt>
                <c:pt idx="40">
                  <c:v>0.55481115861579045</c:v>
                </c:pt>
                <c:pt idx="41">
                  <c:v>0.53184971171530782</c:v>
                </c:pt>
                <c:pt idx="42">
                  <c:v>0.5098385485926048</c:v>
                </c:pt>
                <c:pt idx="43">
                  <c:v>0.48873834074794775</c:v>
                </c:pt>
                <c:pt idx="44">
                  <c:v>0.46851138733318171</c:v>
                </c:pt>
                <c:pt idx="45">
                  <c:v>0.44912154778964791</c:v>
                </c:pt>
                <c:pt idx="46">
                  <c:v>0.43053417727395138</c:v>
                </c:pt>
                <c:pt idx="47">
                  <c:v>0.41271606475620254</c:v>
                </c:pt>
                <c:pt idx="48">
                  <c:v>0.39563537368012741</c:v>
                </c:pt>
                <c:pt idx="49">
                  <c:v>0.3792615850790228</c:v>
                </c:pt>
                <c:pt idx="50">
                  <c:v>0.36356544304591809</c:v>
                </c:pt>
                <c:pt idx="51">
                  <c:v>0.34851890246051098</c:v>
                </c:pt>
                <c:pt idx="52">
                  <c:v>0.33409507887948015</c:v>
                </c:pt>
                <c:pt idx="53">
                  <c:v>0.32026820050064037</c:v>
                </c:pt>
                <c:pt idx="54">
                  <c:v>0.3070135621151116</c:v>
                </c:pt>
                <c:pt idx="55">
                  <c:v>0.29430748096522624</c:v>
                </c:pt>
                <c:pt idx="56">
                  <c:v>0.28212725442930403</c:v>
                </c:pt>
                <c:pt idx="57">
                  <c:v>0.27045111945768663</c:v>
                </c:pt>
                <c:pt idx="58">
                  <c:v>0.25925821368755564</c:v>
                </c:pt>
                <c:pt idx="59">
                  <c:v>0.24852853816705436</c:v>
                </c:pt>
                <c:pt idx="60">
                  <c:v>0.23824292162211172</c:v>
                </c:pt>
                <c:pt idx="61">
                  <c:v>0.228382986202121</c:v>
                </c:pt>
                <c:pt idx="62">
                  <c:v>0.21893111464327022</c:v>
                </c:pt>
                <c:pt idx="63">
                  <c:v>0.20987041879085297</c:v>
                </c:pt>
                <c:pt idx="64">
                  <c:v>0.20118470942431638</c:v>
                </c:pt>
                <c:pt idx="65">
                  <c:v>0.19285846733113149</c:v>
                </c:pt>
                <c:pt idx="66">
                  <c:v>0.18487681557780244</c:v>
                </c:pt>
                <c:pt idx="67">
                  <c:v>0.17722549292846887</c:v>
                </c:pt>
                <c:pt idx="68">
                  <c:v>0.16989082836360753</c:v>
                </c:pt>
                <c:pt idx="69">
                  <c:v>0.16285971665330504</c:v>
                </c:pt>
                <c:pt idx="70">
                  <c:v>0.15611959494145583</c:v>
                </c:pt>
                <c:pt idx="71">
                  <c:v>0.14965842029904833</c:v>
                </c:pt>
                <c:pt idx="72">
                  <c:v>0.14346464820643184</c:v>
                </c:pt>
                <c:pt idx="73">
                  <c:v>0.13752721192611791</c:v>
                </c:pt>
                <c:pt idx="74">
                  <c:v>0.13183550272925987</c:v>
                </c:pt>
                <c:pt idx="75">
                  <c:v>0.12637935094048047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'6states'!$AD$4:$AD$79</c:f>
              <c:numCache>
                <c:formatCode>0.0</c:formatCode>
                <c:ptCount val="76"/>
                <c:pt idx="0">
                  <c:v>56.704202221927225</c:v>
                </c:pt>
                <c:pt idx="1">
                  <c:v>53.382954166358587</c:v>
                </c:pt>
                <c:pt idx="2">
                  <c:v>50.403573750374399</c:v>
                </c:pt>
                <c:pt idx="3">
                  <c:v>47.769431246166668</c:v>
                </c:pt>
                <c:pt idx="4">
                  <c:v>45.480504749382369</c:v>
                </c:pt>
                <c:pt idx="5">
                  <c:v>43.499989673372163</c:v>
                </c:pt>
                <c:pt idx="6">
                  <c:v>41.680027399061728</c:v>
                </c:pt>
                <c:pt idx="7">
                  <c:v>39.943228220847118</c:v>
                </c:pt>
                <c:pt idx="8">
                  <c:v>38.343871168731667</c:v>
                </c:pt>
                <c:pt idx="9">
                  <c:v>36.868882781889901</c:v>
                </c:pt>
                <c:pt idx="10">
                  <c:v>35.497007117619667</c:v>
                </c:pt>
                <c:pt idx="11">
                  <c:v>34.207789701955363</c:v>
                </c:pt>
                <c:pt idx="12">
                  <c:v>32.981169572028492</c:v>
                </c:pt>
                <c:pt idx="13">
                  <c:v>31.799082131661326</c:v>
                </c:pt>
                <c:pt idx="14">
                  <c:v>30.647879314457299</c:v>
                </c:pt>
                <c:pt idx="15">
                  <c:v>29.516858101367273</c:v>
                </c:pt>
                <c:pt idx="16">
                  <c:v>28.400774931407014</c:v>
                </c:pt>
                <c:pt idx="17">
                  <c:v>27.334926014025999</c:v>
                </c:pt>
                <c:pt idx="18">
                  <c:v>26.31399381477673</c:v>
                </c:pt>
                <c:pt idx="19">
                  <c:v>25.34331154015943</c:v>
                </c:pt>
                <c:pt idx="20">
                  <c:v>24.409870419083166</c:v>
                </c:pt>
                <c:pt idx="21">
                  <c:v>23.528413723711715</c:v>
                </c:pt>
                <c:pt idx="22">
                  <c:v>22.68635132050607</c:v>
                </c:pt>
                <c:pt idx="23">
                  <c:v>21.870895860385609</c:v>
                </c:pt>
                <c:pt idx="24">
                  <c:v>21.091981414176928</c:v>
                </c:pt>
                <c:pt idx="25">
                  <c:v>20.348156527170094</c:v>
                </c:pt>
                <c:pt idx="26">
                  <c:v>19.64161568216009</c:v>
                </c:pt>
                <c:pt idx="27">
                  <c:v>18.96370980870671</c:v>
                </c:pt>
                <c:pt idx="28">
                  <c:v>18.316902757073482</c:v>
                </c:pt>
                <c:pt idx="29">
                  <c:v>17.75661162988624</c:v>
                </c:pt>
                <c:pt idx="30">
                  <c:v>17.223928712294608</c:v>
                </c:pt>
                <c:pt idx="31">
                  <c:v>16.710583543883097</c:v>
                </c:pt>
                <c:pt idx="32">
                  <c:v>16.222934917481869</c:v>
                </c:pt>
                <c:pt idx="33">
                  <c:v>15.749417986064865</c:v>
                </c:pt>
                <c:pt idx="34">
                  <c:v>15.299908287384433</c:v>
                </c:pt>
                <c:pt idx="35">
                  <c:v>14.872159657082722</c:v>
                </c:pt>
                <c:pt idx="36">
                  <c:v>14.466682239084136</c:v>
                </c:pt>
                <c:pt idx="37">
                  <c:v>14.086732294894684</c:v>
                </c:pt>
                <c:pt idx="38">
                  <c:v>13.727357113375346</c:v>
                </c:pt>
                <c:pt idx="39">
                  <c:v>13.378034678054499</c:v>
                </c:pt>
                <c:pt idx="40">
                  <c:v>13.048013669230393</c:v>
                </c:pt>
                <c:pt idx="41">
                  <c:v>12.707449507282098</c:v>
                </c:pt>
                <c:pt idx="42">
                  <c:v>12.385400403299622</c:v>
                </c:pt>
                <c:pt idx="43">
                  <c:v>12.081192539890258</c:v>
                </c:pt>
                <c:pt idx="44">
                  <c:v>11.761983507894188</c:v>
                </c:pt>
                <c:pt idx="45">
                  <c:v>11.459994337663609</c:v>
                </c:pt>
                <c:pt idx="46">
                  <c:v>11.174596239211986</c:v>
                </c:pt>
                <c:pt idx="47">
                  <c:v>10.847959776874452</c:v>
                </c:pt>
                <c:pt idx="48">
                  <c:v>10.537869091562891</c:v>
                </c:pt>
                <c:pt idx="49">
                  <c:v>10.24370311296507</c:v>
                </c:pt>
                <c:pt idx="50">
                  <c:v>9.8969861159520498</c:v>
                </c:pt>
                <c:pt idx="51">
                  <c:v>9.5200104539581485</c:v>
                </c:pt>
                <c:pt idx="52">
                  <c:v>9.1593783865109621</c:v>
                </c:pt>
                <c:pt idx="53">
                  <c:v>8.8144299763505778</c:v>
                </c:pt>
                <c:pt idx="54">
                  <c:v>8.4551550762694951</c:v>
                </c:pt>
                <c:pt idx="55">
                  <c:v>8.1108756374899524</c:v>
                </c:pt>
                <c:pt idx="56">
                  <c:v>7.7809739401979483</c:v>
                </c:pt>
                <c:pt idx="57">
                  <c:v>7.4648578939168946</c:v>
                </c:pt>
                <c:pt idx="58">
                  <c:v>7.1675738684599208</c:v>
                </c:pt>
                <c:pt idx="59">
                  <c:v>6.8828596848909793</c:v>
                </c:pt>
                <c:pt idx="60">
                  <c:v>6.610201138637481</c:v>
                </c:pt>
                <c:pt idx="61">
                  <c:v>6.3470952160540808</c:v>
                </c:pt>
                <c:pt idx="62">
                  <c:v>6.0917269614574447</c:v>
                </c:pt>
                <c:pt idx="63">
                  <c:v>5.847094728081081</c:v>
                </c:pt>
                <c:pt idx="64">
                  <c:v>5.6127579865807267</c:v>
                </c:pt>
                <c:pt idx="65">
                  <c:v>5.3882945221590273</c:v>
                </c:pt>
                <c:pt idx="66">
                  <c:v>5.1732996781441143</c:v>
                </c:pt>
                <c:pt idx="67">
                  <c:v>4.965006582318134</c:v>
                </c:pt>
                <c:pt idx="68">
                  <c:v>4.7654668578734718</c:v>
                </c:pt>
                <c:pt idx="69">
                  <c:v>4.574321251012071</c:v>
                </c:pt>
                <c:pt idx="70">
                  <c:v>4.3912254418946235</c:v>
                </c:pt>
                <c:pt idx="71">
                  <c:v>4.2157707836911751</c:v>
                </c:pt>
                <c:pt idx="72">
                  <c:v>4.0479138074689969</c:v>
                </c:pt>
                <c:pt idx="73">
                  <c:v>3.8871550054347059</c:v>
                </c:pt>
                <c:pt idx="74">
                  <c:v>3.7332040243053322</c:v>
                </c:pt>
                <c:pt idx="75">
                  <c:v>3.5857826006217639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'[1]6states'!$K$4:$K$80</c:f>
              <c:numCache>
                <c:formatCode>General</c:formatCode>
                <c:ptCount val="77"/>
                <c:pt idx="0">
                  <c:v>4.3661700735228628</c:v>
                </c:pt>
                <c:pt idx="1">
                  <c:v>5.2558260515640729</c:v>
                </c:pt>
                <c:pt idx="2">
                  <c:v>6.3153868958549664</c:v>
                </c:pt>
                <c:pt idx="3">
                  <c:v>7.5714122602396712</c:v>
                </c:pt>
                <c:pt idx="4">
                  <c:v>9.0503208868173761</c:v>
                </c:pt>
                <c:pt idx="5">
                  <c:v>10.771536410966055</c:v>
                </c:pt>
                <c:pt idx="6">
                  <c:v>12.742278521170114</c:v>
                </c:pt>
                <c:pt idx="7">
                  <c:v>14.95882150753137</c:v>
                </c:pt>
                <c:pt idx="8">
                  <c:v>17.411234067674933</c:v>
                </c:pt>
                <c:pt idx="9">
                  <c:v>20.087368198446619</c:v>
                </c:pt>
                <c:pt idx="10">
                  <c:v>22.973298094707484</c:v>
                </c:pt>
                <c:pt idx="11">
                  <c:v>26.051007231309743</c:v>
                </c:pt>
                <c:pt idx="12">
                  <c:v>29.294566149573303</c:v>
                </c:pt>
                <c:pt idx="13">
                  <c:v>32.666401257209102</c:v>
                </c:pt>
                <c:pt idx="14">
                  <c:v>36.114251728594375</c:v>
                </c:pt>
                <c:pt idx="15">
                  <c:v>39.571282164675836</c:v>
                </c:pt>
                <c:pt idx="16">
                  <c:v>42.965299267298462</c:v>
                </c:pt>
                <c:pt idx="17">
                  <c:v>46.239864898950749</c:v>
                </c:pt>
                <c:pt idx="18">
                  <c:v>49.388607931813119</c:v>
                </c:pt>
                <c:pt idx="19">
                  <c:v>52.50220220393085</c:v>
                </c:pt>
                <c:pt idx="20">
                  <c:v>55.696000873440191</c:v>
                </c:pt>
                <c:pt idx="21">
                  <c:v>59.462673174103841</c:v>
                </c:pt>
                <c:pt idx="22">
                  <c:v>63.248719507968296</c:v>
                </c:pt>
                <c:pt idx="23">
                  <c:v>66.663906869348523</c:v>
                </c:pt>
                <c:pt idx="24">
                  <c:v>70.097364631079358</c:v>
                </c:pt>
                <c:pt idx="25">
                  <c:v>73.52015179885106</c:v>
                </c:pt>
                <c:pt idx="26">
                  <c:v>76.963752658857629</c:v>
                </c:pt>
                <c:pt idx="27">
                  <c:v>80.395077613752491</c:v>
                </c:pt>
                <c:pt idx="28">
                  <c:v>83.850599210081313</c:v>
                </c:pt>
                <c:pt idx="29">
                  <c:v>87.249700022196208</c:v>
                </c:pt>
                <c:pt idx="30">
                  <c:v>90.677257754836262</c:v>
                </c:pt>
                <c:pt idx="31">
                  <c:v>94.071991957785116</c:v>
                </c:pt>
                <c:pt idx="32">
                  <c:v>97.499698299321935</c:v>
                </c:pt>
                <c:pt idx="33">
                  <c:v>100.91534029578166</c:v>
                </c:pt>
                <c:pt idx="34">
                  <c:v>104.36854713187476</c:v>
                </c:pt>
                <c:pt idx="35">
                  <c:v>107.8483132253872</c:v>
                </c:pt>
                <c:pt idx="36">
                  <c:v>111.37002789445258</c:v>
                </c:pt>
                <c:pt idx="37">
                  <c:v>114.93477422562239</c:v>
                </c:pt>
                <c:pt idx="38">
                  <c:v>118.54583249105583</c:v>
                </c:pt>
                <c:pt idx="39">
                  <c:v>122.28770169721211</c:v>
                </c:pt>
                <c:pt idx="40">
                  <c:v>126.07943316887079</c:v>
                </c:pt>
                <c:pt idx="41">
                  <c:v>129.92334901276601</c:v>
                </c:pt>
                <c:pt idx="42">
                  <c:v>133.86208302882886</c:v>
                </c:pt>
                <c:pt idx="43">
                  <c:v>137.85726453573622</c:v>
                </c:pt>
                <c:pt idx="44">
                  <c:v>141.91132291520935</c:v>
                </c:pt>
                <c:pt idx="45">
                  <c:v>146.01480765442997</c:v>
                </c:pt>
                <c:pt idx="46">
                  <c:v>150.18224761257994</c:v>
                </c:pt>
                <c:pt idx="47">
                  <c:v>154.41614243592667</c:v>
                </c:pt>
                <c:pt idx="48">
                  <c:v>158.637958072034</c:v>
                </c:pt>
                <c:pt idx="49">
                  <c:v>162.93230720972139</c:v>
                </c:pt>
                <c:pt idx="50">
                  <c:v>167.30170541274114</c:v>
                </c:pt>
                <c:pt idx="51">
                  <c:v>171.6524854196737</c:v>
                </c:pt>
                <c:pt idx="52">
                  <c:v>176.08466380651561</c:v>
                </c:pt>
                <c:pt idx="53">
                  <c:v>180.60076511919999</c:v>
                </c:pt>
                <c:pt idx="54">
                  <c:v>185.20335005491836</c:v>
                </c:pt>
                <c:pt idx="55">
                  <c:v>189.8950168626956</c:v>
                </c:pt>
                <c:pt idx="56">
                  <c:v>194.32733415847059</c:v>
                </c:pt>
                <c:pt idx="57">
                  <c:v>198.8587421180855</c:v>
                </c:pt>
                <c:pt idx="58">
                  <c:v>203.49161321574942</c:v>
                </c:pt>
                <c:pt idx="59">
                  <c:v>208.22837084662754</c:v>
                </c:pt>
                <c:pt idx="60">
                  <c:v>213.07149062267658</c:v>
                </c:pt>
                <c:pt idx="61">
                  <c:v>217.82402025450082</c:v>
                </c:pt>
                <c:pt idx="62">
                  <c:v>222.69078399969817</c:v>
                </c:pt>
                <c:pt idx="63">
                  <c:v>227.67421491109533</c:v>
                </c:pt>
                <c:pt idx="64">
                  <c:v>232.77680897741277</c:v>
                </c:pt>
                <c:pt idx="65">
                  <c:v>238.00112629759337</c:v>
                </c:pt>
                <c:pt idx="66">
                  <c:v>243.08027379957747</c:v>
                </c:pt>
                <c:pt idx="67">
                  <c:v>248.29025879772541</c:v>
                </c:pt>
                <c:pt idx="68">
                  <c:v>253.63355387621382</c:v>
                </c:pt>
                <c:pt idx="69">
                  <c:v>259.11270866022295</c:v>
                </c:pt>
                <c:pt idx="70">
                  <c:v>264.73035077217565</c:v>
                </c:pt>
                <c:pt idx="71">
                  <c:v>270.39105490368655</c:v>
                </c:pt>
                <c:pt idx="72">
                  <c:v>276.19713191533475</c:v>
                </c:pt>
                <c:pt idx="73">
                  <c:v>282.15134412807737</c:v>
                </c:pt>
                <c:pt idx="74">
                  <c:v>288.25653921415972</c:v>
                </c:pt>
                <c:pt idx="75">
                  <c:v>294.51565127927279</c:v>
                </c:pt>
                <c:pt idx="76">
                  <c:v>300.93170200796453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Dirty capital and stranded dirty capital (USD</a:t>
                </a:r>
                <a:r>
                  <a:rPr lang="en-US" baseline="0"/>
                  <a:t>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0.000</c:formatCode>
                <c:ptCount val="76"/>
                <c:pt idx="0">
                  <c:v>0</c:v>
                </c:pt>
                <c:pt idx="1">
                  <c:v>1.2937512027360272E-2</c:v>
                </c:pt>
                <c:pt idx="2">
                  <c:v>2.2117950356313913E-2</c:v>
                </c:pt>
                <c:pt idx="3">
                  <c:v>2.768096835029504E-2</c:v>
                </c:pt>
                <c:pt idx="4">
                  <c:v>2.9808585654984926E-2</c:v>
                </c:pt>
                <c:pt idx="5">
                  <c:v>2.9124880742516377E-2</c:v>
                </c:pt>
                <c:pt idx="6">
                  <c:v>2.75260421213178E-2</c:v>
                </c:pt>
                <c:pt idx="7">
                  <c:v>2.593168185499484E-2</c:v>
                </c:pt>
                <c:pt idx="8">
                  <c:v>2.4300579066315667E-2</c:v>
                </c:pt>
                <c:pt idx="9">
                  <c:v>2.2772072643044414E-2</c:v>
                </c:pt>
                <c:pt idx="10">
                  <c:v>2.1339709273796921E-2</c:v>
                </c:pt>
                <c:pt idx="11">
                  <c:v>1.9997441560475095E-2</c:v>
                </c:pt>
                <c:pt idx="12">
                  <c:v>1.8739602486321214E-2</c:v>
                </c:pt>
                <c:pt idx="13">
                  <c:v>1.756088148993161E-2</c:v>
                </c:pt>
                <c:pt idx="14">
                  <c:v>1.6456302044214912E-2</c:v>
                </c:pt>
                <c:pt idx="15">
                  <c:v>1.5421200645633794E-2</c:v>
                </c:pt>
                <c:pt idx="16">
                  <c:v>1.445120712502343E-2</c:v>
                </c:pt>
                <c:pt idx="17">
                  <c:v>1.3542226196859457E-2</c:v>
                </c:pt>
                <c:pt idx="18">
                  <c:v>1.2690420169076998E-2</c:v>
                </c:pt>
                <c:pt idx="19">
                  <c:v>1.1892192740442056E-2</c:v>
                </c:pt>
                <c:pt idx="20">
                  <c:v>1.1144173817068252E-2</c:v>
                </c:pt>
                <c:pt idx="21">
                  <c:v>1.0443205283974659E-2</c:v>
                </c:pt>
                <c:pt idx="22">
                  <c:v>9.7863276716126536E-3</c:v>
                </c:pt>
                <c:pt idx="23">
                  <c:v>9.1707676610682173E-3</c:v>
                </c:pt>
                <c:pt idx="24">
                  <c:v>8.5939263751870273E-3</c:v>
                </c:pt>
                <c:pt idx="25">
                  <c:v>8.053368406187764E-3</c:v>
                </c:pt>
                <c:pt idx="26">
                  <c:v>7.5468115334385542E-3</c:v>
                </c:pt>
                <c:pt idx="27">
                  <c:v>7.0721170879852694E-3</c:v>
                </c:pt>
                <c:pt idx="28">
                  <c:v>6.6272809231509959E-3</c:v>
                </c:pt>
                <c:pt idx="29">
                  <c:v>6.2104249530847986E-3</c:v>
                </c:pt>
                <c:pt idx="30">
                  <c:v>5.8197892235357651E-3</c:v>
                </c:pt>
                <c:pt idx="31">
                  <c:v>5.4537244813753659E-3</c:v>
                </c:pt>
                <c:pt idx="32">
                  <c:v>5.1106852114968558E-3</c:v>
                </c:pt>
                <c:pt idx="33">
                  <c:v>4.7892231116937042E-3</c:v>
                </c:pt>
                <c:pt idx="34">
                  <c:v>4.4879809779681708E-3</c:v>
                </c:pt>
                <c:pt idx="35">
                  <c:v>4.2056869744539734E-3</c:v>
                </c:pt>
                <c:pt idx="36">
                  <c:v>3.9411492637608184E-3</c:v>
                </c:pt>
                <c:pt idx="37">
                  <c:v>3.6932509750702632E-3</c:v>
                </c:pt>
                <c:pt idx="38">
                  <c:v>3.4609454887383436E-3</c:v>
                </c:pt>
                <c:pt idx="39">
                  <c:v>3.2432520174967019E-3</c:v>
                </c:pt>
                <c:pt idx="40">
                  <c:v>3.0392514655961595E-3</c:v>
                </c:pt>
                <c:pt idx="41">
                  <c:v>2.8480825484101611E-3</c:v>
                </c:pt>
                <c:pt idx="42">
                  <c:v>2.6689381561151621E-3</c:v>
                </c:pt>
                <c:pt idx="43">
                  <c:v>2.5010619460955185E-3</c:v>
                </c:pt>
                <c:pt idx="44">
                  <c:v>2.3437451496861107E-3</c:v>
                </c:pt>
                <c:pt idx="45">
                  <c:v>2.1963235797708546E-3</c:v>
                </c:pt>
                <c:pt idx="46">
                  <c:v>2.0581748266032679E-3</c:v>
                </c:pt>
                <c:pt idx="47">
                  <c:v>1.9287156300099224E-3</c:v>
                </c:pt>
                <c:pt idx="48">
                  <c:v>1.8073994168822983E-3</c:v>
                </c:pt>
                <c:pt idx="49">
                  <c:v>1.6937139935604018E-3</c:v>
                </c:pt>
                <c:pt idx="50">
                  <c:v>1.5871793833654526E-3</c:v>
                </c:pt>
                <c:pt idx="51">
                  <c:v>1.4873458001517658E-3</c:v>
                </c:pt>
                <c:pt idx="52">
                  <c:v>1.3937917493222199E-3</c:v>
                </c:pt>
                <c:pt idx="53">
                  <c:v>1.3061222482898523E-3</c:v>
                </c:pt>
                <c:pt idx="54">
                  <c:v>1.2239671588724207E-3</c:v>
                </c:pt>
                <c:pt idx="55">
                  <c:v>1.1469796245793455E-3</c:v>
                </c:pt>
                <c:pt idx="56">
                  <c:v>1.0748346061933047E-3</c:v>
                </c:pt>
                <c:pt idx="57">
                  <c:v>1.007227509463746E-3</c:v>
                </c:pt>
                <c:pt idx="58">
                  <c:v>9.438728991184764E-4</c:v>
                </c:pt>
                <c:pt idx="59">
                  <c:v>8.8450329376392424E-4</c:v>
                </c:pt>
                <c:pt idx="60">
                  <c:v>8.288680365861734E-4</c:v>
                </c:pt>
                <c:pt idx="61">
                  <c:v>7.7673223708490317E-4</c:v>
                </c:pt>
                <c:pt idx="62">
                  <c:v>7.2787577937226281E-4</c:v>
                </c:pt>
                <c:pt idx="63">
                  <c:v>6.8209239284974755E-4</c:v>
                </c:pt>
                <c:pt idx="64">
                  <c:v>6.3918878133949848E-4</c:v>
                </c:pt>
                <c:pt idx="65">
                  <c:v>5.9898380699324402E-4</c:v>
                </c:pt>
                <c:pt idx="66">
                  <c:v>5.6130772553336899E-4</c:v>
                </c:pt>
                <c:pt idx="67">
                  <c:v>5.2600146959732013E-4</c:v>
                </c:pt>
                <c:pt idx="68">
                  <c:v>4.9291597715964868E-4</c:v>
                </c:pt>
                <c:pt idx="69">
                  <c:v>4.6191156219630678E-4</c:v>
                </c:pt>
                <c:pt idx="70">
                  <c:v>4.3285732493415909E-4</c:v>
                </c:pt>
                <c:pt idx="71">
                  <c:v>4.0563059919580048E-4</c:v>
                </c:pt>
                <c:pt idx="72">
                  <c:v>3.8011643450638465E-4</c:v>
                </c:pt>
                <c:pt idx="73">
                  <c:v>3.5620711077593306E-4</c:v>
                </c:pt>
                <c:pt idx="74">
                  <c:v>3.3380168350812689E-4</c:v>
                </c:pt>
                <c:pt idx="75">
                  <c:v>3.1280555761546572E-4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0.77010299999999987</c:v>
                </c:pt>
                <c:pt idx="1">
                  <c:v>0.70872600927263962</c:v>
                </c:pt>
                <c:pt idx="2">
                  <c:v>0.65415293545391606</c:v>
                </c:pt>
                <c:pt idx="3">
                  <c:v>0.60605247874247148</c:v>
                </c:pt>
                <c:pt idx="4">
                  <c:v>0.56406302761564664</c:v>
                </c:pt>
                <c:pt idx="5">
                  <c:v>0.52739220805339249</c:v>
                </c:pt>
                <c:pt idx="6">
                  <c:v>0.49398612178932838</c:v>
                </c:pt>
                <c:pt idx="7">
                  <c:v>0.46277736694567173</c:v>
                </c:pt>
                <c:pt idx="8">
                  <c:v>0.43427727369784369</c:v>
                </c:pt>
                <c:pt idx="9">
                  <c:v>0.4082003008741405</c:v>
                </c:pt>
                <c:pt idx="10">
                  <c:v>0.38419108007512265</c:v>
                </c:pt>
                <c:pt idx="11">
                  <c:v>0.36192847288697022</c:v>
                </c:pt>
                <c:pt idx="12">
                  <c:v>0.34111905988234942</c:v>
                </c:pt>
                <c:pt idx="13">
                  <c:v>0.32151165056336245</c:v>
                </c:pt>
                <c:pt idx="14">
                  <c:v>0.30291777370420936</c:v>
                </c:pt>
                <c:pt idx="15">
                  <c:v>0.28519154891077264</c:v>
                </c:pt>
                <c:pt idx="16">
                  <c:v>0.26824949406933141</c:v>
                </c:pt>
                <c:pt idx="17">
                  <c:v>0.25238806907768313</c:v>
                </c:pt>
                <c:pt idx="18">
                  <c:v>0.23750889738058684</c:v>
                </c:pt>
                <c:pt idx="19">
                  <c:v>0.22361383735608717</c:v>
                </c:pt>
                <c:pt idx="20">
                  <c:v>0.21054405499153814</c:v>
                </c:pt>
                <c:pt idx="21">
                  <c:v>0.19838660902202385</c:v>
                </c:pt>
                <c:pt idx="22">
                  <c:v>0.18699351968221395</c:v>
                </c:pt>
                <c:pt idx="23">
                  <c:v>0.17622627951591374</c:v>
                </c:pt>
                <c:pt idx="24">
                  <c:v>0.16613597201241187</c:v>
                </c:pt>
                <c:pt idx="25">
                  <c:v>0.15668000020739026</c:v>
                </c:pt>
                <c:pt idx="26">
                  <c:v>0.14784542831113634</c:v>
                </c:pt>
                <c:pt idx="27">
                  <c:v>0.13953918705030319</c:v>
                </c:pt>
                <c:pt idx="28">
                  <c:v>0.1317550057400397</c:v>
                </c:pt>
                <c:pt idx="29">
                  <c:v>0.12485828845226739</c:v>
                </c:pt>
                <c:pt idx="30">
                  <c:v>0.11839454631201264</c:v>
                </c:pt>
                <c:pt idx="31">
                  <c:v>0.11228798570183411</c:v>
                </c:pt>
                <c:pt idx="32">
                  <c:v>0.10656468317072408</c:v>
                </c:pt>
                <c:pt idx="33">
                  <c:v>0.10113246161758228</c:v>
                </c:pt>
                <c:pt idx="34">
                  <c:v>9.6041092917065612E-2</c:v>
                </c:pt>
                <c:pt idx="35">
                  <c:v>9.1260848436856626E-2</c:v>
                </c:pt>
                <c:pt idx="36">
                  <c:v>8.678039091814764E-2</c:v>
                </c:pt>
                <c:pt idx="37">
                  <c:v>8.2604768441927531E-2</c:v>
                </c:pt>
                <c:pt idx="38">
                  <c:v>7.8690804543073006E-2</c:v>
                </c:pt>
                <c:pt idx="39">
                  <c:v>7.4967247925417299E-2</c:v>
                </c:pt>
                <c:pt idx="40">
                  <c:v>7.1476923366621245E-2</c:v>
                </c:pt>
                <c:pt idx="41">
                  <c:v>6.8049045396242444E-2</c:v>
                </c:pt>
                <c:pt idx="42">
                  <c:v>6.483595209969957E-2</c:v>
                </c:pt>
                <c:pt idx="43">
                  <c:v>6.1824105877863786E-2</c:v>
                </c:pt>
                <c:pt idx="44">
                  <c:v>5.8839747640350729E-2</c:v>
                </c:pt>
                <c:pt idx="45">
                  <c:v>5.6042414156534076E-2</c:v>
                </c:pt>
                <c:pt idx="46">
                  <c:v>5.342031803985469E-2</c:v>
                </c:pt>
                <c:pt idx="47">
                  <c:v>5.0694972553917944E-2</c:v>
                </c:pt>
                <c:pt idx="48">
                  <c:v>4.8140635843830375E-2</c:v>
                </c:pt>
                <c:pt idx="49">
                  <c:v>4.5746534821585395E-2</c:v>
                </c:pt>
                <c:pt idx="50">
                  <c:v>4.3206230463188638E-2</c:v>
                </c:pt>
                <c:pt idx="51">
                  <c:v>4.0627775039260343E-2</c:v>
                </c:pt>
                <c:pt idx="52">
                  <c:v>3.8211475807593341E-2</c:v>
                </c:pt>
                <c:pt idx="53">
                  <c:v>3.5947131435802554E-2</c:v>
                </c:pt>
                <c:pt idx="54">
                  <c:v>3.370806183684847E-2</c:v>
                </c:pt>
                <c:pt idx="55">
                  <c:v>3.1609828819802163E-2</c:v>
                </c:pt>
                <c:pt idx="56">
                  <c:v>2.9643573704818054E-2</c:v>
                </c:pt>
                <c:pt idx="57">
                  <c:v>2.7800995019238783E-2</c:v>
                </c:pt>
                <c:pt idx="58">
                  <c:v>2.6094751755954996E-2</c:v>
                </c:pt>
                <c:pt idx="59">
                  <c:v>2.4495826944867238E-2</c:v>
                </c:pt>
                <c:pt idx="60">
                  <c:v>2.2997469985331236E-2</c:v>
                </c:pt>
                <c:pt idx="61">
                  <c:v>2.1586518103382205E-2</c:v>
                </c:pt>
                <c:pt idx="62">
                  <c:v>2.0253039486957926E-2</c:v>
                </c:pt>
                <c:pt idx="63">
                  <c:v>1.9003434868400775E-2</c:v>
                </c:pt>
                <c:pt idx="64">
                  <c:v>1.7832428456724714E-2</c:v>
                </c:pt>
                <c:pt idx="65">
                  <c:v>1.673507630101688E-2</c:v>
                </c:pt>
                <c:pt idx="66">
                  <c:v>1.5706745417299547E-2</c:v>
                </c:pt>
                <c:pt idx="67">
                  <c:v>1.4736033263080225E-2</c:v>
                </c:pt>
                <c:pt idx="68">
                  <c:v>1.3826377653790987E-2</c:v>
                </c:pt>
                <c:pt idx="69">
                  <c:v>1.29739380521013E-2</c:v>
                </c:pt>
                <c:pt idx="70">
                  <c:v>1.2175115485497573E-2</c:v>
                </c:pt>
                <c:pt idx="71">
                  <c:v>1.1426324196418602E-2</c:v>
                </c:pt>
                <c:pt idx="72">
                  <c:v>1.072514088258362E-2</c:v>
                </c:pt>
                <c:pt idx="73">
                  <c:v>1.0068060235002452E-2</c:v>
                </c:pt>
                <c:pt idx="74">
                  <c:v>9.4523080838971978E-3</c:v>
                </c:pt>
                <c:pt idx="75">
                  <c:v>8.8752847480881476E-3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0.14859104761904762</c:v>
                </c:pt>
                <c:pt idx="1">
                  <c:v>0.16302215633347972</c:v>
                </c:pt>
                <c:pt idx="2">
                  <c:v>0.17880521012298548</c:v>
                </c:pt>
                <c:pt idx="3">
                  <c:v>0.1960263740870001</c:v>
                </c:pt>
                <c:pt idx="4">
                  <c:v>0.21476147181305941</c:v>
                </c:pt>
                <c:pt idx="5">
                  <c:v>0.23507701662954369</c:v>
                </c:pt>
                <c:pt idx="6">
                  <c:v>0.25702809684168021</c:v>
                </c:pt>
                <c:pt idx="7">
                  <c:v>0.28065600271347663</c:v>
                </c:pt>
                <c:pt idx="8">
                  <c:v>0.30598427229658731</c:v>
                </c:pt>
                <c:pt idx="9">
                  <c:v>0.33301623483424297</c:v>
                </c:pt>
                <c:pt idx="10">
                  <c:v>0.36173103744795337</c:v>
                </c:pt>
                <c:pt idx="11">
                  <c:v>0.39208150966730254</c:v>
                </c:pt>
                <c:pt idx="12">
                  <c:v>0.42399178374670954</c:v>
                </c:pt>
                <c:pt idx="13">
                  <c:v>0.45735357641661745</c:v>
                </c:pt>
                <c:pt idx="14">
                  <c:v>0.49202516170441724</c:v>
                </c:pt>
                <c:pt idx="15">
                  <c:v>0.52781551082661393</c:v>
                </c:pt>
                <c:pt idx="16">
                  <c:v>0.56440745296216321</c:v>
                </c:pt>
                <c:pt idx="17">
                  <c:v>0.60090466840458046</c:v>
                </c:pt>
                <c:pt idx="18">
                  <c:v>0.63685678149464109</c:v>
                </c:pt>
                <c:pt idx="19">
                  <c:v>0.67208312327938413</c:v>
                </c:pt>
                <c:pt idx="20">
                  <c:v>0.70630787198891165</c:v>
                </c:pt>
                <c:pt idx="21">
                  <c:v>0.73936304745704873</c:v>
                </c:pt>
                <c:pt idx="22">
                  <c:v>0.77083587688820121</c:v>
                </c:pt>
                <c:pt idx="23">
                  <c:v>0.8006907378151974</c:v>
                </c:pt>
                <c:pt idx="24">
                  <c:v>0.8290465975013126</c:v>
                </c:pt>
                <c:pt idx="25">
                  <c:v>0.85594583500190058</c:v>
                </c:pt>
                <c:pt idx="26">
                  <c:v>0.88158790990946356</c:v>
                </c:pt>
                <c:pt idx="27">
                  <c:v>0.90591717143691408</c:v>
                </c:pt>
                <c:pt idx="28">
                  <c:v>0.92895583488524347</c:v>
                </c:pt>
                <c:pt idx="29">
                  <c:v>0.95060144939912783</c:v>
                </c:pt>
                <c:pt idx="30">
                  <c:v>0.97107758165603342</c:v>
                </c:pt>
                <c:pt idx="31">
                  <c:v>0.99065865324943214</c:v>
                </c:pt>
                <c:pt idx="32">
                  <c:v>1.009168499951034</c:v>
                </c:pt>
                <c:pt idx="33">
                  <c:v>1.0267094236889092</c:v>
                </c:pt>
                <c:pt idx="34">
                  <c:v>1.0432806336678389</c:v>
                </c:pt>
                <c:pt idx="35">
                  <c:v>1.0591109016782101</c:v>
                </c:pt>
                <c:pt idx="36">
                  <c:v>1.0740590659594453</c:v>
                </c:pt>
                <c:pt idx="37">
                  <c:v>1.088427032341106</c:v>
                </c:pt>
                <c:pt idx="38">
                  <c:v>1.1019893978122124</c:v>
                </c:pt>
                <c:pt idx="39">
                  <c:v>1.1153694849751308</c:v>
                </c:pt>
                <c:pt idx="40">
                  <c:v>1.1279962468738491</c:v>
                </c:pt>
                <c:pt idx="41">
                  <c:v>1.1405218976397997</c:v>
                </c:pt>
                <c:pt idx="42">
                  <c:v>1.1523399262535319</c:v>
                </c:pt>
                <c:pt idx="43">
                  <c:v>1.1634887096428039</c:v>
                </c:pt>
                <c:pt idx="44">
                  <c:v>1.1745761812424433</c:v>
                </c:pt>
                <c:pt idx="45">
                  <c:v>1.1850341175380574</c:v>
                </c:pt>
                <c:pt idx="46">
                  <c:v>1.1948970990592829</c:v>
                </c:pt>
                <c:pt idx="47">
                  <c:v>1.2044741943105206</c:v>
                </c:pt>
                <c:pt idx="48">
                  <c:v>1.2135049519492258</c:v>
                </c:pt>
                <c:pt idx="49">
                  <c:v>1.2220197278926959</c:v>
                </c:pt>
                <c:pt idx="50">
                  <c:v>1.2305508758814867</c:v>
                </c:pt>
                <c:pt idx="51">
                  <c:v>1.2389171450349163</c:v>
                </c:pt>
                <c:pt idx="52">
                  <c:v>1.2468043945798504</c:v>
                </c:pt>
                <c:pt idx="53">
                  <c:v>1.2542394709857521</c:v>
                </c:pt>
                <c:pt idx="54">
                  <c:v>1.2613823578569194</c:v>
                </c:pt>
                <c:pt idx="55">
                  <c:v>1.2681149377450731</c:v>
                </c:pt>
                <c:pt idx="56">
                  <c:v>1.2744603777891841</c:v>
                </c:pt>
                <c:pt idx="57">
                  <c:v>1.2804405880206373</c:v>
                </c:pt>
                <c:pt idx="58">
                  <c:v>1.2861675102813166</c:v>
                </c:pt>
                <c:pt idx="59">
                  <c:v>1.2915643019865577</c:v>
                </c:pt>
                <c:pt idx="60">
                  <c:v>1.2966497493974907</c:v>
                </c:pt>
                <c:pt idx="61">
                  <c:v>1.3013355723384417</c:v>
                </c:pt>
                <c:pt idx="62">
                  <c:v>1.3056305605430447</c:v>
                </c:pt>
                <c:pt idx="63">
                  <c:v>1.3096771452591036</c:v>
                </c:pt>
                <c:pt idx="64">
                  <c:v>1.313489562541581</c:v>
                </c:pt>
                <c:pt idx="65">
                  <c:v>1.3170812483863907</c:v>
                </c:pt>
                <c:pt idx="66">
                  <c:v>1.3204648817132707</c:v>
                </c:pt>
                <c:pt idx="67">
                  <c:v>1.3234973170284923</c:v>
                </c:pt>
                <c:pt idx="68">
                  <c:v>1.3263538846182246</c:v>
                </c:pt>
                <c:pt idx="69">
                  <c:v>1.3290447218223287</c:v>
                </c:pt>
                <c:pt idx="70">
                  <c:v>1.3315793890331706</c:v>
                </c:pt>
                <c:pt idx="71">
                  <c:v>1.3339831646529139</c:v>
                </c:pt>
                <c:pt idx="72">
                  <c:v>1.3362468154716622</c:v>
                </c:pt>
                <c:pt idx="73">
                  <c:v>1.3383789715759986</c:v>
                </c:pt>
                <c:pt idx="74">
                  <c:v>1.3403872377632888</c:v>
                </c:pt>
                <c:pt idx="75">
                  <c:v>1.3422787829716574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  <a:endParaRPr lang="en-US" baseline="0"/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'6states'!$AG$4:$AG$79</c:f>
              <c:numCache>
                <c:formatCode>0.0</c:formatCode>
                <c:ptCount val="76"/>
                <c:pt idx="0">
                  <c:v>100</c:v>
                </c:pt>
                <c:pt idx="1">
                  <c:v>97.199678369159869</c:v>
                </c:pt>
                <c:pt idx="2">
                  <c:v>94.853536916807741</c:v>
                </c:pt>
                <c:pt idx="3">
                  <c:v>92.979266403387669</c:v>
                </c:pt>
                <c:pt idx="4">
                  <c:v>91.609674242385239</c:v>
                </c:pt>
                <c:pt idx="5">
                  <c:v>90.723531433051065</c:v>
                </c:pt>
                <c:pt idx="6">
                  <c:v>90.114546793746428</c:v>
                </c:pt>
                <c:pt idx="7">
                  <c:v>89.675819974193132</c:v>
                </c:pt>
                <c:pt idx="8">
                  <c:v>89.512712598448402</c:v>
                </c:pt>
                <c:pt idx="9">
                  <c:v>89.620039607172302</c:v>
                </c:pt>
                <c:pt idx="10">
                  <c:v>89.975710528323347</c:v>
                </c:pt>
                <c:pt idx="11">
                  <c:v>90.555471430532791</c:v>
                </c:pt>
                <c:pt idx="12">
                  <c:v>91.332148317911603</c:v>
                </c:pt>
                <c:pt idx="13">
                  <c:v>92.278337022238077</c:v>
                </c:pt>
                <c:pt idx="14">
                  <c:v>93.371036777445539</c:v>
                </c:pt>
                <c:pt idx="15">
                  <c:v>94.588266908407931</c:v>
                </c:pt>
                <c:pt idx="16">
                  <c:v>95.908881645091199</c:v>
                </c:pt>
                <c:pt idx="17">
                  <c:v>97.350870648856315</c:v>
                </c:pt>
                <c:pt idx="18">
                  <c:v>98.885933844748749</c:v>
                </c:pt>
                <c:pt idx="19">
                  <c:v>100.52414974422474</c:v>
                </c:pt>
                <c:pt idx="20">
                  <c:v>102.2305238684293</c:v>
                </c:pt>
                <c:pt idx="21">
                  <c:v>104.0325543249963</c:v>
                </c:pt>
                <c:pt idx="22">
                  <c:v>105.88257929000424</c:v>
                </c:pt>
                <c:pt idx="23">
                  <c:v>107.75591373643967</c:v>
                </c:pt>
                <c:pt idx="24">
                  <c:v>109.68612024643403</c:v>
                </c:pt>
                <c:pt idx="25">
                  <c:v>111.67663614007557</c:v>
                </c:pt>
                <c:pt idx="26">
                  <c:v>113.75021579700527</c:v>
                </c:pt>
                <c:pt idx="27">
                  <c:v>115.88596086795613</c:v>
                </c:pt>
                <c:pt idx="28">
                  <c:v>118.09277002470759</c:v>
                </c:pt>
                <c:pt idx="29">
                  <c:v>120.49219493124205</c:v>
                </c:pt>
                <c:pt idx="30">
                  <c:v>122.96877960782378</c:v>
                </c:pt>
                <c:pt idx="31">
                  <c:v>125.52624897675734</c:v>
                </c:pt>
                <c:pt idx="32">
                  <c:v>128.16571003517964</c:v>
                </c:pt>
                <c:pt idx="33">
                  <c:v>130.8682394034274</c:v>
                </c:pt>
                <c:pt idx="34">
                  <c:v>133.65733137507024</c:v>
                </c:pt>
                <c:pt idx="35">
                  <c:v>136.54808449872874</c:v>
                </c:pt>
                <c:pt idx="36">
                  <c:v>139.52947714249683</c:v>
                </c:pt>
                <c:pt idx="37">
                  <c:v>142.63797834746129</c:v>
                </c:pt>
                <c:pt idx="38">
                  <c:v>145.84085410721113</c:v>
                </c:pt>
                <c:pt idx="39">
                  <c:v>149.17296540706059</c:v>
                </c:pt>
                <c:pt idx="40">
                  <c:v>152.6030088023835</c:v>
                </c:pt>
                <c:pt idx="41">
                  <c:v>156.12173313282455</c:v>
                </c:pt>
                <c:pt idx="42">
                  <c:v>159.74229090635953</c:v>
                </c:pt>
                <c:pt idx="43">
                  <c:v>163.46667787720861</c:v>
                </c:pt>
                <c:pt idx="44">
                  <c:v>167.27630533796412</c:v>
                </c:pt>
                <c:pt idx="45">
                  <c:v>171.19387580083267</c:v>
                </c:pt>
                <c:pt idx="46">
                  <c:v>175.22143967110526</c:v>
                </c:pt>
                <c:pt idx="47">
                  <c:v>179.24125872981818</c:v>
                </c:pt>
                <c:pt idx="48">
                  <c:v>183.37616470798932</c:v>
                </c:pt>
                <c:pt idx="49">
                  <c:v>187.62826246587957</c:v>
                </c:pt>
                <c:pt idx="50">
                  <c:v>191.87958258625736</c:v>
                </c:pt>
                <c:pt idx="51">
                  <c:v>196.16856383282598</c:v>
                </c:pt>
                <c:pt idx="52">
                  <c:v>200.58237170601078</c:v>
                </c:pt>
                <c:pt idx="53">
                  <c:v>205.12326073577097</c:v>
                </c:pt>
                <c:pt idx="54">
                  <c:v>209.73010085745557</c:v>
                </c:pt>
                <c:pt idx="55">
                  <c:v>214.46890413134003</c:v>
                </c:pt>
                <c:pt idx="56">
                  <c:v>219.34203696547416</c:v>
                </c:pt>
                <c:pt idx="57">
                  <c:v>224.35191336649979</c:v>
                </c:pt>
                <c:pt idx="58">
                  <c:v>229.53145704821702</c:v>
                </c:pt>
                <c:pt idx="59">
                  <c:v>234.85249047963885</c:v>
                </c:pt>
                <c:pt idx="60">
                  <c:v>240.31761032182698</c:v>
                </c:pt>
                <c:pt idx="61">
                  <c:v>245.90575503768713</c:v>
                </c:pt>
                <c:pt idx="62">
                  <c:v>251.61289634732188</c:v>
                </c:pt>
                <c:pt idx="63">
                  <c:v>257.47276897888065</c:v>
                </c:pt>
                <c:pt idx="64">
                  <c:v>263.4881897538466</c:v>
                </c:pt>
                <c:pt idx="65">
                  <c:v>269.66204838832681</c:v>
                </c:pt>
                <c:pt idx="66">
                  <c:v>275.99731005983909</c:v>
                </c:pt>
                <c:pt idx="67">
                  <c:v>282.45966923577373</c:v>
                </c:pt>
                <c:pt idx="68">
                  <c:v>289.08997093540665</c:v>
                </c:pt>
                <c:pt idx="69">
                  <c:v>295.89139186145263</c:v>
                </c:pt>
                <c:pt idx="70">
                  <c:v>302.86719467484744</c:v>
                </c:pt>
                <c:pt idx="71">
                  <c:v>310.02397150811277</c:v>
                </c:pt>
                <c:pt idx="72">
                  <c:v>317.3623690330478</c:v>
                </c:pt>
                <c:pt idx="73">
                  <c:v>324.88544045896981</c:v>
                </c:pt>
                <c:pt idx="74">
                  <c:v>332.5968193071771</c:v>
                </c:pt>
                <c:pt idx="75">
                  <c:v>340.50023702676941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(2024</a:t>
                </a:r>
                <a:r>
                  <a:rPr lang="en-US" baseline="0"/>
                  <a:t>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'6states'!$AH$4:$AH$79</c:f>
              <c:numCache>
                <c:formatCode>0.0</c:formatCode>
                <c:ptCount val="76"/>
                <c:pt idx="0">
                  <c:v>110.97999999999999</c:v>
                </c:pt>
                <c:pt idx="1">
                  <c:v>112.84821929453264</c:v>
                </c:pt>
                <c:pt idx="2">
                  <c:v>114.74071860030642</c:v>
                </c:pt>
                <c:pt idx="3">
                  <c:v>116.66564622809707</c:v>
                </c:pt>
                <c:pt idx="4">
                  <c:v>118.63805070957454</c:v>
                </c:pt>
                <c:pt idx="5">
                  <c:v>120.6711569769587</c:v>
                </c:pt>
                <c:pt idx="6">
                  <c:v>122.75559719826417</c:v>
                </c:pt>
                <c:pt idx="7">
                  <c:v>124.88729281963431</c:v>
                </c:pt>
                <c:pt idx="8">
                  <c:v>127.08709334906366</c:v>
                </c:pt>
                <c:pt idx="9">
                  <c:v>129.36173178182815</c:v>
                </c:pt>
                <c:pt idx="10">
                  <c:v>131.71412146609123</c:v>
                </c:pt>
                <c:pt idx="11">
                  <c:v>134.14583360644011</c:v>
                </c:pt>
                <c:pt idx="12">
                  <c:v>136.65769586764736</c:v>
                </c:pt>
                <c:pt idx="13">
                  <c:v>139.25048332973921</c:v>
                </c:pt>
                <c:pt idx="14">
                  <c:v>141.92563261266889</c:v>
                </c:pt>
                <c:pt idx="15">
                  <c:v>144.6846220534747</c:v>
                </c:pt>
                <c:pt idx="16">
                  <c:v>147.52844300901054</c:v>
                </c:pt>
                <c:pt idx="17">
                  <c:v>150.46034795842169</c:v>
                </c:pt>
                <c:pt idx="18">
                  <c:v>153.47983880857308</c:v>
                </c:pt>
                <c:pt idx="19">
                  <c:v>156.59317172442366</c:v>
                </c:pt>
                <c:pt idx="20">
                  <c:v>159.79930662556896</c:v>
                </c:pt>
                <c:pt idx="21">
                  <c:v>163.10395207654068</c:v>
                </c:pt>
                <c:pt idx="22">
                  <c:v>166.49369720790943</c:v>
                </c:pt>
                <c:pt idx="23">
                  <c:v>169.97923758618739</c:v>
                </c:pt>
                <c:pt idx="24">
                  <c:v>173.55445331211499</c:v>
                </c:pt>
                <c:pt idx="25">
                  <c:v>177.23180146966149</c:v>
                </c:pt>
                <c:pt idx="26">
                  <c:v>181.00806061035169</c:v>
                </c:pt>
                <c:pt idx="27">
                  <c:v>184.88356952669682</c:v>
                </c:pt>
                <c:pt idx="28">
                  <c:v>188.8577645766041</c:v>
                </c:pt>
                <c:pt idx="29">
                  <c:v>192.95953518560717</c:v>
                </c:pt>
                <c:pt idx="30">
                  <c:v>197.16444267843005</c:v>
                </c:pt>
                <c:pt idx="31">
                  <c:v>201.47849657130638</c:v>
                </c:pt>
                <c:pt idx="32">
                  <c:v>205.90029475048473</c:v>
                </c:pt>
                <c:pt idx="33">
                  <c:v>210.44230294506409</c:v>
                </c:pt>
                <c:pt idx="34">
                  <c:v>215.09673927893519</c:v>
                </c:pt>
                <c:pt idx="35">
                  <c:v>219.88003140245823</c:v>
                </c:pt>
                <c:pt idx="36">
                  <c:v>224.78053618481135</c:v>
                </c:pt>
                <c:pt idx="37">
                  <c:v>229.8140596633495</c:v>
                </c:pt>
                <c:pt idx="38">
                  <c:v>234.96974894454647</c:v>
                </c:pt>
                <c:pt idx="39">
                  <c:v>240.25936812878342</c:v>
                </c:pt>
                <c:pt idx="40">
                  <c:v>245.67636565659691</c:v>
                </c:pt>
                <c:pt idx="41">
                  <c:v>251.21572435687492</c:v>
                </c:pt>
                <c:pt idx="42">
                  <c:v>256.88816006733327</c:v>
                </c:pt>
                <c:pt idx="43">
                  <c:v>262.69653108429787</c:v>
                </c:pt>
                <c:pt idx="44">
                  <c:v>268.64294559300851</c:v>
                </c:pt>
                <c:pt idx="45">
                  <c:v>274.73133535795489</c:v>
                </c:pt>
                <c:pt idx="46">
                  <c:v>280.96476065582539</c:v>
                </c:pt>
                <c:pt idx="47">
                  <c:v>287.32528684845641</c:v>
                </c:pt>
                <c:pt idx="48">
                  <c:v>293.83770369196054</c:v>
                </c:pt>
                <c:pt idx="49">
                  <c:v>300.50529391846408</c:v>
                </c:pt>
                <c:pt idx="50">
                  <c:v>307.30940978871428</c:v>
                </c:pt>
                <c:pt idx="51">
                  <c:v>314.26590086154096</c:v>
                </c:pt>
                <c:pt idx="52">
                  <c:v>321.38863792045981</c:v>
                </c:pt>
                <c:pt idx="53">
                  <c:v>328.68125263265227</c:v>
                </c:pt>
                <c:pt idx="54">
                  <c:v>336.14711313209261</c:v>
                </c:pt>
                <c:pt idx="55">
                  <c:v>343.79041610896797</c:v>
                </c:pt>
                <c:pt idx="56">
                  <c:v>351.61506616129662</c:v>
                </c:pt>
                <c:pt idx="57">
                  <c:v>359.62505487727213</c:v>
                </c:pt>
                <c:pt idx="58">
                  <c:v>367.85771551944913</c:v>
                </c:pt>
                <c:pt idx="59">
                  <c:v>376.28353228138872</c:v>
                </c:pt>
                <c:pt idx="60">
                  <c:v>384.90681099619235</c:v>
                </c:pt>
                <c:pt idx="61">
                  <c:v>393.72565831890165</c:v>
                </c:pt>
                <c:pt idx="62">
                  <c:v>402.742338068263</c:v>
                </c:pt>
                <c:pt idx="63">
                  <c:v>411.97019795958312</c:v>
                </c:pt>
                <c:pt idx="64">
                  <c:v>421.41394069602399</c:v>
                </c:pt>
                <c:pt idx="65">
                  <c:v>431.07837753516333</c:v>
                </c:pt>
                <c:pt idx="66">
                  <c:v>440.96843127289947</c:v>
                </c:pt>
                <c:pt idx="67">
                  <c:v>451.08564701725953</c:v>
                </c:pt>
                <c:pt idx="68">
                  <c:v>461.43873862670557</c:v>
                </c:pt>
                <c:pt idx="69">
                  <c:v>472.03298227548402</c:v>
                </c:pt>
                <c:pt idx="70">
                  <c:v>482.87377737559012</c:v>
                </c:pt>
                <c:pt idx="71">
                  <c:v>493.97589103497165</c:v>
                </c:pt>
                <c:pt idx="72">
                  <c:v>505.35077970125309</c:v>
                </c:pt>
                <c:pt idx="73">
                  <c:v>516.98889808527429</c:v>
                </c:pt>
                <c:pt idx="74">
                  <c:v>528.8961975901907</c:v>
                </c:pt>
                <c:pt idx="75">
                  <c:v>541.07876774564136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90.47599583823785</c:v>
                </c:pt>
                <c:pt idx="1">
                  <c:v>91.968802676470105</c:v>
                </c:pt>
                <c:pt idx="2">
                  <c:v>93.485017803725412</c:v>
                </c:pt>
                <c:pt idx="3">
                  <c:v>94.99336568136242</c:v>
                </c:pt>
                <c:pt idx="4">
                  <c:v>96.468881412423144</c:v>
                </c:pt>
                <c:pt idx="5">
                  <c:v>97.968309081515571</c:v>
                </c:pt>
                <c:pt idx="6">
                  <c:v>99.484679584659105</c:v>
                </c:pt>
                <c:pt idx="7">
                  <c:v>100.96360148758964</c:v>
                </c:pt>
                <c:pt idx="8">
                  <c:v>102.46733300819301</c:v>
                </c:pt>
                <c:pt idx="9">
                  <c:v>104.01592622124645</c:v>
                </c:pt>
                <c:pt idx="10">
                  <c:v>105.6123674033758</c:v>
                </c:pt>
                <c:pt idx="11">
                  <c:v>107.24996468992528</c:v>
                </c:pt>
                <c:pt idx="12">
                  <c:v>108.91971021299956</c:v>
                </c:pt>
                <c:pt idx="13">
                  <c:v>110.61548370532465</c:v>
                </c:pt>
                <c:pt idx="14">
                  <c:v>112.34036819330305</c:v>
                </c:pt>
                <c:pt idx="15">
                  <c:v>114.1181240703277</c:v>
                </c:pt>
                <c:pt idx="16">
                  <c:v>116.07375416518471</c:v>
                </c:pt>
                <c:pt idx="17">
                  <c:v>118.11862311823343</c:v>
                </c:pt>
                <c:pt idx="18">
                  <c:v>120.20044986706739</c:v>
                </c:pt>
                <c:pt idx="19">
                  <c:v>122.35437072462113</c:v>
                </c:pt>
                <c:pt idx="20">
                  <c:v>124.59722142520064</c:v>
                </c:pt>
                <c:pt idx="21">
                  <c:v>127.09369740414229</c:v>
                </c:pt>
                <c:pt idx="22">
                  <c:v>129.48854976129465</c:v>
                </c:pt>
                <c:pt idx="23">
                  <c:v>132.12452596449327</c:v>
                </c:pt>
                <c:pt idx="24">
                  <c:v>134.68623944506885</c:v>
                </c:pt>
                <c:pt idx="25">
                  <c:v>137.42137405282298</c:v>
                </c:pt>
                <c:pt idx="26">
                  <c:v>140.22742107209987</c:v>
                </c:pt>
                <c:pt idx="27">
                  <c:v>143.16668806592583</c:v>
                </c:pt>
                <c:pt idx="28">
                  <c:v>146.07017881172754</c:v>
                </c:pt>
                <c:pt idx="29">
                  <c:v>149.18963202674061</c:v>
                </c:pt>
                <c:pt idx="30">
                  <c:v>152.30614332646655</c:v>
                </c:pt>
                <c:pt idx="31">
                  <c:v>155.5903403828205</c:v>
                </c:pt>
                <c:pt idx="32">
                  <c:v>158.76827429484206</c:v>
                </c:pt>
                <c:pt idx="33">
                  <c:v>162.22822556380078</c:v>
                </c:pt>
                <c:pt idx="34">
                  <c:v>165.5767696888297</c:v>
                </c:pt>
                <c:pt idx="35">
                  <c:v>169.22318235050307</c:v>
                </c:pt>
                <c:pt idx="36">
                  <c:v>172.79911316017999</c:v>
                </c:pt>
                <c:pt idx="37">
                  <c:v>176.63924712891867</c:v>
                </c:pt>
                <c:pt idx="38">
                  <c:v>180.40527537662706</c:v>
                </c:pt>
                <c:pt idx="39">
                  <c:v>184.44220337669177</c:v>
                </c:pt>
                <c:pt idx="40">
                  <c:v>188.54562511285852</c:v>
                </c:pt>
                <c:pt idx="41">
                  <c:v>192.77337627173338</c:v>
                </c:pt>
                <c:pt idx="42">
                  <c:v>197.10409255485305</c:v>
                </c:pt>
                <c:pt idx="43">
                  <c:v>201.39534933243897</c:v>
                </c:pt>
                <c:pt idx="44">
                  <c:v>205.93441131049047</c:v>
                </c:pt>
                <c:pt idx="45">
                  <c:v>210.5831385453788</c:v>
                </c:pt>
                <c:pt idx="46">
                  <c:v>215.34788448165094</c:v>
                </c:pt>
                <c:pt idx="47">
                  <c:v>220.20197843107528</c:v>
                </c:pt>
                <c:pt idx="48">
                  <c:v>225.17337835993311</c:v>
                </c:pt>
                <c:pt idx="49">
                  <c:v>230.2227504148446</c:v>
                </c:pt>
                <c:pt idx="50">
                  <c:v>235.31561569210714</c:v>
                </c:pt>
                <c:pt idx="51">
                  <c:v>240.61927324006388</c:v>
                </c:pt>
                <c:pt idx="52">
                  <c:v>246.05123102204894</c:v>
                </c:pt>
                <c:pt idx="53">
                  <c:v>251.46714992739419</c:v>
                </c:pt>
                <c:pt idx="54">
                  <c:v>257.16032905692725</c:v>
                </c:pt>
                <c:pt idx="55">
                  <c:v>262.99025344500501</c:v>
                </c:pt>
                <c:pt idx="56">
                  <c:v>268.95989336289438</c:v>
                </c:pt>
                <c:pt idx="57">
                  <c:v>274.65557272029668</c:v>
                </c:pt>
                <c:pt idx="58">
                  <c:v>280.93750399111389</c:v>
                </c:pt>
                <c:pt idx="59">
                  <c:v>287.36780653678596</c:v>
                </c:pt>
                <c:pt idx="60">
                  <c:v>294.02300829685129</c:v>
                </c:pt>
                <c:pt idx="61">
                  <c:v>300.8521560541098</c:v>
                </c:pt>
                <c:pt idx="62">
                  <c:v>307.73664593847604</c:v>
                </c:pt>
                <c:pt idx="63">
                  <c:v>314.78336514988058</c:v>
                </c:pt>
                <c:pt idx="64">
                  <c:v>321.99589257867621</c:v>
                </c:pt>
                <c:pt idx="65">
                  <c:v>329.37788986913756</c:v>
                </c:pt>
                <c:pt idx="66">
                  <c:v>336.96604240287888</c:v>
                </c:pt>
                <c:pt idx="67">
                  <c:v>344.695571303561</c:v>
                </c:pt>
                <c:pt idx="68">
                  <c:v>352.60615955477198</c:v>
                </c:pt>
                <c:pt idx="69">
                  <c:v>360.70182485321698</c:v>
                </c:pt>
                <c:pt idx="70">
                  <c:v>368.8629755969331</c:v>
                </c:pt>
                <c:pt idx="71">
                  <c:v>377.14649279413732</c:v>
                </c:pt>
                <c:pt idx="72">
                  <c:v>385.83921213560569</c:v>
                </c:pt>
                <c:pt idx="73">
                  <c:v>394.7335839514547</c:v>
                </c:pt>
                <c:pt idx="74">
                  <c:v>403.83414595448693</c:v>
                </c:pt>
                <c:pt idx="75">
                  <c:v>413.14554152848513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4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zoomScale="11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4404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TZS\Dropbox\Frank\Stranded%20assets\Old%20Excel%20versions\excell%20version%20of%20model12%20181225.xlsx" TargetMode="External"/><Relationship Id="rId1" Type="http://schemas.openxmlformats.org/officeDocument/2006/relationships/externalLinkPath" Target="Old%20Excel%20versions/excell%20version%20of%20model12%2018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g_psi"/>
      <sheetName val="6states"/>
      <sheetName val="6states,ExoDamages"/>
      <sheetName val="Graphs"/>
      <sheetName val="Emissions"/>
      <sheetName val="Temperature"/>
      <sheetName val="SCC"/>
      <sheetName val="Energy capital"/>
      <sheetName val="Energy capital per AL"/>
      <sheetName val="Final energy"/>
      <sheetName val="Growth"/>
      <sheetName val="Optimal (default)"/>
      <sheetName val="Optimal (chi=chi_s=0)"/>
      <sheetName val="Optimal (2xchi, 3xchi_s)"/>
      <sheetName val="Optimal (0.5xgamma)"/>
      <sheetName val="Optimal (2xgamma)"/>
      <sheetName val="Optimal (omega=1)"/>
      <sheetName val="Optimal (omega=0)"/>
      <sheetName val="Optimal (sigma_f=1.01)"/>
      <sheetName val="Optimal (no TC)"/>
      <sheetName val="Emissions (optimal)"/>
      <sheetName val="Temperature (optimal)"/>
      <sheetName val="SCC (optimal)"/>
      <sheetName val="Energy capital (optimal)"/>
      <sheetName val="Energy capital per AL (optimal)"/>
      <sheetName val="Final energy (optimal)"/>
      <sheetName val="Growth (optimal)"/>
    </sheetNames>
    <sheetDataSet>
      <sheetData sheetId="0" refreshError="1"/>
      <sheetData sheetId="1" refreshError="1"/>
      <sheetData sheetId="2">
        <row r="4">
          <cell r="K4">
            <v>4.3661700735228628</v>
          </cell>
        </row>
        <row r="5">
          <cell r="K5">
            <v>5.2558260515640729</v>
          </cell>
        </row>
        <row r="6">
          <cell r="K6">
            <v>6.3153868958549664</v>
          </cell>
        </row>
        <row r="7">
          <cell r="K7">
            <v>7.5714122602396712</v>
          </cell>
        </row>
        <row r="8">
          <cell r="K8">
            <v>9.0503208868173761</v>
          </cell>
        </row>
        <row r="9">
          <cell r="K9">
            <v>10.771536410966055</v>
          </cell>
        </row>
        <row r="10">
          <cell r="K10">
            <v>12.742278521170114</v>
          </cell>
        </row>
        <row r="11">
          <cell r="K11">
            <v>14.95882150753137</v>
          </cell>
        </row>
        <row r="12">
          <cell r="K12">
            <v>17.411234067674933</v>
          </cell>
        </row>
        <row r="13">
          <cell r="K13">
            <v>20.087368198446619</v>
          </cell>
        </row>
        <row r="14">
          <cell r="K14">
            <v>22.973298094707484</v>
          </cell>
        </row>
        <row r="15">
          <cell r="K15">
            <v>26.051007231309743</v>
          </cell>
        </row>
        <row r="16">
          <cell r="K16">
            <v>29.294566149573303</v>
          </cell>
        </row>
        <row r="17">
          <cell r="K17">
            <v>32.666401257209102</v>
          </cell>
        </row>
        <row r="18">
          <cell r="K18">
            <v>36.114251728594375</v>
          </cell>
        </row>
        <row r="19">
          <cell r="K19">
            <v>39.571282164675836</v>
          </cell>
        </row>
        <row r="20">
          <cell r="K20">
            <v>42.965299267298462</v>
          </cell>
        </row>
        <row r="21">
          <cell r="K21">
            <v>46.239864898950749</v>
          </cell>
        </row>
        <row r="22">
          <cell r="K22">
            <v>49.388607931813119</v>
          </cell>
        </row>
        <row r="23">
          <cell r="K23">
            <v>52.50220220393085</v>
          </cell>
        </row>
        <row r="24">
          <cell r="K24">
            <v>55.696000873440191</v>
          </cell>
        </row>
        <row r="25">
          <cell r="K25">
            <v>59.462673174103841</v>
          </cell>
        </row>
        <row r="26">
          <cell r="K26">
            <v>63.248719507968296</v>
          </cell>
        </row>
        <row r="27">
          <cell r="K27">
            <v>66.663906869348523</v>
          </cell>
        </row>
        <row r="28">
          <cell r="K28">
            <v>70.097364631079358</v>
          </cell>
        </row>
        <row r="29">
          <cell r="K29">
            <v>73.52015179885106</v>
          </cell>
        </row>
        <row r="30">
          <cell r="K30">
            <v>76.963752658857629</v>
          </cell>
        </row>
        <row r="31">
          <cell r="K31">
            <v>80.395077613752491</v>
          </cell>
        </row>
        <row r="32">
          <cell r="K32">
            <v>83.850599210081313</v>
          </cell>
        </row>
        <row r="33">
          <cell r="K33">
            <v>87.249700022196208</v>
          </cell>
        </row>
        <row r="34">
          <cell r="K34">
            <v>90.677257754836262</v>
          </cell>
        </row>
        <row r="35">
          <cell r="K35">
            <v>94.071991957785116</v>
          </cell>
        </row>
        <row r="36">
          <cell r="K36">
            <v>97.499698299321935</v>
          </cell>
        </row>
        <row r="37">
          <cell r="K37">
            <v>100.91534029578166</v>
          </cell>
        </row>
        <row r="38">
          <cell r="K38">
            <v>104.36854713187476</v>
          </cell>
        </row>
        <row r="39">
          <cell r="K39">
            <v>107.8483132253872</v>
          </cell>
        </row>
        <row r="40">
          <cell r="K40">
            <v>111.37002789445258</v>
          </cell>
        </row>
        <row r="41">
          <cell r="K41">
            <v>114.93477422562239</v>
          </cell>
        </row>
        <row r="42">
          <cell r="K42">
            <v>118.54583249105583</v>
          </cell>
        </row>
        <row r="43">
          <cell r="K43">
            <v>122.28770169721211</v>
          </cell>
        </row>
        <row r="44">
          <cell r="K44">
            <v>126.07943316887079</v>
          </cell>
        </row>
        <row r="45">
          <cell r="K45">
            <v>129.92334901276601</v>
          </cell>
        </row>
        <row r="46">
          <cell r="K46">
            <v>133.86208302882886</v>
          </cell>
        </row>
        <row r="47">
          <cell r="K47">
            <v>137.85726453573622</v>
          </cell>
        </row>
        <row r="48">
          <cell r="K48">
            <v>141.91132291520935</v>
          </cell>
        </row>
        <row r="49">
          <cell r="K49">
            <v>146.01480765442997</v>
          </cell>
        </row>
        <row r="50">
          <cell r="K50">
            <v>150.18224761257994</v>
          </cell>
        </row>
        <row r="51">
          <cell r="K51">
            <v>154.41614243592667</v>
          </cell>
        </row>
        <row r="52">
          <cell r="K52">
            <v>158.637958072034</v>
          </cell>
        </row>
        <row r="53">
          <cell r="K53">
            <v>162.93230720972139</v>
          </cell>
        </row>
        <row r="54">
          <cell r="K54">
            <v>167.30170541274114</v>
          </cell>
        </row>
        <row r="55">
          <cell r="K55">
            <v>171.6524854196737</v>
          </cell>
        </row>
        <row r="56">
          <cell r="K56">
            <v>176.08466380651561</v>
          </cell>
        </row>
        <row r="57">
          <cell r="K57">
            <v>180.60076511919999</v>
          </cell>
        </row>
        <row r="58">
          <cell r="K58">
            <v>185.20335005491836</v>
          </cell>
        </row>
        <row r="59">
          <cell r="K59">
            <v>189.8950168626956</v>
          </cell>
        </row>
        <row r="60">
          <cell r="K60">
            <v>194.32733415847059</v>
          </cell>
        </row>
        <row r="61">
          <cell r="K61">
            <v>198.8587421180855</v>
          </cell>
        </row>
        <row r="62">
          <cell r="K62">
            <v>203.49161321574942</v>
          </cell>
        </row>
        <row r="63">
          <cell r="K63">
            <v>208.22837084662754</v>
          </cell>
        </row>
        <row r="64">
          <cell r="K64">
            <v>213.07149062267658</v>
          </cell>
        </row>
        <row r="65">
          <cell r="K65">
            <v>217.82402025450082</v>
          </cell>
        </row>
        <row r="66">
          <cell r="K66">
            <v>222.69078399969817</v>
          </cell>
        </row>
        <row r="67">
          <cell r="K67">
            <v>227.67421491109533</v>
          </cell>
        </row>
        <row r="68">
          <cell r="K68">
            <v>232.77680897741277</v>
          </cell>
        </row>
        <row r="69">
          <cell r="K69">
            <v>238.00112629759337</v>
          </cell>
        </row>
        <row r="70">
          <cell r="K70">
            <v>243.08027379957747</v>
          </cell>
        </row>
        <row r="71">
          <cell r="K71">
            <v>248.29025879772541</v>
          </cell>
        </row>
        <row r="72">
          <cell r="K72">
            <v>253.63355387621382</v>
          </cell>
        </row>
        <row r="73">
          <cell r="K73">
            <v>259.11270866022295</v>
          </cell>
        </row>
        <row r="74">
          <cell r="K74">
            <v>264.73035077217565</v>
          </cell>
        </row>
        <row r="75">
          <cell r="K75">
            <v>270.39105490368655</v>
          </cell>
        </row>
        <row r="76">
          <cell r="K76">
            <v>276.19713191533475</v>
          </cell>
        </row>
        <row r="77">
          <cell r="K77">
            <v>282.15134412807737</v>
          </cell>
        </row>
        <row r="78">
          <cell r="K78">
            <v>288.25653921415972</v>
          </cell>
        </row>
        <row r="79">
          <cell r="K79">
            <v>294.51565127927279</v>
          </cell>
        </row>
        <row r="80">
          <cell r="K80">
            <v>300.93170200796453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tabSelected="1" topLeftCell="A34" zoomScale="90" zoomScaleNormal="90" workbookViewId="0">
      <selection activeCell="M73" sqref="M73"/>
    </sheetView>
  </sheetViews>
  <sheetFormatPr defaultRowHeight="15" x14ac:dyDescent="0.25"/>
  <cols>
    <col min="2" max="2" width="18.7109375" customWidth="1"/>
    <col min="3" max="3" width="45" customWidth="1"/>
    <col min="4" max="4" width="15" customWidth="1"/>
    <col min="8" max="9" width="12.28515625" bestFit="1" customWidth="1"/>
    <col min="18" max="19" width="8.7109375" bestFit="1" customWidth="1"/>
    <col min="20" max="20" width="9.85546875" bestFit="1" customWidth="1"/>
  </cols>
  <sheetData>
    <row r="2" spans="1:20" x14ac:dyDescent="0.25">
      <c r="A2" s="1" t="s">
        <v>0</v>
      </c>
    </row>
    <row r="3" spans="1:20" x14ac:dyDescent="0.25">
      <c r="A3" s="66" t="s">
        <v>88</v>
      </c>
      <c r="B3">
        <v>0.04</v>
      </c>
      <c r="C3" t="s">
        <v>7</v>
      </c>
      <c r="M3" t="s">
        <v>19</v>
      </c>
      <c r="Q3" t="s">
        <v>34</v>
      </c>
    </row>
    <row r="4" spans="1:20" x14ac:dyDescent="0.25">
      <c r="A4" t="s">
        <v>89</v>
      </c>
      <c r="B4" s="19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25">
      <c r="A5" s="66" t="s">
        <v>90</v>
      </c>
      <c r="B5">
        <v>1</v>
      </c>
      <c r="C5" t="s">
        <v>9</v>
      </c>
      <c r="L5">
        <v>-2.5</v>
      </c>
      <c r="M5" t="e">
        <f>_xlfn.XLOOKUP($L5,'6states'!$L$4:$L$104,'6states'!AU$4:AU$104,,-1)</f>
        <v>#N/A</v>
      </c>
      <c r="N5" s="8">
        <v>830.64850000000001</v>
      </c>
      <c r="O5" s="8">
        <v>534.30409999999995</v>
      </c>
      <c r="P5" s="8">
        <v>1319.8</v>
      </c>
      <c r="R5" s="9">
        <v>2.8247399999999999E-2</v>
      </c>
      <c r="S5" s="9">
        <v>2.03494E-2</v>
      </c>
      <c r="T5" s="9">
        <v>3.9677799999999999E-2</v>
      </c>
    </row>
    <row r="6" spans="1:20" x14ac:dyDescent="0.25">
      <c r="A6" t="s">
        <v>91</v>
      </c>
      <c r="B6">
        <v>5</v>
      </c>
      <c r="C6" t="s">
        <v>43</v>
      </c>
      <c r="L6">
        <v>2.5</v>
      </c>
      <c r="M6">
        <f>_xlfn.XLOOKUP($L6,'6states'!$L$4:$L$104,'6states'!AU$4:AU$104,,-1)</f>
        <v>698.71068283508828</v>
      </c>
      <c r="N6" s="8">
        <v>606.61189999999999</v>
      </c>
      <c r="O6" s="8">
        <v>387.11829999999998</v>
      </c>
      <c r="P6" s="8">
        <v>1117.905</v>
      </c>
      <c r="Q6" s="9">
        <f>_xlfn.XLOOKUP($L6,'6states'!$L$4:$L$104,'6states'!AR$4:AR$104,,-1)</f>
        <v>9.4407362386022986E-2</v>
      </c>
      <c r="R6" s="9">
        <v>2.6695099999999999E-2</v>
      </c>
      <c r="S6" s="9">
        <v>1.8069600000000002E-2</v>
      </c>
      <c r="T6" s="9">
        <v>4.0859699999999999E-2</v>
      </c>
    </row>
    <row r="7" spans="1:20" x14ac:dyDescent="0.25">
      <c r="A7" s="66" t="s">
        <v>92</v>
      </c>
      <c r="B7">
        <v>0.3</v>
      </c>
      <c r="C7" t="s">
        <v>44</v>
      </c>
      <c r="L7">
        <v>7.5</v>
      </c>
      <c r="M7">
        <f>_xlfn.XLOOKUP($L7,'6states'!$L$4:$L$104,'6states'!AU$4:AU$104,,-1)</f>
        <v>407.00123492192557</v>
      </c>
      <c r="N7" s="8">
        <v>417.0838</v>
      </c>
      <c r="O7" s="8">
        <v>242.37639999999999</v>
      </c>
      <c r="P7" s="8">
        <v>684.37270000000001</v>
      </c>
      <c r="Q7" s="9">
        <f>_xlfn.XLOOKUP($L7,'6states'!$L$4:$L$104,'6states'!AR$4:AR$104,,-1)</f>
        <v>9.2680563536261418E-2</v>
      </c>
      <c r="R7" s="9">
        <v>1.9692500000000002E-2</v>
      </c>
      <c r="S7" s="9">
        <v>1.23111E-2</v>
      </c>
      <c r="T7" s="9">
        <v>2.83897E-2</v>
      </c>
    </row>
    <row r="8" spans="1:20" x14ac:dyDescent="0.25">
      <c r="A8" t="s">
        <v>93</v>
      </c>
      <c r="B8">
        <v>0.2</v>
      </c>
      <c r="C8" t="s">
        <v>138</v>
      </c>
      <c r="L8">
        <v>12.5</v>
      </c>
      <c r="M8">
        <f>_xlfn.XLOOKUP($L8,'6states'!$L$4:$L$101,'6states'!AU$4:AU$101,,-1)</f>
        <v>304.77073054023015</v>
      </c>
      <c r="N8" s="8">
        <v>369.45100000000002</v>
      </c>
      <c r="O8" s="8">
        <v>259.53149999999999</v>
      </c>
      <c r="P8" s="8">
        <v>657.7192</v>
      </c>
      <c r="Q8" s="9">
        <f>_xlfn.XLOOKUP($L8,'6states'!$L$4:$L$104,'6states'!AR$4:AR$104,,-1)</f>
        <v>8.5040394482601589E-2</v>
      </c>
      <c r="R8" s="9">
        <v>2.0146399999999998E-2</v>
      </c>
      <c r="S8" s="9">
        <v>1.4205300000000001E-2</v>
      </c>
      <c r="T8" s="9">
        <v>3.0372400000000001E-2</v>
      </c>
    </row>
    <row r="9" spans="1:20" x14ac:dyDescent="0.25">
      <c r="A9" t="s">
        <v>94</v>
      </c>
      <c r="B9" s="10">
        <f>1-1/B8</f>
        <v>-4</v>
      </c>
      <c r="C9" t="s">
        <v>139</v>
      </c>
      <c r="L9">
        <v>17.5</v>
      </c>
      <c r="M9">
        <f>_xlfn.XLOOKUP($L9,'6states'!$L$4:$L$101,'6states'!AU$4:AU$101,,-1)</f>
        <v>260.1636095081783</v>
      </c>
      <c r="N9" s="8">
        <v>279.10210000000001</v>
      </c>
      <c r="O9" s="8">
        <v>194.92009999999999</v>
      </c>
      <c r="P9" s="8">
        <v>471.17509999999999</v>
      </c>
      <c r="Q9" s="9">
        <f>_xlfn.XLOOKUP($L9,'6states'!$L$4:$L$104,'6states'!AR$4:AR$104,,-1)</f>
        <v>7.451627144661177E-2</v>
      </c>
      <c r="R9" s="9">
        <v>1.9457499999999999E-2</v>
      </c>
      <c r="S9" s="9">
        <v>1.37847E-2</v>
      </c>
      <c r="T9" s="9">
        <v>2.8879800000000001E-2</v>
      </c>
    </row>
    <row r="10" spans="1:20" x14ac:dyDescent="0.25">
      <c r="A10" t="s">
        <v>95</v>
      </c>
      <c r="B10" s="49">
        <f>1-B11</f>
        <v>0.99995305239318133</v>
      </c>
      <c r="C10" t="s">
        <v>140</v>
      </c>
      <c r="L10">
        <v>22.5</v>
      </c>
      <c r="M10">
        <f>_xlfn.XLOOKUP($L10,'6states'!$L$4:$L$101,'6states'!AU$4:AU$101,,-1)</f>
        <v>232.06988925352744</v>
      </c>
      <c r="N10" s="8">
        <v>201.3134</v>
      </c>
      <c r="O10" s="8">
        <v>145.1962</v>
      </c>
      <c r="P10" s="8">
        <v>330</v>
      </c>
      <c r="Q10" s="9">
        <f>_xlfn.XLOOKUP($L10,'6states'!$L$4:$L$104,'6states'!AR$4:AR$104,,-1)</f>
        <v>6.2421704405052569E-2</v>
      </c>
      <c r="R10" s="9">
        <v>1.8330699999999998E-2</v>
      </c>
      <c r="S10" s="9">
        <v>1.23982E-2</v>
      </c>
      <c r="T10" s="9">
        <v>2.8500000000000001E-2</v>
      </c>
    </row>
    <row r="11" spans="1:20" x14ac:dyDescent="0.25">
      <c r="A11" t="s">
        <v>96</v>
      </c>
      <c r="B11" s="34">
        <f>1/(1+(B18*B16^B13+B19*B14^B13)^(B9/B13-1)*B18*B16^(B13-1))</f>
        <v>4.6947606818722525E-5</v>
      </c>
      <c r="C11" t="s">
        <v>141</v>
      </c>
      <c r="D11" s="6"/>
      <c r="L11">
        <v>27.5</v>
      </c>
      <c r="M11">
        <f>_xlfn.XLOOKUP($L11,'6states'!$L$4:$L$101,'6states'!AU$4:AU$101,,-1)</f>
        <v>206.75751558092389</v>
      </c>
      <c r="N11" s="8">
        <v>158.28030000000001</v>
      </c>
      <c r="O11" s="8">
        <v>107.6669</v>
      </c>
      <c r="P11" s="8">
        <v>245.52</v>
      </c>
      <c r="Q11" s="9">
        <f>_xlfn.XLOOKUP($L11,'6states'!$L$4:$L$104,'6states'!AR$4:AR$104,,-1)</f>
        <v>4.4985611898992639E-2</v>
      </c>
      <c r="R11" s="9">
        <v>1.6000899999999998E-2</v>
      </c>
      <c r="S11" s="9">
        <v>1.1003199999999999E-2</v>
      </c>
      <c r="T11" s="9">
        <v>2.3718599999999999E-2</v>
      </c>
    </row>
    <row r="12" spans="1:20" x14ac:dyDescent="0.25">
      <c r="A12" t="s">
        <v>97</v>
      </c>
      <c r="B12" s="36">
        <v>2</v>
      </c>
      <c r="C12" t="s">
        <v>142</v>
      </c>
      <c r="L12">
        <v>32.5</v>
      </c>
      <c r="M12">
        <f>_xlfn.XLOOKUP($L12,'6states'!$L$4:$L$101,'6states'!AU$4:AU$101,,-1)</f>
        <v>192.78081345169835</v>
      </c>
      <c r="N12" s="8">
        <v>112.6412</v>
      </c>
      <c r="O12" s="8">
        <v>81.444730000000007</v>
      </c>
      <c r="P12" s="8">
        <v>177.91800000000001</v>
      </c>
      <c r="Q12" s="9">
        <f>_xlfn.XLOOKUP($L12,'6states'!$L$4:$L$104,'6states'!AR$4:AR$104,,-1)</f>
        <v>3.1417699693887968E-2</v>
      </c>
      <c r="R12" s="9">
        <v>1.2162600000000001E-2</v>
      </c>
      <c r="S12" s="9">
        <v>8.7869999999999997E-3</v>
      </c>
      <c r="T12" s="9">
        <v>1.73682E-2</v>
      </c>
    </row>
    <row r="13" spans="1:20" x14ac:dyDescent="0.25">
      <c r="A13" s="67" t="s">
        <v>98</v>
      </c>
      <c r="B13" s="18">
        <f>1-1/B12</f>
        <v>0.5</v>
      </c>
      <c r="C13" t="s">
        <v>139</v>
      </c>
      <c r="L13">
        <v>37.5</v>
      </c>
      <c r="M13">
        <f>_xlfn.XLOOKUP($L13,'6states'!$L$4:$L$101,'6states'!AU$4:AU$101,,-1)</f>
        <v>183.92551741671411</v>
      </c>
      <c r="N13" s="8">
        <v>89.531630000000007</v>
      </c>
      <c r="O13" s="8">
        <v>58.81897</v>
      </c>
      <c r="P13" s="8">
        <v>159.26089999999999</v>
      </c>
      <c r="Q13" s="9">
        <f>_xlfn.XLOOKUP($L13,'6states'!$L$4:$L$104,'6states'!AR$4:AR$104,,-1)</f>
        <v>2.1487460693383365E-2</v>
      </c>
      <c r="R13" s="9">
        <v>8.2251000000000008E-3</v>
      </c>
      <c r="S13" s="9">
        <v>5.6994000000000003E-3</v>
      </c>
      <c r="T13" s="9">
        <v>1.38741E-2</v>
      </c>
    </row>
    <row r="14" spans="1:20" x14ac:dyDescent="0.25">
      <c r="A14" t="s">
        <v>99</v>
      </c>
      <c r="B14">
        <v>0.1777</v>
      </c>
      <c r="C14" t="s">
        <v>143</v>
      </c>
      <c r="L14">
        <v>42.5</v>
      </c>
      <c r="M14">
        <f>_xlfn.XLOOKUP($L14,'6states'!$L$4:$L$101,'6states'!AU$4:AU$101,,-1)</f>
        <v>175.41427929518892</v>
      </c>
      <c r="N14" s="8">
        <v>74.867599999999996</v>
      </c>
      <c r="O14" s="8">
        <v>47.317929999999997</v>
      </c>
      <c r="P14" s="8">
        <v>131.6824</v>
      </c>
      <c r="Q14" s="9">
        <f>_xlfn.XLOOKUP($L14,'6states'!$L$4:$L$104,'6states'!AR$4:AR$104,,-1)</f>
        <v>1.0784476684223998E-2</v>
      </c>
      <c r="R14" s="9">
        <v>6.1939999999999999E-3</v>
      </c>
      <c r="S14" s="9">
        <v>3.8782000000000001E-3</v>
      </c>
      <c r="T14" s="9">
        <v>9.2855999999999998E-3</v>
      </c>
    </row>
    <row r="15" spans="1:20" x14ac:dyDescent="0.25">
      <c r="A15" t="s">
        <v>100</v>
      </c>
      <c r="B15" s="35">
        <v>0.16</v>
      </c>
      <c r="C15" t="s">
        <v>40</v>
      </c>
      <c r="L15">
        <v>47.5</v>
      </c>
      <c r="M15">
        <f>_xlfn.XLOOKUP($L15,'6states'!$L$4:$L$101,'6states'!AU$4:AU$101,,-1)</f>
        <v>171.27933130892123</v>
      </c>
      <c r="N15" s="8">
        <v>32.49194</v>
      </c>
      <c r="O15" s="8">
        <v>10.02872</v>
      </c>
      <c r="P15" s="8">
        <v>64.102000000000004</v>
      </c>
      <c r="Q15" s="9">
        <f>_xlfn.XLOOKUP($L15,'6states'!$L$4:$L$104,'6states'!AR$4:AR$104,,-1)</f>
        <v>5.3538935073860205E-3</v>
      </c>
      <c r="R15" s="9">
        <v>2.7149000000000001E-3</v>
      </c>
      <c r="S15" s="9">
        <v>7.5310000000000004E-4</v>
      </c>
      <c r="T15" s="9">
        <v>5.1000999999999998E-3</v>
      </c>
    </row>
    <row r="16" spans="1:20" x14ac:dyDescent="0.25">
      <c r="A16" t="s">
        <v>101</v>
      </c>
      <c r="B16" s="19">
        <f>B14*B15/(1-B15)</f>
        <v>3.384761904761905E-2</v>
      </c>
      <c r="C16" t="s">
        <v>144</v>
      </c>
      <c r="L16">
        <v>52.5</v>
      </c>
      <c r="M16">
        <f>_xlfn.XLOOKUP($L16,'6states'!$L$4:$L$101,'6states'!AU$4:AU$101,,-1)</f>
        <v>171.27933130892123</v>
      </c>
      <c r="N16" s="8">
        <v>1.7695000000000001</v>
      </c>
      <c r="O16" s="8">
        <v>0</v>
      </c>
      <c r="P16" s="8">
        <v>12.83052</v>
      </c>
      <c r="Q16" s="9">
        <f>_xlfn.XLOOKUP($L16,'6states'!$L$4:$L$104,'6states'!AR$4:AR$104,,-1)</f>
        <v>5.3538935073860205E-3</v>
      </c>
      <c r="R16" s="11">
        <v>0</v>
      </c>
      <c r="S16" s="11">
        <v>0</v>
      </c>
      <c r="T16" s="11">
        <v>5.0129999999999999E-4</v>
      </c>
    </row>
    <row r="17" spans="1:20" x14ac:dyDescent="0.25">
      <c r="A17" t="s">
        <v>102</v>
      </c>
      <c r="B17" s="19">
        <f>B16/B14</f>
        <v>0.19047619047619049</v>
      </c>
      <c r="C17" t="s">
        <v>81</v>
      </c>
      <c r="L17">
        <v>57.5</v>
      </c>
      <c r="M17">
        <f>_xlfn.XLOOKUP($L17,'6states'!$L$4:$L$101,'6states'!AU$4:AU$101,,-1)</f>
        <v>167.21872995078172</v>
      </c>
      <c r="N17" s="12">
        <v>2.2415600000000002</v>
      </c>
      <c r="O17" s="12">
        <v>0</v>
      </c>
      <c r="P17" s="12">
        <v>11.00962</v>
      </c>
      <c r="Q17" s="9">
        <f>_xlfn.XLOOKUP($L17,'6states'!$L$4:$L$104,'6states'!AR$4:AR$104,,-1)</f>
        <v>0</v>
      </c>
      <c r="R17" s="11">
        <v>0</v>
      </c>
      <c r="S17" s="11">
        <v>0</v>
      </c>
      <c r="T17" s="11">
        <v>1.0000000000000001E-5</v>
      </c>
    </row>
    <row r="18" spans="1:20" x14ac:dyDescent="0.25">
      <c r="A18" t="s">
        <v>103</v>
      </c>
      <c r="B18" s="19">
        <f>1-B19</f>
        <v>0.30383243470068699</v>
      </c>
      <c r="C18" t="s">
        <v>12</v>
      </c>
      <c r="D18" s="7">
        <f>B18^(1/B13)</f>
        <v>9.2314148376147223E-2</v>
      </c>
      <c r="R18" s="1"/>
      <c r="S18" s="1"/>
      <c r="T18" s="1"/>
    </row>
    <row r="19" spans="1:20" x14ac:dyDescent="0.25">
      <c r="A19" t="s">
        <v>104</v>
      </c>
      <c r="B19" s="19">
        <f>1/((B17)^(1-B13)+1)</f>
        <v>0.69616756529931301</v>
      </c>
      <c r="C19" t="s">
        <v>16</v>
      </c>
      <c r="D19" s="7">
        <f>B18^(1/0.77)</f>
        <v>0.21286108799892262</v>
      </c>
      <c r="L19" t="s">
        <v>30</v>
      </c>
      <c r="M19">
        <f>SUMXMY2(M6:M16,N6:N16)/11/1000</f>
        <v>8.1690700817516717</v>
      </c>
      <c r="Q19">
        <f>SUMXMY2(Q7:Q16,R7:R16)/10*10000</f>
        <v>15.957436459197282</v>
      </c>
      <c r="R19" s="1"/>
      <c r="S19" s="1"/>
      <c r="T19" s="1"/>
    </row>
    <row r="20" spans="1:20" x14ac:dyDescent="0.25">
      <c r="A20" s="66" t="s">
        <v>105</v>
      </c>
      <c r="B20">
        <v>0.01</v>
      </c>
      <c r="C20" t="s">
        <v>28</v>
      </c>
      <c r="E20" s="6"/>
      <c r="L20" t="s">
        <v>35</v>
      </c>
      <c r="M20">
        <f>M19+Q19</f>
        <v>24.126506540948952</v>
      </c>
    </row>
    <row r="21" spans="1:20" x14ac:dyDescent="0.25">
      <c r="A21" t="s">
        <v>50</v>
      </c>
      <c r="B21">
        <v>300</v>
      </c>
      <c r="C21" t="s">
        <v>51</v>
      </c>
    </row>
    <row r="22" spans="1:20" x14ac:dyDescent="0.25">
      <c r="A22" t="s">
        <v>63</v>
      </c>
      <c r="B22">
        <v>4.0000000000000001E-3</v>
      </c>
      <c r="C22" t="s">
        <v>64</v>
      </c>
    </row>
    <row r="24" spans="1:20" x14ac:dyDescent="0.25">
      <c r="A24" s="1" t="s">
        <v>8</v>
      </c>
    </row>
    <row r="25" spans="1:20" x14ac:dyDescent="0.25">
      <c r="A25" t="s">
        <v>106</v>
      </c>
      <c r="B25" s="19">
        <f>B27*B14-B20</f>
        <v>0.77010299999999987</v>
      </c>
      <c r="C25" t="s">
        <v>145</v>
      </c>
      <c r="D25" t="s">
        <v>112</v>
      </c>
      <c r="E25" s="50">
        <f>B25*B$28*B$29</f>
        <v>56.704202221927225</v>
      </c>
      <c r="F25" t="s">
        <v>118</v>
      </c>
      <c r="G25" s="50">
        <f>B14*G27</f>
        <v>1.0424135225486091</v>
      </c>
      <c r="H25" s="1"/>
      <c r="I25" s="1"/>
      <c r="J25" s="1"/>
    </row>
    <row r="26" spans="1:20" s="1" customFormat="1" x14ac:dyDescent="0.25">
      <c r="A26" t="s">
        <v>107</v>
      </c>
      <c r="B26" s="19">
        <f>B27*B16</f>
        <v>0.14859104761904762</v>
      </c>
      <c r="C26" t="s">
        <v>146</v>
      </c>
      <c r="D26" t="s">
        <v>113</v>
      </c>
      <c r="E26" s="50">
        <f>B26*B$28*B$29</f>
        <v>10.941051797692642</v>
      </c>
      <c r="F26" t="s">
        <v>119</v>
      </c>
      <c r="G26" s="50">
        <f>B16*G27</f>
        <v>0.19855495667592554</v>
      </c>
    </row>
    <row r="27" spans="1:20" s="1" customFormat="1" x14ac:dyDescent="0.25">
      <c r="A27" t="s">
        <v>108</v>
      </c>
      <c r="B27" s="65">
        <v>4.3899999999999997</v>
      </c>
      <c r="C27" t="s">
        <v>147</v>
      </c>
      <c r="D27" t="s">
        <v>114</v>
      </c>
      <c r="E27" s="50">
        <f>B27*B$28*B$29</f>
        <v>323.24435530605717</v>
      </c>
      <c r="F27" t="s">
        <v>120</v>
      </c>
      <c r="G27" s="50">
        <f>(B7*(B10+B11*(B18*B16^B13+B19*B14^B13)^(B9/B13))^(B7/B9)*EXP(-B46/2*B47^2) / (B56+B5*(B56)^2)) ^ (1/(1-B7))</f>
        <v>5.866142501680411</v>
      </c>
    </row>
    <row r="28" spans="1:20" s="1" customFormat="1" x14ac:dyDescent="0.25">
      <c r="A28" t="s">
        <v>109</v>
      </c>
      <c r="B28" s="2">
        <v>8.16</v>
      </c>
      <c r="C28" t="s">
        <v>148</v>
      </c>
      <c r="D28" t="s">
        <v>115</v>
      </c>
      <c r="E28" s="52">
        <f>(B25+B26+B27)*B28*B29</f>
        <v>390.8896093256771</v>
      </c>
      <c r="F28" s="2" t="s">
        <v>17</v>
      </c>
      <c r="G28"/>
      <c r="H28"/>
      <c r="I28"/>
      <c r="J28"/>
    </row>
    <row r="29" spans="1:20" x14ac:dyDescent="0.25">
      <c r="A29" t="s">
        <v>110</v>
      </c>
      <c r="B29" s="18">
        <f>B30*EXP(B46/2*B47^2)/B28/(Parameters!$B$10*B27^Parameters!$B$9+B11*E30^Parameters!$B$9)^(Parameters!$B$7/Parameters!$B$9)</f>
        <v>9.0235259308716671</v>
      </c>
      <c r="C29" t="s">
        <v>149</v>
      </c>
      <c r="D29" t="s">
        <v>26</v>
      </c>
      <c r="E29" s="10">
        <f>((Parameters!B3+Parameters!B50+Parameters!B52*Parameters!B53)/Parameters!B7)^(1/(Parameters!B7-1))</f>
        <v>6.8509746420694579</v>
      </c>
      <c r="F29" s="2" t="s">
        <v>27</v>
      </c>
    </row>
    <row r="30" spans="1:20" x14ac:dyDescent="0.25">
      <c r="A30" t="s">
        <v>111</v>
      </c>
      <c r="B30" s="2">
        <v>110.98</v>
      </c>
      <c r="C30" t="s">
        <v>150</v>
      </c>
      <c r="D30" t="s">
        <v>116</v>
      </c>
      <c r="E30" s="10">
        <f>(B18*B26^B13+B19*(B25+B20)^B13)^(1/B13)</f>
        <v>0.53582250067468473</v>
      </c>
      <c r="F30" s="2"/>
    </row>
    <row r="31" spans="1:20" x14ac:dyDescent="0.25">
      <c r="A31" t="s">
        <v>71</v>
      </c>
      <c r="B31">
        <v>53.2</v>
      </c>
      <c r="C31" t="s">
        <v>151</v>
      </c>
      <c r="D31" t="s">
        <v>117</v>
      </c>
      <c r="E31" s="10">
        <f>B26/(B26+B25)</f>
        <v>0.16174160266320076</v>
      </c>
      <c r="F31" s="2" t="s">
        <v>152</v>
      </c>
    </row>
    <row r="32" spans="1:20" x14ac:dyDescent="0.25">
      <c r="C32" s="2"/>
      <c r="D32" t="s">
        <v>77</v>
      </c>
      <c r="E32" s="34">
        <f>B7*B11*E30^(B9-1)/(B10*B27^B9+B11*E30^B9)    * E30</f>
        <v>5.238282401493561E-2</v>
      </c>
      <c r="F32" s="2" t="s">
        <v>80</v>
      </c>
    </row>
    <row r="33" spans="1:10" x14ac:dyDescent="0.25">
      <c r="C33" s="2"/>
      <c r="D33" t="s">
        <v>78</v>
      </c>
      <c r="E33" s="51">
        <f>B7*B10*B27^(B9-1)/(B10*B27^B9+B11*E30^B9)    * B27</f>
        <v>0.24761717598506439</v>
      </c>
      <c r="F33" s="2" t="s">
        <v>79</v>
      </c>
    </row>
    <row r="34" spans="1:10" x14ac:dyDescent="0.25">
      <c r="A34" s="1" t="s">
        <v>2</v>
      </c>
      <c r="B34" s="2"/>
      <c r="C34" s="2"/>
      <c r="D34" s="2"/>
      <c r="E34" s="2"/>
      <c r="F34" s="2"/>
      <c r="G34" s="2"/>
      <c r="H34" s="2"/>
      <c r="I34" s="2"/>
      <c r="J34" s="2"/>
    </row>
    <row r="35" spans="1:10" s="2" customFormat="1" x14ac:dyDescent="0.25">
      <c r="A35" t="s">
        <v>121</v>
      </c>
      <c r="B35" s="20">
        <f>Parameters!B29*Parameters!B28*Parameters!B41/(Parameters!B3+B42)</f>
        <v>1381.6333659263762</v>
      </c>
      <c r="C35" t="s">
        <v>153</v>
      </c>
      <c r="D35"/>
      <c r="E35"/>
      <c r="F35"/>
      <c r="G35"/>
      <c r="H35"/>
      <c r="I35"/>
      <c r="J35"/>
    </row>
    <row r="36" spans="1:10" x14ac:dyDescent="0.25">
      <c r="A36" t="s">
        <v>49</v>
      </c>
      <c r="B36">
        <v>7.06</v>
      </c>
      <c r="C36" t="s">
        <v>154</v>
      </c>
    </row>
    <row r="37" spans="1:10" x14ac:dyDescent="0.25">
      <c r="A37" t="s">
        <v>122</v>
      </c>
      <c r="B37" s="18">
        <f>B36-B39</f>
        <v>6.2652924692047858</v>
      </c>
    </row>
    <row r="38" spans="1:10" x14ac:dyDescent="0.25">
      <c r="A38" t="s">
        <v>123</v>
      </c>
      <c r="B38" s="35">
        <v>0.77</v>
      </c>
      <c r="C38" t="s">
        <v>155</v>
      </c>
    </row>
    <row r="39" spans="1:10" x14ac:dyDescent="0.25">
      <c r="A39" t="s">
        <v>124</v>
      </c>
      <c r="B39" s="18">
        <f>(B31-B36/B38*(1-EXP(-B38*E25)))/(E25-(1-EXP(-B38*E25))/B38)</f>
        <v>0.79470753079521417</v>
      </c>
    </row>
    <row r="40" spans="1:10" x14ac:dyDescent="0.25">
      <c r="A40" t="s">
        <v>125</v>
      </c>
      <c r="B40" s="18">
        <f>B37*EXP(-B38*E25)+B39</f>
        <v>0.79470753079521417</v>
      </c>
      <c r="C40" t="s">
        <v>156</v>
      </c>
    </row>
    <row r="41" spans="1:10" x14ac:dyDescent="0.25">
      <c r="A41" s="66" t="s">
        <v>126</v>
      </c>
      <c r="B41" s="18">
        <f>B31/B28/B29/B25</f>
        <v>0.93820207172278725</v>
      </c>
      <c r="C41" t="s">
        <v>41</v>
      </c>
      <c r="D41" s="2"/>
      <c r="E41" s="2"/>
      <c r="F41" s="2"/>
      <c r="G41" s="2"/>
      <c r="H41" s="2"/>
      <c r="I41" s="2"/>
      <c r="J41" s="2"/>
    </row>
    <row r="42" spans="1:10" x14ac:dyDescent="0.25">
      <c r="A42" t="s">
        <v>127</v>
      </c>
      <c r="B42" s="2">
        <v>0.01</v>
      </c>
      <c r="C42" t="s">
        <v>18</v>
      </c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1" t="s">
        <v>1</v>
      </c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66" t="s">
        <v>128</v>
      </c>
      <c r="B45">
        <v>5.9999999999999995E-4</v>
      </c>
      <c r="C45" t="s">
        <v>3</v>
      </c>
    </row>
    <row r="46" spans="1:10" s="2" customFormat="1" x14ac:dyDescent="0.25">
      <c r="A46" s="66" t="s">
        <v>129</v>
      </c>
      <c r="B46">
        <v>2.01E-2</v>
      </c>
      <c r="C46" t="s">
        <v>84</v>
      </c>
      <c r="D46"/>
      <c r="E46"/>
      <c r="F46"/>
      <c r="G46"/>
      <c r="H46"/>
      <c r="I46"/>
      <c r="J46"/>
    </row>
    <row r="47" spans="1:10" s="2" customFormat="1" x14ac:dyDescent="0.25">
      <c r="A47" t="s">
        <v>130</v>
      </c>
      <c r="B47">
        <v>1.38</v>
      </c>
      <c r="C47" t="s">
        <v>157</v>
      </c>
      <c r="D47"/>
      <c r="E47"/>
      <c r="F47"/>
      <c r="G47"/>
      <c r="H47"/>
      <c r="I47"/>
      <c r="J47"/>
    </row>
    <row r="48" spans="1:10" s="2" customFormat="1" x14ac:dyDescent="0.25"/>
    <row r="49" spans="1:11" s="2" customFormat="1" x14ac:dyDescent="0.25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s="2" customFormat="1" x14ac:dyDescent="0.25">
      <c r="A50" s="66" t="s">
        <v>131</v>
      </c>
      <c r="B50">
        <f>0.011</f>
        <v>1.0999999999999999E-2</v>
      </c>
      <c r="C50" t="s">
        <v>158</v>
      </c>
      <c r="D50"/>
      <c r="E50"/>
      <c r="F50"/>
      <c r="G50"/>
      <c r="H50"/>
      <c r="I50"/>
      <c r="J50"/>
    </row>
    <row r="51" spans="1:11" s="2" customFormat="1" x14ac:dyDescent="0.25">
      <c r="A51" t="s">
        <v>10</v>
      </c>
      <c r="B51">
        <v>2.8999999999999998E-3</v>
      </c>
      <c r="C51" t="s">
        <v>11</v>
      </c>
      <c r="D51"/>
      <c r="E51"/>
      <c r="F51"/>
      <c r="G51"/>
      <c r="H51"/>
      <c r="I51"/>
      <c r="J51"/>
    </row>
    <row r="52" spans="1:11" x14ac:dyDescent="0.25">
      <c r="A52" s="66" t="s">
        <v>132</v>
      </c>
      <c r="B52">
        <v>1.35</v>
      </c>
      <c r="C52" t="s">
        <v>159</v>
      </c>
      <c r="K52" s="2"/>
    </row>
    <row r="53" spans="1:11" x14ac:dyDescent="0.25">
      <c r="A53" t="s">
        <v>5</v>
      </c>
      <c r="B53">
        <v>0.02</v>
      </c>
      <c r="C53" t="s">
        <v>160</v>
      </c>
    </row>
    <row r="54" spans="1:11" x14ac:dyDescent="0.25">
      <c r="A54" t="s">
        <v>46</v>
      </c>
      <c r="B54" s="10">
        <f>B50-B51+B52*B53</f>
        <v>3.5100000000000006E-2</v>
      </c>
    </row>
    <row r="55" spans="1:11" s="1" customFormat="1" x14ac:dyDescent="0.25">
      <c r="A55" t="s">
        <v>13</v>
      </c>
      <c r="B55" s="10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25">
      <c r="A56" t="s">
        <v>133</v>
      </c>
      <c r="B56" s="10">
        <f>B54+B3+B51</f>
        <v>7.8E-2</v>
      </c>
      <c r="K56" s="1"/>
    </row>
    <row r="57" spans="1:11" x14ac:dyDescent="0.25">
      <c r="A57" s="66" t="s">
        <v>134</v>
      </c>
      <c r="B57" s="19">
        <f>EXP(-B55)</f>
        <v>0.98501343333449787</v>
      </c>
      <c r="C57" t="s">
        <v>39</v>
      </c>
    </row>
    <row r="59" spans="1:11" x14ac:dyDescent="0.25">
      <c r="A59" s="1" t="s">
        <v>22</v>
      </c>
    </row>
    <row r="60" spans="1:11" x14ac:dyDescent="0.25">
      <c r="A60" t="s">
        <v>135</v>
      </c>
      <c r="B60">
        <v>2.7E-2</v>
      </c>
      <c r="C60" t="s">
        <v>161</v>
      </c>
    </row>
    <row r="61" spans="1:11" x14ac:dyDescent="0.25">
      <c r="A61" s="66" t="s">
        <v>136</v>
      </c>
      <c r="B61">
        <v>0.5</v>
      </c>
      <c r="C61" t="s">
        <v>23</v>
      </c>
    </row>
    <row r="62" spans="1:11" x14ac:dyDescent="0.25">
      <c r="A62" t="s">
        <v>137</v>
      </c>
      <c r="B62">
        <v>50</v>
      </c>
      <c r="C62" t="s">
        <v>162</v>
      </c>
    </row>
    <row r="63" spans="1:11" x14ac:dyDescent="0.25">
      <c r="A63" s="68" t="s">
        <v>131</v>
      </c>
      <c r="B63">
        <v>0.1</v>
      </c>
      <c r="C63" t="s">
        <v>163</v>
      </c>
    </row>
    <row r="65" spans="1:2" x14ac:dyDescent="0.25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BZ305"/>
  <sheetViews>
    <sheetView zoomScaleNormal="100" workbookViewId="0">
      <pane ySplit="3" topLeftCell="A4" activePane="bottomLeft" state="frozen"/>
      <selection activeCell="B1" sqref="B1"/>
      <selection pane="bottomLeft" activeCell="C4" sqref="C4:E204"/>
    </sheetView>
  </sheetViews>
  <sheetFormatPr defaultRowHeight="15" x14ac:dyDescent="0.25"/>
  <cols>
    <col min="3" max="3" width="11.140625" bestFit="1" customWidth="1"/>
    <col min="4" max="5" width="8.7109375" bestFit="1" customWidth="1"/>
    <col min="6" max="7" width="8.7109375" customWidth="1"/>
    <col min="8" max="8" width="11.7109375" customWidth="1"/>
    <col min="9" max="9" width="10.85546875" customWidth="1"/>
    <col min="10" max="15" width="8.7109375" customWidth="1"/>
    <col min="16" max="18" width="8.5703125" customWidth="1"/>
    <col min="19" max="22" width="8.7109375" customWidth="1"/>
    <col min="23" max="23" width="12.7109375" customWidth="1"/>
    <col min="24" max="24" width="10" style="7" customWidth="1"/>
    <col min="25" max="26" width="8.85546875" customWidth="1"/>
    <col min="27" max="27" width="12.28515625" customWidth="1"/>
    <col min="29" max="29" width="10.85546875" style="23" customWidth="1"/>
    <col min="30" max="31" width="10.7109375" customWidth="1"/>
    <col min="32" max="33" width="8.7109375" customWidth="1"/>
    <col min="34" max="34" width="9.28515625" bestFit="1" customWidth="1"/>
    <col min="35" max="36" width="9.28515625" customWidth="1"/>
    <col min="37" max="37" width="8.7109375" customWidth="1"/>
    <col min="38" max="40" width="12.85546875" customWidth="1"/>
    <col min="41" max="42" width="12.85546875" style="7" customWidth="1"/>
    <col min="43" max="43" width="9.140625" customWidth="1"/>
    <col min="44" max="44" width="8.28515625" customWidth="1"/>
    <col min="45" max="45" width="12.42578125" bestFit="1" customWidth="1"/>
    <col min="47" max="47" width="8.7109375" style="7"/>
    <col min="49" max="51" width="8.7109375" style="7"/>
    <col min="71" max="71" width="8.7109375" style="7"/>
  </cols>
  <sheetData>
    <row r="1" spans="1:78" x14ac:dyDescent="0.25">
      <c r="A1" s="1" t="s">
        <v>202</v>
      </c>
      <c r="B1" s="1"/>
      <c r="G1" s="1"/>
      <c r="H1" s="1"/>
      <c r="I1" s="5"/>
      <c r="AD1" s="5"/>
      <c r="AE1" s="5"/>
      <c r="AO1" s="2"/>
      <c r="AP1"/>
      <c r="AU1"/>
      <c r="AW1"/>
      <c r="AX1"/>
      <c r="AY1"/>
      <c r="AZ1" t="s">
        <v>76</v>
      </c>
      <c r="BA1">
        <f>-W204*X204^(-Parameters!B$52)*Parameters!B$46*Parameters!B$45*N204/Parameters!B45/Parameters!B55</f>
        <v>-3.3220866014819848</v>
      </c>
      <c r="BS1"/>
    </row>
    <row r="2" spans="1:78" s="2" customFormat="1" x14ac:dyDescent="0.25">
      <c r="C2" s="14"/>
      <c r="D2" s="14"/>
      <c r="E2" s="14"/>
      <c r="P2" s="33"/>
      <c r="Q2" s="33"/>
      <c r="R2" s="33"/>
      <c r="T2" s="7"/>
      <c r="U2" s="7"/>
      <c r="X2" s="15"/>
      <c r="AC2" s="87"/>
      <c r="AZ2" s="2" t="s">
        <v>74</v>
      </c>
      <c r="BE2"/>
    </row>
    <row r="3" spans="1:78" ht="15.75" thickBot="1" x14ac:dyDescent="0.3">
      <c r="A3" t="s">
        <v>6</v>
      </c>
      <c r="B3" t="s">
        <v>203</v>
      </c>
      <c r="C3" t="s">
        <v>164</v>
      </c>
      <c r="D3" t="s">
        <v>165</v>
      </c>
      <c r="E3" t="s">
        <v>166</v>
      </c>
      <c r="F3" t="s">
        <v>167</v>
      </c>
      <c r="G3" t="s">
        <v>168</v>
      </c>
      <c r="H3" t="s">
        <v>169</v>
      </c>
      <c r="I3" t="s">
        <v>170</v>
      </c>
      <c r="J3" t="s">
        <v>171</v>
      </c>
      <c r="K3" t="s">
        <v>172</v>
      </c>
      <c r="L3" t="s">
        <v>173</v>
      </c>
      <c r="M3" t="s">
        <v>174</v>
      </c>
      <c r="N3" t="s">
        <v>175</v>
      </c>
      <c r="O3" s="67" t="s">
        <v>176</v>
      </c>
      <c r="P3" t="s">
        <v>177</v>
      </c>
      <c r="Q3" t="s">
        <v>178</v>
      </c>
      <c r="R3" t="s">
        <v>179</v>
      </c>
      <c r="S3" t="s">
        <v>180</v>
      </c>
      <c r="T3" s="67" t="s">
        <v>181</v>
      </c>
      <c r="U3" s="67" t="s">
        <v>182</v>
      </c>
      <c r="V3" t="s">
        <v>183</v>
      </c>
      <c r="W3" t="s">
        <v>184</v>
      </c>
      <c r="X3" s="7" t="s">
        <v>185</v>
      </c>
      <c r="Y3" s="67" t="s">
        <v>186</v>
      </c>
      <c r="Z3" t="s">
        <v>187</v>
      </c>
      <c r="AA3" t="s">
        <v>188</v>
      </c>
      <c r="AC3" s="23" t="s">
        <v>189</v>
      </c>
      <c r="AD3" t="s">
        <v>190</v>
      </c>
      <c r="AE3" t="s">
        <v>204</v>
      </c>
      <c r="AF3" t="s">
        <v>191</v>
      </c>
      <c r="AG3" t="s">
        <v>205</v>
      </c>
      <c r="AH3" t="s">
        <v>192</v>
      </c>
      <c r="AI3" t="s">
        <v>206</v>
      </c>
      <c r="AK3" t="s">
        <v>45</v>
      </c>
      <c r="AL3" t="s">
        <v>47</v>
      </c>
      <c r="AM3" t="s">
        <v>48</v>
      </c>
      <c r="AN3" t="s">
        <v>62</v>
      </c>
      <c r="AO3" t="s">
        <v>69</v>
      </c>
      <c r="AP3" t="s">
        <v>198</v>
      </c>
      <c r="AQ3" t="s">
        <v>197</v>
      </c>
      <c r="AR3" t="s">
        <v>193</v>
      </c>
      <c r="AS3" t="s">
        <v>194</v>
      </c>
      <c r="AT3" t="s">
        <v>195</v>
      </c>
      <c r="AU3" t="s">
        <v>196</v>
      </c>
      <c r="AV3" t="s">
        <v>38</v>
      </c>
      <c r="AW3" t="s">
        <v>37</v>
      </c>
      <c r="AX3" t="s">
        <v>42</v>
      </c>
      <c r="AY3" t="s">
        <v>55</v>
      </c>
      <c r="AZ3" t="s">
        <v>73</v>
      </c>
      <c r="BA3" t="s">
        <v>75</v>
      </c>
      <c r="BB3" t="s">
        <v>61</v>
      </c>
      <c r="BC3" t="s">
        <v>52</v>
      </c>
      <c r="BD3" t="s">
        <v>53</v>
      </c>
      <c r="BE3" t="s">
        <v>70</v>
      </c>
      <c r="BF3" t="s">
        <v>68</v>
      </c>
      <c r="BG3" t="s">
        <v>65</v>
      </c>
      <c r="BL3" t="s">
        <v>72</v>
      </c>
      <c r="BM3" t="s">
        <v>54</v>
      </c>
      <c r="BN3" t="s">
        <v>56</v>
      </c>
      <c r="BO3" t="s">
        <v>57</v>
      </c>
      <c r="BP3" t="s">
        <v>58</v>
      </c>
      <c r="BQ3" t="s">
        <v>59</v>
      </c>
      <c r="BR3" t="s">
        <v>60</v>
      </c>
      <c r="BS3" t="s">
        <v>66</v>
      </c>
      <c r="BT3" t="s">
        <v>67</v>
      </c>
      <c r="BU3" t="s">
        <v>86</v>
      </c>
      <c r="BV3" t="s">
        <v>83</v>
      </c>
      <c r="BW3" t="s">
        <v>82</v>
      </c>
      <c r="BX3" t="s">
        <v>85</v>
      </c>
      <c r="BY3" t="s">
        <v>87</v>
      </c>
    </row>
    <row r="4" spans="1:78" x14ac:dyDescent="0.25">
      <c r="A4">
        <v>0</v>
      </c>
      <c r="B4">
        <v>2025</v>
      </c>
      <c r="C4" s="71">
        <v>-1.2937512027360272E-2</v>
      </c>
      <c r="D4" s="72">
        <v>2.9723073106833049E-2</v>
      </c>
      <c r="E4" s="73">
        <v>0.24758819210191207</v>
      </c>
      <c r="F4" s="7">
        <f>Parameters!B25</f>
        <v>0.77010299999999987</v>
      </c>
      <c r="G4" s="9">
        <f>Parameters!B26</f>
        <v>0.14859104761904762</v>
      </c>
      <c r="H4" s="88">
        <f>Parameters!B27</f>
        <v>4.3899999999999997</v>
      </c>
      <c r="I4" s="9">
        <v>0</v>
      </c>
      <c r="J4" s="23">
        <f>Parameters!B28</f>
        <v>8.16</v>
      </c>
      <c r="K4" s="23">
        <f>Parameters!B29</f>
        <v>9.0235259308716671</v>
      </c>
      <c r="L4" s="23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8">
        <f>MAX((Parameters!$B$62 + Parameters!$B$31*'6states'!A4 - '6states'!M4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0.53582250067468473</v>
      </c>
      <c r="W4" s="7">
        <f>(Parameters!$B$10*H4^Parameters!$B$9+Parameters!$B$11*V4^Parameters!$B$9)^(Parameters!$B$7/Parameters!$B$9)*O4</f>
        <v>1.5072257009366883</v>
      </c>
      <c r="X4" s="7">
        <f>W4 - D4 - E4 - LN(1+EXP(Parameters!$B$21*C4))/Parameters!$B$21 - IF(C4&gt;0, 0,Parameters!$B$6*C4^2/F4)</f>
        <v>1.2287596525971609</v>
      </c>
      <c r="Y4" s="7">
        <f>EXP(-Parameters!$B$55*A4)</f>
        <v>1</v>
      </c>
      <c r="Z4" s="7">
        <f>IF(X4&gt;0,X4^(1-Parameters!$B$52)/(1-Parameters!$B$52)*Y4*Parameters!$B$65,-10+X4*1000)</f>
        <v>-2.658388966640294</v>
      </c>
      <c r="AA4" s="28">
        <f>SUM(Z4:Z204)*Parameters!$B$65</f>
        <v>-186.58561351935634</v>
      </c>
      <c r="AC4" s="23">
        <f>I4*J4*K4</f>
        <v>0</v>
      </c>
      <c r="AD4" s="23">
        <f>F4*J4*K4</f>
        <v>56.704202221927225</v>
      </c>
      <c r="AE4" s="23">
        <f>G4*J4*K4</f>
        <v>10.941051797692642</v>
      </c>
      <c r="AF4" s="23">
        <f>V4*J4*K4</f>
        <v>39.453667150129363</v>
      </c>
      <c r="AG4" s="23">
        <f>AF4/AF$4*100</f>
        <v>100</v>
      </c>
      <c r="AH4" s="23">
        <f>W4*J4*K4</f>
        <v>110.97999999999999</v>
      </c>
      <c r="AI4" s="23">
        <f>X4*J4*K4</f>
        <v>90.47599583823785</v>
      </c>
      <c r="AJ4" s="23"/>
      <c r="AK4" s="8">
        <f t="shared" ref="AK4:AK67" si="1">W4*K4*J4</f>
        <v>110.97999999999999</v>
      </c>
      <c r="AL4" s="32">
        <f>Parameters!$B$7*W4*(W4/O4)^(-Parameters!$B$9/Parameters!$B$7)*Parameters!$B$11*(V4)^(Parameters!$B$9-T4)*((1-2*Parameters!$B$5*C4/F4)*Parameters!$B$19*(F4+Parameters!$B$20)^(T4-1)-(1-2*Parameters!$B$5*D4/G4)*(Parameters!$B$18)*(G4)^(T4-1))</f>
        <v>3.6867934325573871E-2</v>
      </c>
      <c r="AM4" s="32"/>
      <c r="AN4" s="32"/>
      <c r="AO4" s="30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0.93820207172278736</v>
      </c>
      <c r="AP4" s="30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69.081668296318824</v>
      </c>
      <c r="AQ4" s="8"/>
      <c r="AR4" s="13">
        <f>1-W4/'6states,ExoDamages'!T4</f>
        <v>0</v>
      </c>
      <c r="AS4" s="21"/>
      <c r="AT4" s="7">
        <f>1000*EXP(-(Parameters!$B$54)*'6states'!A4)*AK4*Parameters!B$46*Parameters!B$45*N4</f>
        <v>1.8470179439999996</v>
      </c>
      <c r="AU4" s="7">
        <f>SUM(AT4:AT$204)*EXP(Parameters!$B$54*A4)</f>
        <v>167.21872995078172</v>
      </c>
      <c r="AV4" s="13">
        <f t="shared" ref="AV4:AV13" si="2">((C4&gt;0)*C4+D4+E4)/W4</f>
        <v>0.18398788252907697</v>
      </c>
      <c r="AW4" s="30">
        <f>Parameters!$B$6*C4/F4</f>
        <v>-8.399858218550163E-2</v>
      </c>
      <c r="AX4" s="30">
        <f>Parameters!$B$5*D4/G4</f>
        <v>0.20003273133275157</v>
      </c>
      <c r="AY4" s="30">
        <f>(1-2*AX4)/(1-2*AW4)</f>
        <v>0.51364383034061323</v>
      </c>
      <c r="AZ4" s="5">
        <f t="shared" ref="AZ4:AZ35" si="3">SUM(AS4:AS202)/Y4</f>
        <v>-1.7030135389022433E-3</v>
      </c>
      <c r="BA4" s="2">
        <f>AZ4/Parameters!$B$45</f>
        <v>-2.838355898170406</v>
      </c>
      <c r="BB4" s="2"/>
      <c r="BC4">
        <f>-2*Parameters!B$6 * C4/F4*X4^-Parameters!B$52</f>
        <v>0.12721009559222651</v>
      </c>
      <c r="BD4">
        <f>X4^-Parameters!B$52</f>
        <v>0.75721573080422366</v>
      </c>
      <c r="BE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-6.1217979282772124</v>
      </c>
      <c r="BF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-450.76005117082553</v>
      </c>
      <c r="BG4" s="7">
        <f t="shared" ref="BG4:BG35" si="4">I4/(F4+I4)</f>
        <v>0</v>
      </c>
      <c r="BH4" s="7">
        <f t="shared" ref="BH4:BH25" si="5">BE4-AO4</f>
        <v>-7.06</v>
      </c>
      <c r="BM4">
        <f>EXP(-Parameters!$B$56*A4)*AZ4*BF4</f>
        <v>0.76765046994018393</v>
      </c>
      <c r="BN4">
        <f>-EXP((Parameters!$B$56)*F4)*SUM(BM4:BM12)</f>
        <v>-1.7077247495281551</v>
      </c>
      <c r="BO4">
        <f>$X4^-Parameters!$B$52/(1-2*Parameters!$B$5*'6states'!$D4/'6states'!$G4)</f>
        <v>1.2621639256985029</v>
      </c>
      <c r="BQ4">
        <f>$X4^-Parameters!$B$52/(1-2*Parameters!$B$5*'6states'!$E4/'6states'!$H4)</f>
        <v>0.85348590491973197</v>
      </c>
      <c r="BS4" s="7">
        <f>($X4^-Parameters!$B$52*(1/(1+EXP(-C4)) + IF(C4&lt;0,2*Parameters!$B$6*C4/F4,0)) + BK4*(1/(1+EXP((C4-Parameters!$B$22)*Parameters!$B$21))))/(1-IF(C4&gt;0,2*Parameters!$B$5*C4/F4,0))</f>
        <v>0.24894868206417603</v>
      </c>
      <c r="BW4">
        <f>(Parameters!$B$18*'6states'!T4^+Parameters!$B$19*Parameters!$B$25^'6states'!T4)^((1-'6states'!T4)/'6states'!T4)*Parameters!$B$18*Parameters!$B$26^('6states'!T4-1)</f>
        <v>0.12971166489288935</v>
      </c>
    </row>
    <row r="5" spans="1:78" x14ac:dyDescent="0.25">
      <c r="A5">
        <f>A4+Parameters!$B$65</f>
        <v>1</v>
      </c>
      <c r="B5">
        <v>2026</v>
      </c>
      <c r="C5" s="74">
        <v>-9.9942078354746024E-3</v>
      </c>
      <c r="D5" s="69">
        <v>3.2527162987841508E-2</v>
      </c>
      <c r="E5" s="75">
        <v>0.24380650550125565</v>
      </c>
      <c r="F5" s="7">
        <f>MAX((1-Parameters!$B$4)^Parameters!B$65*F4 + C4*Parameters!B$65 - IF(C4&gt;0,Parameters!$B$5,0)*C4^2/F4*Parameters!B$65, 0.0001)</f>
        <v>0.70872600927263962</v>
      </c>
      <c r="G5" s="7">
        <f>(1-Parameters!$B$4)^Parameters!B$65*G4+D4*Parameters!B$65-Parameters!$B$5*D4^2/G4*Parameters!B$65</f>
        <v>0.16302215633347972</v>
      </c>
      <c r="H5" s="7">
        <f>(1-Parameters!$B$4)^Parameters!B$65*H4+E4*Parameters!B$65-Parameters!$B$5*E4^2/H4*Parameters!B$65</f>
        <v>4.3474936584189301</v>
      </c>
      <c r="I5" s="9">
        <f>I4 *(1-Parameters!$B$4)-C4*(C4&lt;0)*Parameters!B$65</f>
        <v>1.2937512027360272E-2</v>
      </c>
      <c r="J5" s="23">
        <f>J4*(1+Parameters!$B$51)^Parameters!B$65</f>
        <v>8.1836639999999985</v>
      </c>
      <c r="K5" s="23">
        <f>K4*(1+Parameters!$B$53)^Parameters!B$65</f>
        <v>9.2039964494891002</v>
      </c>
      <c r="L5" s="23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45.531984300540032</v>
      </c>
      <c r="M5" s="8">
        <f>M4+L5*Parameters!B$65</f>
        <v>2345.53198430054</v>
      </c>
      <c r="N5" s="7">
        <f>M5*Parameters!$B$45</f>
        <v>1.407319190580324</v>
      </c>
      <c r="O5" s="9">
        <f>EXP(-Parameters!$B$46/2*N5^2)</f>
        <v>0.9802922863510819</v>
      </c>
      <c r="P5" s="8">
        <f>MAX((Parameters!$B$62 + Parameters!$B$31*'6states'!A5 - '6states'!M5 + Parameters!$B$47/Parameters!$B$45)/Parameters!B$62,1)</f>
        <v>1.1533603139891966</v>
      </c>
      <c r="Q5" s="7">
        <f>Parameters!B$61*EXP(-Parameters!B$60*A5)</f>
        <v>0.48668062076216839</v>
      </c>
      <c r="R5" s="7">
        <f>(1-Parameters!B$61)*P5^-Parameters!B$63</f>
        <v>0.49291666786035809</v>
      </c>
      <c r="S5" s="7">
        <f>Parameters!B$61*EXP(-Parameters!B$60*A5)+(1-Parameters!B$61)*P5^-Parameters!B$63</f>
        <v>0.97959728862252649</v>
      </c>
      <c r="T5" s="7">
        <f>1-S5/Parameters!$B$12</f>
        <v>0.51020135568873681</v>
      </c>
      <c r="U5" s="7">
        <f t="shared" si="0"/>
        <v>2.0416553038977132</v>
      </c>
      <c r="V5" s="7">
        <f>(Parameters!$B$19*(F5+Parameters!$B$20)^T5+Parameters!$B$18*G5^T5)^(1/T5)</f>
        <v>0.50912916002942765</v>
      </c>
      <c r="W5" s="7">
        <f>(Parameters!$B$10*H5^Parameters!$B$9+Parameters!$B$11*V5^Parameters!$B$9)^(Parameters!$B$7/Parameters!$B$9)*O5</f>
        <v>1.4982023637151847</v>
      </c>
      <c r="X5" s="7">
        <f>W5 - D5 - E5 - LN(1+EXP(Parameters!$B$21*C5))/Parameters!$B$21 - IF(C5&gt;0, 0,Parameters!$B$6*C5^2/F5)</f>
        <v>1.2210017882366229</v>
      </c>
      <c r="Y5" s="7">
        <f>EXP(-Parameters!$B$55*A5)</f>
        <v>0.98501343333449787</v>
      </c>
      <c r="Z5" s="7">
        <f>IF(X5&gt;0,X5^(1-Parameters!$B$52)/(1-Parameters!$B$52)*Y5*Parameters!$B$65,-10+X5*1000)</f>
        <v>-2.6243599653902283</v>
      </c>
      <c r="AB5" s="9"/>
      <c r="AC5" s="23">
        <f t="shared" ref="AC5:AC68" si="6">I5*J5*K5</f>
        <v>0.97448464222737907</v>
      </c>
      <c r="AD5" s="23">
        <f t="shared" ref="AD5:AD68" si="7">F5*J5*K5</f>
        <v>53.382954166358587</v>
      </c>
      <c r="AE5" s="23">
        <f t="shared" ref="AE5:AE68" si="8">G5*J5*K5</f>
        <v>12.279222415701257</v>
      </c>
      <c r="AF5" s="23">
        <f t="shared" ref="AF5:AF68" si="9">V5*J5*K5</f>
        <v>38.348837574764623</v>
      </c>
      <c r="AG5" s="23">
        <f t="shared" ref="AG5:AG68" si="10">AF5/AF$4*100</f>
        <v>97.199678369159869</v>
      </c>
      <c r="AH5" s="23">
        <f t="shared" ref="AH5:AH68" si="11">W5*J5*K5</f>
        <v>112.84821929453264</v>
      </c>
      <c r="AI5" s="23">
        <f t="shared" ref="AI5:AI68" si="12">X5*J5*K5</f>
        <v>91.968802676470105</v>
      </c>
      <c r="AJ5" s="23"/>
      <c r="AK5" s="8">
        <f t="shared" si="1"/>
        <v>112.84821929453264</v>
      </c>
      <c r="AL5" s="32">
        <f>Parameters!$B$7*W5*(W5/O5)^(-Parameters!$B$9/Parameters!$B$7)*Parameters!$B$11*(V5)^(Parameters!$B$9-T5)*((1-2*Parameters!$B$5*C5/F5)*Parameters!$B$19*(F5+Parameters!$B$20)^(T5-1)-(1-2*Parameters!$B$5*D5/G5)*(Parameters!$B$18)*(G5)^(T5-1))</f>
        <v>5.0370040209331404E-2</v>
      </c>
      <c r="AM5" s="32">
        <f>((C6-C4)/2-(F6-F4)/F5/2*C5)/(F5/2/Parameters!$B$5-C5)-((D6-D4)/D5-(G6-G4)/G5)/(G5/2/Parameters!$B$5/D5-1)</f>
        <v>1.0554861020135409E-2</v>
      </c>
      <c r="AN5" s="32">
        <f>+Parameters!$B$5*C5^2/F5^2-Parameters!$B$5*D5^2/G5^2</f>
        <v>-3.961177841318702E-2</v>
      </c>
      <c r="AO5" s="30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0.90258157945167206</v>
      </c>
      <c r="AP5" s="30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67.984623757095449</v>
      </c>
      <c r="AQ5" s="8">
        <f>1000*(AL5+AM5+AN5)/AO5</f>
        <v>23.61351405955763</v>
      </c>
      <c r="AR5" s="13">
        <f>1-W5/'6states,ExoDamages'!T5</f>
        <v>5.3538935073860205E-3</v>
      </c>
      <c r="AS5" s="21">
        <f>-Y5*W5*X5^(-Parameters!B$52)*Parameters!B$46*Parameters!B$45*N5</f>
        <v>-1.9128703869204248E-5</v>
      </c>
      <c r="AT5" s="7">
        <f>1000*EXP(-(Parameters!$B$54)*'6states'!A5)*AK5*Parameters!B$46*Parameters!B$45*N5</f>
        <v>1.8492298357935517</v>
      </c>
      <c r="AU5" s="7">
        <f>SUM(AT5:AT$204)*EXP(Parameters!$B$54*A5)</f>
        <v>171.27933130892123</v>
      </c>
      <c r="AV5" s="13">
        <f t="shared" si="2"/>
        <v>0.18444348719611919</v>
      </c>
      <c r="AW5" s="30">
        <f>Parameters!$B$6*C5/F5</f>
        <v>-7.0508262041431111E-2</v>
      </c>
      <c r="AX5" s="30">
        <f>Parameters!$B$5*D5/G5</f>
        <v>0.19952602590597332</v>
      </c>
      <c r="AY5" s="30">
        <f t="shared" ref="AY5" si="13">(1-2*AX5)/(1-2*AW5)</f>
        <v>0.5266776909046863</v>
      </c>
      <c r="AZ5" s="5">
        <f t="shared" si="3"/>
        <v>-1.7304380143454766E-3</v>
      </c>
      <c r="BA5" s="2">
        <f>AZ5/Parameters!$B$45</f>
        <v>-2.8840633572424612</v>
      </c>
      <c r="BB5" s="2">
        <f>1-BA4/BA5</f>
        <v>1.5848285356587111E-2</v>
      </c>
      <c r="BC5">
        <f>-2*Parameters!B$6 * C5/F5*X5^-Parameters!B$52</f>
        <v>0.10769684991137429</v>
      </c>
      <c r="BD5">
        <f>X5^-Parameters!B$52</f>
        <v>0.76371794448777452</v>
      </c>
      <c r="BE5">
        <f>-EXP(-Parameters!B$42*'6states'!A5)*(-Parameters!B$37/Parameters!B$38/Parameters!E$25*(EXP(-Parameters!B$38*Parameters!E$25*'6states'!AC5/('6states'!F5+'6states'!AC5))-EXP(-Parameters!B$38*Parameters!E$25))+Parameters!B$37*'6states'!F5/('6states'!F5+'6states'!AC5)*EXP(-Parameters!B$38*Parameters!E$25*'6states'!I5/('6states'!F5+'6states'!AC5)))</f>
        <v>-1.8671977424236319</v>
      </c>
      <c r="BF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-204.86835344561345</v>
      </c>
      <c r="BG5" s="7">
        <f t="shared" si="4"/>
        <v>1.7927346534094897E-2</v>
      </c>
      <c r="BH5" s="7">
        <f t="shared" si="5"/>
        <v>-2.769779321875304</v>
      </c>
      <c r="BM5">
        <f>EXP(-Parameters!$B$56*A5)*AZ5*BF5</f>
        <v>0.32791097651653051</v>
      </c>
      <c r="BN5">
        <f>-EXP((Parameters!$B$56)*F5)*SUM(BM5:BM13)</f>
        <v>-0.93257654061153283</v>
      </c>
      <c r="BO5">
        <f>X5^-Parameters!B$52/(1-2*Parameters!B$5*'6states'!D5/'6states'!G5)</f>
        <v>1.2708553990249851</v>
      </c>
      <c r="BP5">
        <f t="shared" ref="BP5:BP36" si="14">BO5/BO4</f>
        <v>1.0068861683886838</v>
      </c>
      <c r="BQ5">
        <f>$X5^-Parameters!$B$52/(1-2*Parameters!$B$5*'6states'!$E5/'6states'!$H5)</f>
        <v>0.86019730239683179</v>
      </c>
      <c r="BR5">
        <f>BQ5/BQ4</f>
        <v>1.0078635129630302</v>
      </c>
      <c r="BS5" s="7">
        <f>($X5^-Parameters!$B$52*(1/(1+EXP(-C5)) + IF(C5&lt;0,2*Parameters!$B$6*C5/F5,0)) + BK5*(1/(1+EXP((C5-Parameters!$B$22)*Parameters!$B$21))))/(1-IF(C5&gt;0,2*Parameters!$B$5*C5/F5,0))</f>
        <v>0.27225394924929036</v>
      </c>
      <c r="BT5">
        <f>BS5/BS4</f>
        <v>1.0936147441789088</v>
      </c>
      <c r="BU5" s="7">
        <f>BS5-BS4</f>
        <v>2.3305267185114331E-2</v>
      </c>
      <c r="BV5">
        <f>(1/$T5-1/Parameters!$B$13) * LN(Parameters!$B$18) / LN(P5)</f>
        <v>0.3338855086442673</v>
      </c>
      <c r="BW5">
        <f>(Parameters!$B$18*'6states'!T5^+Parameters!$B$19*Parameters!$B$25^'6states'!T5)^((1-'6states'!T5)/'6states'!T5)*Parameters!$B$18*Parameters!$B$26^('6states'!T5-1)</f>
        <v>0.13823614586486521</v>
      </c>
      <c r="BX5">
        <f t="shared" ref="BX5:BX36" si="15">(LN(BW5)-LN(BW$4))/ LN(P5)</f>
        <v>0.44609991926388826</v>
      </c>
      <c r="BY5">
        <f>1-2^-BV5</f>
        <v>0.20660319584422049</v>
      </c>
      <c r="BZ5">
        <f>1-2^-BW5</f>
        <v>9.1370623670171902E-2</v>
      </c>
    </row>
    <row r="6" spans="1:78" x14ac:dyDescent="0.25">
      <c r="A6">
        <f>A5+Parameters!$B$65</f>
        <v>2</v>
      </c>
      <c r="B6">
        <v>2027</v>
      </c>
      <c r="C6" s="74">
        <v>-6.9542370713932726E-3</v>
      </c>
      <c r="D6" s="69">
        <v>3.5526850018792272E-2</v>
      </c>
      <c r="E6" s="75">
        <v>0.23957637297146603</v>
      </c>
      <c r="F6" s="7">
        <f>MAX((1-Parameters!$B$4)^Parameters!B$65*F5 + C5*Parameters!B$65 - IF(C5&gt;0,Parameters!$B$5,0)*C5^2/F5*Parameters!B$65, 0.0001)</f>
        <v>0.65415293545391606</v>
      </c>
      <c r="G6" s="7">
        <f>(1-Parameters!$B$4)^Parameters!B$65*G5+D5*Parameters!B$65-Parameters!$B$5*D5^2/G5*Parameters!B$65</f>
        <v>0.17880521012298548</v>
      </c>
      <c r="H6" s="7">
        <f>(1-Parameters!$B$4)^Parameters!B$65*H5+E5*Parameters!B$65-Parameters!$B$5*E5^2/H5*Parameters!B$65</f>
        <v>4.3041701966283519</v>
      </c>
      <c r="I6" s="9">
        <f>I5 *(1-Parameters!$B$4)-C5*(C5&lt;0)*Parameters!B$65</f>
        <v>2.2117950356313913E-2</v>
      </c>
      <c r="J6" s="23">
        <f>J5*(1+Parameters!$B$51)^Parameters!B$65</f>
        <v>8.2073966255999977</v>
      </c>
      <c r="K6" s="23">
        <f>K5*(1+Parameters!$B$53)^Parameters!B$65</f>
        <v>9.3880763784788819</v>
      </c>
      <c r="L6" s="23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41.020361171463271</v>
      </c>
      <c r="M6" s="8">
        <f>M5+L6*Parameters!B$65</f>
        <v>2386.5523454720033</v>
      </c>
      <c r="N6" s="7">
        <f>M6*Parameters!$B$45</f>
        <v>1.4319314072832019</v>
      </c>
      <c r="O6" s="9">
        <f>EXP(-Parameters!$B$46/2*N6^2)</f>
        <v>0.97960407218090528</v>
      </c>
      <c r="P6" s="8">
        <f>MAX((Parameters!$B$62 + Parameters!$B$31*'6states'!A6 - '6states'!M6 + Parameters!$B$47/Parameters!$B$45)/Parameters!B$62,1)</f>
        <v>1.3969530905599368</v>
      </c>
      <c r="Q6" s="7">
        <f>Parameters!B$61*EXP(-Parameters!B$60*A6)</f>
        <v>0.47371605325089916</v>
      </c>
      <c r="R6" s="7">
        <f>(1-Parameters!B$61)*P6^-Parameters!B$63</f>
        <v>0.48356161798819086</v>
      </c>
      <c r="S6" s="7">
        <f>Parameters!B$61*EXP(-Parameters!B$60*A6)+(1-Parameters!B$61)*P6^-Parameters!B$63</f>
        <v>0.95727767123909002</v>
      </c>
      <c r="T6" s="7">
        <f>1-S6/Parameters!$B$12</f>
        <v>0.52136116438045499</v>
      </c>
      <c r="U6" s="7">
        <f t="shared" si="0"/>
        <v>2.0892579656759582</v>
      </c>
      <c r="V6" s="7">
        <f>(Parameters!$B$19*(F6+Parameters!$B$20)^T6+Parameters!$B$18*G6^T6)^(1/T6)</f>
        <v>0.48568967406955793</v>
      </c>
      <c r="W6" s="7">
        <f>(Parameters!$B$10*H6^Parameters!$B$9+Parameters!$B$11*V6^Parameters!$B$9)^(Parameters!$B$7/Parameters!$B$9)*O6</f>
        <v>1.4891400014651672</v>
      </c>
      <c r="X6" s="7">
        <f>W6 - D6 - E6 - LN(1+EXP(Parameters!$B$21*C6))/Parameters!$B$21 - IF(C6&gt;0, 0,Parameters!$B$6*C6^2/F6)</f>
        <v>1.2132770410315268</v>
      </c>
      <c r="Y6" s="7">
        <f>EXP(-Parameters!$B$55*A6)</f>
        <v>0.9702514638494153</v>
      </c>
      <c r="Z6" s="7">
        <f>IF(X6&gt;0,X6^(1-Parameters!$B$52)/(1-Parameters!$B$52)*Y6*Parameters!$B$65,-10+X6*1000)</f>
        <v>-2.5907784113927934</v>
      </c>
      <c r="AB6" s="9"/>
      <c r="AC6" s="23">
        <f t="shared" si="6"/>
        <v>1.7042249320764922</v>
      </c>
      <c r="AD6" s="23">
        <f t="shared" si="7"/>
        <v>50.403573750374399</v>
      </c>
      <c r="AE6" s="23">
        <f t="shared" si="8"/>
        <v>13.777239399119075</v>
      </c>
      <c r="AF6" s="23">
        <f t="shared" si="9"/>
        <v>37.423198735282405</v>
      </c>
      <c r="AG6" s="23">
        <f t="shared" si="10"/>
        <v>94.853536916807741</v>
      </c>
      <c r="AH6" s="23">
        <f t="shared" si="11"/>
        <v>114.74071860030642</v>
      </c>
      <c r="AI6" s="23">
        <f t="shared" si="12"/>
        <v>93.485017803725412</v>
      </c>
      <c r="AJ6" s="23"/>
      <c r="AK6" s="8">
        <f t="shared" si="1"/>
        <v>114.74071860030642</v>
      </c>
      <c r="AL6" s="32">
        <f>Parameters!$B$7*W6*(W6/O6)^(-Parameters!$B$9/Parameters!$B$7)*Parameters!$B$11*(V6)^(Parameters!$B$9-T6)*((1-2*Parameters!$B$5*C6/F6)*Parameters!$B$19*(F6+Parameters!$B$20)^(T6-1)-(1-2*Parameters!$B$5*D6/G6)*(Parameters!$B$18)*(G6)^(T6-1))</f>
        <v>6.5407178838354979E-2</v>
      </c>
      <c r="AM6" s="32">
        <f>((C7-C5)/2-(F7-F5)/F6/2*C6)/(F6/2/Parameters!$B$5-C6)-((D7-D5)/D6-(G7-G5)/G6)/(G6/2/Parameters!$B$5/D6-1)</f>
        <v>1.4511355694535029E-2</v>
      </c>
      <c r="AN6" s="32">
        <f>+Parameters!$B$5*C6^2/F6^2-Parameters!$B$5*D6^2/G6^2</f>
        <v>-3.9364795142519164E-2</v>
      </c>
      <c r="AO6" s="30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0.86085997434465988</v>
      </c>
      <c r="AP6" s="30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66.330695551366588</v>
      </c>
      <c r="AQ6" s="8">
        <f t="shared" ref="AQ6:AQ13" si="16">1000*(AL6+AM6+AN6)/AO6</f>
        <v>47.108403920443472</v>
      </c>
      <c r="AR6" s="13">
        <f>1-W6/'6states,ExoDamages'!T6</f>
        <v>1.0784476684223998E-2</v>
      </c>
      <c r="AS6" s="21">
        <f>-Y6*W6*X6^(-Parameters!B$52)*Parameters!B$46*Parameters!B$45*N6</f>
        <v>-1.9219557602085372E-5</v>
      </c>
      <c r="AT6" s="7">
        <f>1000*EXP(-(Parameters!$B$54)*'6states'!A6)*AK6*Parameters!B$46*Parameters!B$45*N6</f>
        <v>1.8471391592583637</v>
      </c>
      <c r="AU6" s="7">
        <f>SUM(AT6:AT$204)*EXP(Parameters!$B$54*A6)</f>
        <v>175.41427929518892</v>
      </c>
      <c r="AV6" s="13">
        <f t="shared" si="2"/>
        <v>0.18473966364450878</v>
      </c>
      <c r="AW6" s="30">
        <f>Parameters!$B$6*C6/F6</f>
        <v>-5.3154520101386799E-2</v>
      </c>
      <c r="AX6" s="30">
        <f>Parameters!$B$5*D6/G6</f>
        <v>0.19869023947543954</v>
      </c>
      <c r="AY6" s="30">
        <f t="shared" ref="AY6" si="17">(1-2*AX6)/(1-2*AW6)</f>
        <v>0.54471173889952829</v>
      </c>
      <c r="AZ6" s="5">
        <f t="shared" si="3"/>
        <v>-1.7385645606723798E-3</v>
      </c>
      <c r="BA6" s="2">
        <f>AZ6/Parameters!$B$45</f>
        <v>-2.8976076011206331</v>
      </c>
      <c r="BB6" s="2">
        <f t="shared" ref="BB6:BB55" si="18">1-BA5/BA6</f>
        <v>4.6742850456816809E-3</v>
      </c>
      <c r="BC6">
        <f>-2*Parameters!B$6 * C6/F6*X6^-Parameters!B$52</f>
        <v>8.1888746809068172E-2</v>
      </c>
      <c r="BD6">
        <f>X6^-Parameters!B$52</f>
        <v>0.77028958828782368</v>
      </c>
      <c r="BE6">
        <f>-EXP(-Parameters!B$42*'6states'!A6)*(-Parameters!B$37/Parameters!B$38/Parameters!E$25*(EXP(-Parameters!B$38*Parameters!E$25*'6states'!AC6/('6states'!F6+'6states'!AC6))-EXP(-Parameters!B$38*Parameters!E$25))+Parameters!B$37*'6states'!F6/('6states'!F6+'6states'!AC6)*EXP(-Parameters!B$38*Parameters!E$25*'6states'!I6/('6states'!F6+'6states'!AC6)))</f>
        <v>-1.1310570429632387</v>
      </c>
      <c r="BF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-107.1554097907914</v>
      </c>
      <c r="BG6" s="7">
        <f t="shared" si="4"/>
        <v>3.2705755667441945E-2</v>
      </c>
      <c r="BH6" s="7">
        <f t="shared" si="5"/>
        <v>-1.9919170173078986</v>
      </c>
      <c r="BM6">
        <f>EXP(-Parameters!$B$56*A6)*AZ6*BF6</f>
        <v>0.15938776650806488</v>
      </c>
      <c r="BN6">
        <f>-EXP((Parameters!$B$56)*F6)*SUM(BM6:BM14)</f>
        <v>-0.62535714426552191</v>
      </c>
      <c r="BO6">
        <f>X6^-Parameters!B$52/(1-2*Parameters!B$5*'6states'!D6/'6states'!G6)</f>
        <v>1.2782353730373688</v>
      </c>
      <c r="BP6">
        <f t="shared" si="14"/>
        <v>1.0058070918359758</v>
      </c>
      <c r="BQ6">
        <f>$X6^-Parameters!$B$52/(1-2*Parameters!$B$5*'6states'!$E6/'6states'!$H6)</f>
        <v>0.86678231705517172</v>
      </c>
      <c r="BR6">
        <f>BQ6/BQ5</f>
        <v>1.0076552375135235</v>
      </c>
      <c r="BS6" s="7">
        <f>($X6^-Parameters!$B$52 * (1/(1+EXP(-C6)) + IF(C6&lt;0,2*Parameters!$B$6*C6/F6,0)) + BK6 * (1/(1+EXP((C6-Parameters!$B$22)*Parameters!$B$21)))) / (1-IF(C6&gt;0,2*Parameters!$B$5*C6/F6,0))</f>
        <v>0.30191685862928269</v>
      </c>
      <c r="BT6">
        <f>BS6/BS5</f>
        <v>1.1089530912656527</v>
      </c>
      <c r="BU6" s="7">
        <f t="shared" ref="BU6:BU26" si="19">BS6-BS5</f>
        <v>2.966290937999233E-2</v>
      </c>
      <c r="BV6">
        <f>(1/$T6-1/Parameters!$B$13) * LN(Parameters!$B$18) / LN(P6)</f>
        <v>0.29201271837412068</v>
      </c>
      <c r="BW6">
        <f>(Parameters!$B$18*'6states'!T6^+Parameters!$B$19*Parameters!$B$25^'6states'!T6)^((1-'6states'!T6)/'6states'!T6)*Parameters!$B$18*Parameters!$B$26^('6states'!T6-1)</f>
        <v>0.14753496167902594</v>
      </c>
      <c r="BX6">
        <f t="shared" si="15"/>
        <v>0.38514404516806694</v>
      </c>
      <c r="BY6">
        <f t="shared" ref="BY6:BZ44" si="20">1-2^-BV6</f>
        <v>0.18323820925285095</v>
      </c>
      <c r="BZ6">
        <f t="shared" si="20"/>
        <v>9.720831356080617E-2</v>
      </c>
    </row>
    <row r="7" spans="1:78" x14ac:dyDescent="0.25">
      <c r="A7">
        <f>A6+Parameters!$B$65</f>
        <v>3</v>
      </c>
      <c r="B7">
        <v>2028</v>
      </c>
      <c r="C7" s="74">
        <v>-3.8687502139234408E-3</v>
      </c>
      <c r="D7" s="69">
        <v>3.8708930748711158E-2</v>
      </c>
      <c r="E7" s="75">
        <v>0.23521613236754801</v>
      </c>
      <c r="F7" s="7">
        <f>MAX((1-Parameters!$B$4)^Parameters!B$65*F6 + C6*Parameters!B$65 - IF(C6&gt;0,Parameters!$B$5,0)*C6^2/F6*Parameters!B$65, 0.0001)</f>
        <v>0.60605247874247148</v>
      </c>
      <c r="G7" s="7">
        <f>(1-Parameters!$B$4)^Parameters!B$65*G6+D6*Parameters!B$65-Parameters!$B$5*D6^2/G6*Parameters!B$65</f>
        <v>0.1960263740870001</v>
      </c>
      <c r="H7" s="7">
        <f>(1-Parameters!$B$4)^Parameters!B$65*H6+E6*Parameters!B$65-Parameters!$B$5*E6^2/H6*Parameters!B$65</f>
        <v>4.2596790948812195</v>
      </c>
      <c r="I7" s="9">
        <f>I6 *(1-Parameters!$B$4)-C6*(C6&lt;0)*Parameters!B$65</f>
        <v>2.768096835029504E-2</v>
      </c>
      <c r="J7" s="23">
        <f>J6*(1+Parameters!$B$51)^Parameters!B$65</f>
        <v>8.2311980758142376</v>
      </c>
      <c r="K7" s="23">
        <f>K6*(1+Parameters!$B$53)^Parameters!B$65</f>
        <v>9.5758379060484593</v>
      </c>
      <c r="L7" s="23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37.873749203489417</v>
      </c>
      <c r="M7" s="8">
        <f>M6+L7*Parameters!B$65</f>
        <v>2424.4260946754925</v>
      </c>
      <c r="N7" s="7">
        <f>M7*Parameters!$B$45</f>
        <v>1.4546556568052953</v>
      </c>
      <c r="O7" s="9">
        <f>EXP(-Parameters!$B$46/2*N7^2)</f>
        <v>0.97895849568420434</v>
      </c>
      <c r="P7" s="8">
        <f>MAX((Parameters!$B$62 + Parameters!$B$31*'6states'!A7 - '6states'!M7 + Parameters!$B$47/Parameters!$B$45)/Parameters!B$62,1)</f>
        <v>1.7034781064901472</v>
      </c>
      <c r="Q7" s="7">
        <f>Parameters!B$61*EXP(-Parameters!B$60*A7)</f>
        <v>0.46109684572230403</v>
      </c>
      <c r="R7" s="7">
        <f>(1-Parameters!B$61)*P7^-Parameters!B$63</f>
        <v>0.47406331457433692</v>
      </c>
      <c r="S7" s="7">
        <f>Parameters!B$61*EXP(-Parameters!B$60*A7)+(1-Parameters!B$61)*P7^-Parameters!B$63</f>
        <v>0.93516016029664095</v>
      </c>
      <c r="T7" s="7">
        <f>1-S7/Parameters!$B$12</f>
        <v>0.53241991985167947</v>
      </c>
      <c r="U7" s="7">
        <f t="shared" si="0"/>
        <v>2.1386710906991402</v>
      </c>
      <c r="V7" s="7">
        <f>(Parameters!$B$19*(F7+Parameters!$B$20)^T7+Parameters!$B$18*G7^T7)^(1/T7)</f>
        <v>0.46540779509042046</v>
      </c>
      <c r="W7" s="7">
        <f>(Parameters!$B$10*H7^Parameters!$B$9+Parameters!$B$11*V7^Parameters!$B$9)^(Parameters!$B$7/Parameters!$B$9)*O7</f>
        <v>1.4801412165924495</v>
      </c>
      <c r="X7" s="7">
        <f>W7 - D7 - E7 - LN(1+EXP(Parameters!$B$21*C7))/Parameters!$B$21 - IF(C7&gt;0, 0,Parameters!$B$6*C7^2/F7)</f>
        <v>1.2051842199795835</v>
      </c>
      <c r="Y7" s="7">
        <f>EXP(-Parameters!$B$55*A7)</f>
        <v>0.95571072560413495</v>
      </c>
      <c r="Z7" s="7">
        <f>IF(X7&gt;0,X7^(1-Parameters!$B$52)/(1-Parameters!$B$52)*Y7*Parameters!$B$65,-10+X7*1000)</f>
        <v>-2.5579362276139892</v>
      </c>
      <c r="AB7" s="9"/>
      <c r="AC7" s="23">
        <f t="shared" si="6"/>
        <v>2.1818310473384241</v>
      </c>
      <c r="AD7" s="23">
        <f t="shared" si="7"/>
        <v>47.769431246166668</v>
      </c>
      <c r="AE7" s="23">
        <f t="shared" si="8"/>
        <v>15.450920056979671</v>
      </c>
      <c r="AF7" s="23">
        <f t="shared" si="9"/>
        <v>36.68373028542463</v>
      </c>
      <c r="AG7" s="23">
        <f t="shared" si="10"/>
        <v>92.979266403387669</v>
      </c>
      <c r="AH7" s="23">
        <f t="shared" si="11"/>
        <v>116.66564622809707</v>
      </c>
      <c r="AI7" s="23">
        <f t="shared" si="12"/>
        <v>94.99336568136242</v>
      </c>
      <c r="AJ7" s="23"/>
      <c r="AK7" s="8">
        <f t="shared" si="1"/>
        <v>116.66564622809707</v>
      </c>
      <c r="AL7" s="32">
        <f>Parameters!$B$7*W7*(W7/O7)^(-Parameters!$B$9/Parameters!$B$7)*Parameters!$B$11*(V7)^(Parameters!$B$9-T7)*((1-2*Parameters!$B$5*C7/F7)*Parameters!$B$19*(F7+Parameters!$B$20)^(T7-1)-(1-2*Parameters!$B$5*D7/G7)*(Parameters!$B$18)*(G7)^(T7-1))</f>
        <v>8.1093842589816237E-2</v>
      </c>
      <c r="AM7" s="32">
        <f>((C8-C6)/2-(F8-F6)/F7/2*C7)/(F7/2/Parameters!$B$5-C7)-((D8-D6)/D7-(G8-G6)/G7)/(G7/2/Parameters!$B$5/D7-1)</f>
        <v>1.7978349363254695E-2</v>
      </c>
      <c r="AN7" s="32">
        <f>+Parameters!$B$5*C7^2/F7^2-Parameters!$B$5*D7^2/G7^2</f>
        <v>-3.8952850995479307E-2</v>
      </c>
      <c r="AO7" s="30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0.83133976292926126</v>
      </c>
      <c r="AP7" s="30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65.526714336447498</v>
      </c>
      <c r="AQ7" s="8">
        <f t="shared" si="16"/>
        <v>72.316210096529673</v>
      </c>
      <c r="AR7" s="13">
        <f>1-W7/'6states,ExoDamages'!T7</f>
        <v>1.6205550531297686E-2</v>
      </c>
      <c r="AS7" s="21">
        <f>-Y7*W7*X7^(-Parameters!B$52)*Parameters!B$46*Parameters!B$45*N7</f>
        <v>-1.9289233965334405E-5</v>
      </c>
      <c r="AT7" s="7">
        <f>1000*EXP(-(Parameters!$B$54)*'6states'!A7)*AK7*Parameters!B$46*Parameters!B$45*N7</f>
        <v>1.8421258207617388</v>
      </c>
      <c r="AU7" s="7">
        <f>SUM(AT7:AT$204)*EXP(Parameters!$B$54*A7)</f>
        <v>179.62839935336271</v>
      </c>
      <c r="AV7" s="13">
        <f t="shared" si="2"/>
        <v>0.1850668436535291</v>
      </c>
      <c r="AW7" s="30"/>
      <c r="AX7" s="30"/>
      <c r="AY7" s="30"/>
      <c r="AZ7" s="5">
        <f t="shared" si="3"/>
        <v>-1.7449058671313413E-3</v>
      </c>
      <c r="BA7" s="2">
        <f>AZ7/Parameters!$B$45</f>
        <v>-2.9081764452189023</v>
      </c>
      <c r="BB7" s="2">
        <f t="shared" si="18"/>
        <v>3.6341825530030736E-3</v>
      </c>
      <c r="BE7">
        <f>-EXP(-Parameters!B$42*'6states'!A7)*(-Parameters!B$37/Parameters!B$38/Parameters!E$25*(EXP(-Parameters!B$38*Parameters!E$25*'6states'!AC7/('6states'!F7+'6states'!AC7))-EXP(-Parameters!B$38*Parameters!E$25))+Parameters!B$37*'6states'!F7/('6states'!F7+'6states'!AC7)*EXP(-Parameters!B$38*Parameters!E$25*'6states'!I7/('6states'!F7+'6states'!AC7)))</f>
        <v>-0.85678383925385571</v>
      </c>
      <c r="BF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-66.431145785578437</v>
      </c>
      <c r="BG7" s="7">
        <f t="shared" si="4"/>
        <v>4.3679197424848992E-2</v>
      </c>
      <c r="BH7" s="7">
        <f t="shared" si="5"/>
        <v>-1.688123602183117</v>
      </c>
      <c r="BM7">
        <f>EXP(-Parameters!$B$56*A7)*AZ7*BF7</f>
        <v>9.1731572254938845E-2</v>
      </c>
      <c r="BN7">
        <f>-EXP((Parameters!$B$56)*F7)*SUM(BM7:BM15)</f>
        <v>-0.49549032296339746</v>
      </c>
      <c r="BO7">
        <f>X7^-Parameters!B$52/(1-2*Parameters!B$5*'6states'!D7/'6states'!G7)</f>
        <v>1.2846254086901105</v>
      </c>
      <c r="BP7">
        <f t="shared" si="14"/>
        <v>1.0049991071969457</v>
      </c>
      <c r="BQ7">
        <f>$X7^-Parameters!$B$52/(1-2*Parameters!$B$5*'6states'!$E7/'6states'!$H7)</f>
        <v>0.8737794914127901</v>
      </c>
      <c r="BR7">
        <f t="shared" ref="BR7:BR70" si="21">BQ7/BQ6</f>
        <v>1.008072585492273</v>
      </c>
      <c r="BS7" s="7">
        <f>($X7^-Parameters!$B$52*(1/(1+EXP(-C7)) + IF(C7&lt;0,2*Parameters!$B$6*C7/F7,0)) + BK7*(1/(1+EXP((C7-Parameters!$B$22)*Parameters!$B$21))))/(1-IF(C7&gt;0,2*Parameters!$B$5*C7/F7,0))</f>
        <v>0.33827066046426929</v>
      </c>
      <c r="BT7">
        <f t="shared" ref="BT7:BT70" si="22">BS7/BS6</f>
        <v>1.1204099764419735</v>
      </c>
      <c r="BU7" s="7">
        <f t="shared" si="19"/>
        <v>3.6353801834986599E-2</v>
      </c>
      <c r="BV7">
        <f>(1/$T7-1/Parameters!$B$13) * LN(Parameters!$B$18) / LN(P7)</f>
        <v>0.2723586311385765</v>
      </c>
      <c r="BW7">
        <f>(Parameters!$B$18*'6states'!T7^+Parameters!$B$19*Parameters!$B$25^'6states'!T7)^((1-'6states'!T7)/'6states'!T7)*Parameters!$B$18*Parameters!$B$26^('6states'!T7-1)</f>
        <v>0.15668330193375415</v>
      </c>
      <c r="BX7">
        <f t="shared" si="15"/>
        <v>0.35465074305396471</v>
      </c>
      <c r="BY7">
        <f t="shared" si="20"/>
        <v>0.17203518318985889</v>
      </c>
      <c r="BZ7">
        <f t="shared" si="20"/>
        <v>0.10291493529822671</v>
      </c>
    </row>
    <row r="8" spans="1:78" x14ac:dyDescent="0.25">
      <c r="A8">
        <f>A7+Parameters!$B$65</f>
        <v>4</v>
      </c>
      <c r="B8">
        <v>2029</v>
      </c>
      <c r="C8" s="74">
        <v>-1.1912551252300024E-3</v>
      </c>
      <c r="D8" s="69">
        <v>4.2062120401541794E-2</v>
      </c>
      <c r="E8" s="75">
        <v>0.23110627046749024</v>
      </c>
      <c r="F8" s="7">
        <f>MAX((1-Parameters!$B$4)^Parameters!B$65*F7 + C7*Parameters!B$65 - IF(C7&gt;0,Parameters!$B$5,0)*C7^2/F7*Parameters!B$65, 0.0001)</f>
        <v>0.56406302761564664</v>
      </c>
      <c r="G8" s="7">
        <f>(1-Parameters!$B$4)^Parameters!B$65*G7+D7*Parameters!B$65-Parameters!$B$5*D7^2/G7*Parameters!B$65</f>
        <v>0.21476147181305941</v>
      </c>
      <c r="H8" s="7">
        <f>(1-Parameters!$B$4)^Parameters!B$65*H7+E7*Parameters!B$65-Parameters!$B$5*E7^2/H7*Parameters!B$65</f>
        <v>4.213972962184017</v>
      </c>
      <c r="I8" s="9">
        <f>I7 *(1-Parameters!$B$4)-C7*(C7&lt;0)*Parameters!B$65</f>
        <v>2.9808585654984926E-2</v>
      </c>
      <c r="J8" s="23">
        <f>J7*(1+Parameters!$B$51)^Parameters!B$65</f>
        <v>8.2550685502340979</v>
      </c>
      <c r="K8" s="23">
        <f>K7*(1+Parameters!$B$53)^Parameters!B$65</f>
        <v>9.767354664169428</v>
      </c>
      <c r="L8" s="23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35.464165401928142</v>
      </c>
      <c r="M8" s="8">
        <f>M7+L8*Parameters!B$65</f>
        <v>2459.8902600774209</v>
      </c>
      <c r="N8" s="7">
        <f>M8*Parameters!$B$45</f>
        <v>1.4759341560464523</v>
      </c>
      <c r="O8" s="9">
        <f>EXP(-Parameters!$B$46/2*N8^2)</f>
        <v>0.9783451712153487</v>
      </c>
      <c r="P8" s="8">
        <f>MAX((Parameters!$B$62 + Parameters!$B$31*'6states'!A8 - '6states'!M8 + Parameters!$B$47/Parameters!$B$45)/Parameters!B$62,1)</f>
        <v>2.0581947984515865</v>
      </c>
      <c r="Q8" s="7">
        <f>Parameters!B$61*EXP(-Parameters!B$60*A8)</f>
        <v>0.44881379821521744</v>
      </c>
      <c r="R8" s="7">
        <f>(1-Parameters!B$61)*P8^-Parameters!B$63</f>
        <v>0.46518034527755459</v>
      </c>
      <c r="S8" s="7">
        <f>Parameters!B$61*EXP(-Parameters!B$60*A8)+(1-Parameters!B$61)*P8^-Parameters!B$63</f>
        <v>0.91399414349277208</v>
      </c>
      <c r="T8" s="7">
        <f>1-S8/Parameters!$B$12</f>
        <v>0.54300292825361396</v>
      </c>
      <c r="U8" s="7">
        <f t="shared" si="0"/>
        <v>2.188197828442449</v>
      </c>
      <c r="V8" s="7">
        <f>(Parameters!$B$19*(F8+Parameters!$B$20)^T8+Parameters!$B$18*G8^T8)^(1/T8)</f>
        <v>0.44826112156384906</v>
      </c>
      <c r="W8" s="7">
        <f>(Parameters!$B$10*H8^Parameters!$B$9+Parameters!$B$11*V8^Parameters!$B$9)^(Parameters!$B$7/Parameters!$B$9)*O8</f>
        <v>1.4713851229755757</v>
      </c>
      <c r="X8" s="7">
        <f>W8 - D8 - E8 - LN(1+EXP(Parameters!$B$21*C8))/Parameters!$B$21 - IF(C8&gt;0, 0,Parameters!$B$6*C8^2/F8)</f>
        <v>1.1964363548741206</v>
      </c>
      <c r="Y8" s="7">
        <f>EXP(-Parameters!$B$55*A8)</f>
        <v>0.94138790310193321</v>
      </c>
      <c r="Z8" s="7">
        <f>IF(X8&gt;0,X8^(1-Parameters!$B$52)/(1-Parameters!$B$52)*Y8*Parameters!$B$65,-10+X8*1000)</f>
        <v>-2.526034097693731</v>
      </c>
      <c r="AB8" s="9"/>
      <c r="AC8" s="23">
        <f t="shared" si="6"/>
        <v>2.4034716956802487</v>
      </c>
      <c r="AD8" s="23">
        <f t="shared" si="7"/>
        <v>45.480504749382369</v>
      </c>
      <c r="AE8" s="23">
        <f t="shared" si="8"/>
        <v>17.316256624842566</v>
      </c>
      <c r="AF8" s="23">
        <f t="shared" si="9"/>
        <v>36.143375952908464</v>
      </c>
      <c r="AG8" s="23">
        <f t="shared" si="10"/>
        <v>91.609674242385239</v>
      </c>
      <c r="AH8" s="23">
        <f t="shared" si="11"/>
        <v>118.63805070957454</v>
      </c>
      <c r="AI8" s="23">
        <f t="shared" si="12"/>
        <v>96.468881412423144</v>
      </c>
      <c r="AJ8" s="23"/>
      <c r="AK8" s="8">
        <f t="shared" si="1"/>
        <v>118.63805070957456</v>
      </c>
      <c r="AL8" s="32">
        <f>Parameters!$B$7*W8*(W8/O8)^(-Parameters!$B$9/Parameters!$B$7)*Parameters!$B$11*(V8)^(Parameters!$B$9-T8)*((1-2*Parameters!$B$5*C8/F8)*Parameters!$B$19*(F8+Parameters!$B$20)^(T8-1)-(1-2*Parameters!$B$5*D8/G8)*(Parameters!$B$18)*(G8)^(T8-1))</f>
        <v>9.661324218736049E-2</v>
      </c>
      <c r="AM8" s="32">
        <f>((C9-C7)/2-(F9-F7)/F8/2*C8)/(F8/2/Parameters!$B$5-C8)-((D9-D7)/D8-(G9-G7)/G8)/(G8/2/Parameters!$B$5/D8-1)</f>
        <v>1.8145913134380732E-2</v>
      </c>
      <c r="AN8" s="32">
        <f>+Parameters!$B$5*C8^2/F8^2-Parameters!$B$5*D8^2/G8^2</f>
        <v>-3.8354743331950956E-2</v>
      </c>
      <c r="AO8" s="30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0.81271455031396578</v>
      </c>
      <c r="AP8" s="30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65.529322355502615</v>
      </c>
      <c r="AQ8" s="8">
        <f t="shared" si="16"/>
        <v>94.011374547525833</v>
      </c>
      <c r="AR8" s="13">
        <f>1-W8/'6states,ExoDamages'!T8</f>
        <v>2.1487460693383365E-2</v>
      </c>
      <c r="AS8" s="21">
        <f>-Y8*W8*X8^(-Parameters!B$52)*Parameters!B$46*Parameters!B$45*N8</f>
        <v>-1.9353445937688115E-5</v>
      </c>
      <c r="AT8" s="7">
        <f>1000*EXP(-(Parameters!$B$54)*'6states'!A8)*AK8*Parameters!B$46*Parameters!B$45*N8</f>
        <v>1.835115266698643</v>
      </c>
      <c r="AU8" s="7">
        <f>SUM(AT8:AT$204)*EXP(Parameters!$B$54*A8)</f>
        <v>183.92551741671411</v>
      </c>
      <c r="AV8" s="13">
        <f t="shared" si="2"/>
        <v>0.18565390298129752</v>
      </c>
      <c r="AW8" s="30"/>
      <c r="AX8" s="30"/>
      <c r="AY8" s="30"/>
      <c r="AZ8" s="5">
        <f t="shared" si="3"/>
        <v>-1.7509636707570806E-3</v>
      </c>
      <c r="BA8" s="2">
        <f>AZ8/Parameters!$B$45</f>
        <v>-2.9182727845951346</v>
      </c>
      <c r="BB8" s="2">
        <f t="shared" si="18"/>
        <v>3.4596969239916175E-3</v>
      </c>
      <c r="BE8">
        <f>-EXP(-Parameters!B$42*'6states'!A8)*(-Parameters!B$37/Parameters!B$38/Parameters!E$25*(EXP(-Parameters!B$38*Parameters!E$25*'6states'!AC8/('6states'!F8+'6states'!AC8))-EXP(-Parameters!B$38*Parameters!E$25))+Parameters!B$37*'6states'!F8/('6states'!F8+'6states'!AC8)*EXP(-Parameters!B$38*Parameters!E$25*'6states'!I8/('6states'!F8+'6states'!AC8)))</f>
        <v>-0.73795067307048257</v>
      </c>
      <c r="BF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-50.270837431286864</v>
      </c>
      <c r="BG8" s="7">
        <f t="shared" si="4"/>
        <v>5.0193652952731621E-2</v>
      </c>
      <c r="BH8" s="7">
        <f t="shared" si="5"/>
        <v>-1.5506652233844482</v>
      </c>
      <c r="BM8">
        <f>EXP(-Parameters!$B$56*A8)*AZ8*BF8</f>
        <v>6.4430778219944293E-2</v>
      </c>
      <c r="BN8">
        <f>-EXP((Parameters!$B$56)*F8)*SUM(BM8:BM16)</f>
        <v>-0.43552011928202627</v>
      </c>
      <c r="BO8">
        <f>X8^-Parameters!B$52/(1-2*Parameters!B$5*'6states'!D8/'6states'!G8)</f>
        <v>1.29044186378569</v>
      </c>
      <c r="BP8">
        <f t="shared" si="14"/>
        <v>1.0045277440849549</v>
      </c>
      <c r="BQ8">
        <f>$X8^-Parameters!$B$52/(1-2*Parameters!$B$5*'6states'!$E8/'6states'!$H8)</f>
        <v>0.88166923308416278</v>
      </c>
      <c r="BR8">
        <f t="shared" si="21"/>
        <v>1.0090294424954012</v>
      </c>
      <c r="BS8" s="7">
        <f>($X8^-Parameters!$B$52*(1/(1+EXP(-C8)) + IF(C8&lt;0,2*Parameters!$B$6*C8/F8,0)) + BK8*(1/(1+EXP((C8-Parameters!$B$22)*Parameters!$B$21))))/(1-IF(C8&gt;0,2*Parameters!$B$5*C8/F8,0))</f>
        <v>0.37566982089674084</v>
      </c>
      <c r="BT8">
        <f t="shared" si="22"/>
        <v>1.110559870552007</v>
      </c>
      <c r="BU8" s="7">
        <f t="shared" si="19"/>
        <v>3.7399160432471545E-2</v>
      </c>
      <c r="BV8">
        <f>(1/$T8-1/Parameters!$B$13) * LN(Parameters!$B$18) / LN(P8)</f>
        <v>0.26139953797244575</v>
      </c>
      <c r="BW8">
        <f>(Parameters!$B$18*'6states'!T8^+Parameters!$B$19*Parameters!$B$25^'6states'!T8)^((1-'6states'!T8)/'6states'!T8)*Parameters!$B$18*Parameters!$B$26^('6states'!T8-1)</f>
        <v>0.16534216081119141</v>
      </c>
      <c r="BX8">
        <f t="shared" si="15"/>
        <v>0.33623324541124039</v>
      </c>
      <c r="BY8">
        <f t="shared" si="20"/>
        <v>0.16572179469417303</v>
      </c>
      <c r="BZ8">
        <f t="shared" si="20"/>
        <v>0.10828299222315352</v>
      </c>
    </row>
    <row r="9" spans="1:78" x14ac:dyDescent="0.25">
      <c r="A9">
        <f>A8+Parameters!$B$65</f>
        <v>5</v>
      </c>
      <c r="B9">
        <v>2030</v>
      </c>
      <c r="C9" s="74">
        <v>-2.3311637750570336E-4</v>
      </c>
      <c r="D9" s="69">
        <v>4.5572010740675455E-2</v>
      </c>
      <c r="E9" s="75">
        <v>0.22747996218405797</v>
      </c>
      <c r="F9" s="7">
        <f>MAX((1-Parameters!$B$4)^Parameters!B$65*F8 + C8*Parameters!B$65 - IF(C8&gt;0,Parameters!$B$5,0)*C8^2/F8*Parameters!B$65, 0.0001)</f>
        <v>0.52739220805339249</v>
      </c>
      <c r="G9" s="7">
        <f>(1-Parameters!$B$4)^Parameters!B$65*G8+D8*Parameters!B$65-Parameters!$B$5*D8^2/G8*Parameters!B$65</f>
        <v>0.23507701662954369</v>
      </c>
      <c r="H9" s="7">
        <f>(1-Parameters!$B$4)^Parameters!B$65*H8+E8*Parameters!B$65-Parameters!$B$5*E8^2/H8*Parameters!B$65</f>
        <v>4.1673458077153054</v>
      </c>
      <c r="I9" s="9">
        <f>I8 *(1-Parameters!$B$4)-C8*(C8&lt;0)*Parameters!B$65</f>
        <v>2.9124880742516377E-2</v>
      </c>
      <c r="J9" s="23">
        <f>J8*(1+Parameters!$B$51)^Parameters!B$65</f>
        <v>8.2790082490297756</v>
      </c>
      <c r="K9" s="23">
        <f>K8*(1+Parameters!$B$53)^Parameters!B$65</f>
        <v>9.9627017574528161</v>
      </c>
      <c r="L9" s="23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33.521427390089677</v>
      </c>
      <c r="M9" s="8">
        <f>M8+L9*Parameters!B$65</f>
        <v>2493.4116874675105</v>
      </c>
      <c r="N9" s="7">
        <f>M9*Parameters!$B$45</f>
        <v>1.4960470124805061</v>
      </c>
      <c r="O9" s="9">
        <f>EXP(-Parameters!$B$46/2*N9^2)</f>
        <v>0.97775761756045976</v>
      </c>
      <c r="P9" s="8">
        <f>MAX((Parameters!$B$62 + Parameters!$B$31*'6states'!A9 - '6states'!M9 + Parameters!$B$47/Parameters!$B$45)/Parameters!B$62,1)</f>
        <v>2.451766250649789</v>
      </c>
      <c r="Q9" s="7">
        <f>Parameters!B$61*EXP(-Parameters!B$60*A9)</f>
        <v>0.43685795584401721</v>
      </c>
      <c r="R9" s="7">
        <f>(1-Parameters!B$61)*P9^-Parameters!B$63</f>
        <v>0.45711144809367882</v>
      </c>
      <c r="S9" s="7">
        <f>Parameters!B$61*EXP(-Parameters!B$60*A9)+(1-Parameters!B$61)*P9^-Parameters!B$63</f>
        <v>0.89396940393769597</v>
      </c>
      <c r="T9" s="7">
        <f>1-S9/Parameters!$B$12</f>
        <v>0.55301529803115201</v>
      </c>
      <c r="U9" s="7">
        <f t="shared" si="0"/>
        <v>2.2372130312184457</v>
      </c>
      <c r="V9" s="7">
        <f>(Parameters!$B$19*(F9+Parameters!$B$20)^T9+Parameters!$B$18*G9^T9)^(1/T9)</f>
        <v>0.43396217620144523</v>
      </c>
      <c r="W9" s="7">
        <f>(Parameters!$B$10*H9^Parameters!$B$9+Parameters!$B$11*V9^Parameters!$B$9)^(Parameters!$B$7/Parameters!$B$9)*O9</f>
        <v>1.4630124835499132</v>
      </c>
      <c r="X9" s="7">
        <f>W9 - D9 - E9 - LN(1+EXP(Parameters!$B$21*C9))/Parameters!$B$21 - IF(C9&gt;0, 0,Parameters!$B$6*C9^2/F9)</f>
        <v>1.1877640255483854</v>
      </c>
      <c r="Y9" s="7">
        <f>EXP(-Parameters!$B$55*A9)</f>
        <v>0.92727973053399881</v>
      </c>
      <c r="Z9" s="7">
        <f>IF(X9&gt;0,X9^(1-Parameters!$B$52)/(1-Parameters!$B$52)*Y9*Parameters!$B$65,-10+X9*1000)</f>
        <v>-2.4945209959173709</v>
      </c>
      <c r="AB9" s="9"/>
      <c r="AC9" s="23">
        <f t="shared" si="6"/>
        <v>2.4022577356876607</v>
      </c>
      <c r="AD9" s="23">
        <f t="shared" si="7"/>
        <v>43.499989673372163</v>
      </c>
      <c r="AE9" s="23">
        <f t="shared" si="8"/>
        <v>19.389455588613924</v>
      </c>
      <c r="AF9" s="23">
        <f t="shared" si="9"/>
        <v>35.793760118438954</v>
      </c>
      <c r="AG9" s="23">
        <f t="shared" si="10"/>
        <v>90.723531433051065</v>
      </c>
      <c r="AH9" s="23">
        <f t="shared" si="11"/>
        <v>120.6711569769587</v>
      </c>
      <c r="AI9" s="23">
        <f t="shared" si="12"/>
        <v>97.968309081515571</v>
      </c>
      <c r="AJ9" s="23"/>
      <c r="AK9" s="8">
        <f t="shared" si="1"/>
        <v>120.6711569769587</v>
      </c>
      <c r="AL9" s="32">
        <f>Parameters!$B$7*W9*(W9/O9)^(-Parameters!$B$9/Parameters!$B$7)*Parameters!$B$11*(V9)^(Parameters!$B$9-T9)*((1-2*Parameters!$B$5*C9/F9)*Parameters!$B$19*(F9+Parameters!$B$20)^(T9-1)-(1-2*Parameters!$B$5*D9/G9)*(Parameters!$B$18)*(G9)^(T9-1))</f>
        <v>0.11214899191735193</v>
      </c>
      <c r="AM9" s="32">
        <f>((C10-C8)/2-(F10-F8)/F9/2*C9)/(F9/2/Parameters!$B$5-C9)-((D10-D8)/D9-(G10-G8)/G9)/(G9/2/Parameters!$B$5/D9-1)</f>
        <v>1.6323253310508424E-2</v>
      </c>
      <c r="AN9" s="32">
        <f>+Parameters!$B$5*C9^2/F9^2-Parameters!$B$5*D9^2/G9^2</f>
        <v>-3.7581471723889599E-2</v>
      </c>
      <c r="AO9" s="30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0.80158276586854083</v>
      </c>
      <c r="AP9" s="30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66.115580596717024</v>
      </c>
      <c r="AQ9" s="8">
        <f t="shared" si="16"/>
        <v>113.38913132131486</v>
      </c>
      <c r="AR9" s="13">
        <f>1-W9/'6states,ExoDamages'!T9</f>
        <v>2.6528686581173244E-2</v>
      </c>
      <c r="AS9" s="21">
        <f>-Y9*W9*X9^(-Parameters!B$52)*Parameters!B$46*Parameters!B$45*N9</f>
        <v>-1.9402854255300197E-5</v>
      </c>
      <c r="AT9" s="7">
        <f>1000*EXP(-(Parameters!$B$54)*'6states'!A9)*AK9*Parameters!B$46*Parameters!B$45*N9</f>
        <v>1.8267425470992309</v>
      </c>
      <c r="AU9" s="7">
        <f>SUM(AT9:AT$204)*EXP(Parameters!$B$54*A9)</f>
        <v>188.30877200054604</v>
      </c>
      <c r="AV9" s="13">
        <f t="shared" si="2"/>
        <v>0.18663680316806933</v>
      </c>
      <c r="AW9" s="30"/>
      <c r="AX9" s="30"/>
      <c r="AY9" s="30"/>
      <c r="AZ9" s="5">
        <f t="shared" si="3"/>
        <v>-1.7567326437146328E-3</v>
      </c>
      <c r="BA9" s="2">
        <f>AZ9/Parameters!$B$45</f>
        <v>-2.9278877395243881</v>
      </c>
      <c r="BB9" s="2">
        <f t="shared" si="18"/>
        <v>3.2839219890361537E-3</v>
      </c>
      <c r="BE9">
        <f>-EXP(-Parameters!B$42*'6states'!A9)*(-Parameters!B$37/Parameters!B$38/Parameters!E$25*(EXP(-Parameters!B$38*Parameters!E$25*'6states'!AC9/('6states'!F9+'6states'!AC9))-EXP(-Parameters!B$38*Parameters!E$25))+Parameters!B$37*'6states'!F9/('6states'!F9+'6states'!AC9)*EXP(-Parameters!B$38*Parameters!E$25*'6states'!I9/('6states'!F9+'6states'!AC9)))</f>
        <v>-0.69507670109897524</v>
      </c>
      <c r="BF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-46.263353297718091</v>
      </c>
      <c r="BG9" s="7">
        <f t="shared" si="4"/>
        <v>5.2334207392501692E-2</v>
      </c>
      <c r="BH9" s="7">
        <f t="shared" si="5"/>
        <v>-1.496659466967516</v>
      </c>
      <c r="BM9">
        <f>EXP(-Parameters!$B$56*A9)*AZ9*BF9</f>
        <v>5.502599849802927E-2</v>
      </c>
      <c r="BN9">
        <f>-EXP((Parameters!$B$56)*F9)*SUM(BM9:BM17)</f>
        <v>-0.40269273759865243</v>
      </c>
      <c r="BO9">
        <f>X9^-Parameters!B$52/(1-2*Parameters!B$5*'6states'!D9/'6states'!G9)</f>
        <v>1.294684896177253</v>
      </c>
      <c r="BP9">
        <f t="shared" si="14"/>
        <v>1.0032880461418971</v>
      </c>
      <c r="BQ9">
        <f>$X9^-Parameters!$B$52/(1-2*Parameters!$B$5*'6states'!$E9/'6states'!$H9)</f>
        <v>0.88985798375535685</v>
      </c>
      <c r="BR9">
        <f t="shared" si="21"/>
        <v>1.0092877809091161</v>
      </c>
      <c r="BS9" s="7">
        <f>($X9^-Parameters!$B$52*(1/(1+EXP(-C9)) + IF(C9&lt;0,2*Parameters!$B$6*C9/F9,0)) + BK9*(1/(1+EXP((C9-Parameters!$B$22)*Parameters!$B$21))))/(1-IF(C9&gt;0,2*Parameters!$B$5*C9/F9,0))</f>
        <v>0.39280483092309437</v>
      </c>
      <c r="BT9">
        <f>BS9/BS8</f>
        <v>1.0456118886139203</v>
      </c>
      <c r="BU9" s="7">
        <f t="shared" si="19"/>
        <v>1.7135010026353537E-2</v>
      </c>
      <c r="BV9">
        <f>(1/$T9-1/Parameters!$B$13) * LN(Parameters!$B$18) / LN(P9)</f>
        <v>0.2546875488804059</v>
      </c>
      <c r="BW9">
        <f>(Parameters!$B$18*'6states'!T9^+Parameters!$B$19*Parameters!$B$25^'6states'!T9)^((1-'6states'!T9)/'6states'!T9)*Parameters!$B$18*Parameters!$B$26^('6states'!T9-1)</f>
        <v>0.1734203835200937</v>
      </c>
      <c r="BX9">
        <f t="shared" si="15"/>
        <v>0.32381999644252119</v>
      </c>
      <c r="BY9">
        <f t="shared" si="20"/>
        <v>0.16183135893886003</v>
      </c>
      <c r="BZ9">
        <f t="shared" si="20"/>
        <v>0.11326211696594546</v>
      </c>
    </row>
    <row r="10" spans="1:78" x14ac:dyDescent="0.25">
      <c r="A10">
        <f>A9+Parameters!$B$65</f>
        <v>6</v>
      </c>
      <c r="B10">
        <v>2031</v>
      </c>
      <c r="C10" s="74">
        <v>-1.3702778310792775E-4</v>
      </c>
      <c r="D10" s="69">
        <v>4.9220704276915106E-2</v>
      </c>
      <c r="E10" s="75">
        <v>0.2243402345240238</v>
      </c>
      <c r="F10" s="7">
        <f>MAX((1-Parameters!$B$4)^Parameters!B$65*F9 + C9*Parameters!B$65 - IF(C9&gt;0,Parameters!$B$5,0)*C9^2/F9*Parameters!B$65, 0.0001)</f>
        <v>0.49398612178932838</v>
      </c>
      <c r="G10" s="7">
        <f>(1-Parameters!$B$4)^Parameters!B$65*G9+D9*Parameters!B$65-Parameters!$B$5*D9^2/G9*Parameters!B$65</f>
        <v>0.25702809684168021</v>
      </c>
      <c r="H10" s="7">
        <f>(1-Parameters!$B$4)^Parameters!B$65*H9+E9*Parameters!B$65-Parameters!$B$5*E9^2/H9*Parameters!B$65</f>
        <v>4.1202824305688113</v>
      </c>
      <c r="I10" s="9">
        <f>I9 *(1-Parameters!$B$4)-C9*(C9&lt;0)*Parameters!B$65</f>
        <v>2.75260421213178E-2</v>
      </c>
      <c r="J10" s="23">
        <f>J9*(1+Parameters!$B$51)^Parameters!B$65</f>
        <v>8.3030173729519614</v>
      </c>
      <c r="K10" s="23">
        <f>K9*(1+Parameters!$B$53)^Parameters!B$65</f>
        <v>10.161955792601873</v>
      </c>
      <c r="L10" s="23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31.78795028903237</v>
      </c>
      <c r="M10" s="8">
        <f>M9+L10*Parameters!B$65</f>
        <v>2525.1996377565429</v>
      </c>
      <c r="N10" s="7">
        <f>M10*Parameters!$B$45</f>
        <v>1.5151197826539256</v>
      </c>
      <c r="O10" s="9">
        <f>EXP(-Parameters!$B$46/2*N10^2)</f>
        <v>0.97719343386627211</v>
      </c>
      <c r="P10" s="8">
        <f>MAX((Parameters!$B$62 + Parameters!$B$31*'6states'!A10 - '6states'!M10 + Parameters!$B$47/Parameters!$B$45)/Parameters!B$62,1)</f>
        <v>2.8800072448691392</v>
      </c>
      <c r="Q10" s="7">
        <f>Parameters!B$61*EXP(-Parameters!B$60*A10)</f>
        <v>0.42522060227011649</v>
      </c>
      <c r="R10" s="7">
        <f>(1-Parameters!B$61)*P10^-Parameters!B$63</f>
        <v>0.44981159505991075</v>
      </c>
      <c r="S10" s="7">
        <f>Parameters!B$61*EXP(-Parameters!B$60*A10)+(1-Parameters!B$61)*P10^-Parameters!B$63</f>
        <v>0.87503219733002724</v>
      </c>
      <c r="T10" s="7">
        <f>1-S10/Parameters!$B$12</f>
        <v>0.56248390133498638</v>
      </c>
      <c r="U10" s="7">
        <f t="shared" si="0"/>
        <v>2.2856301814979725</v>
      </c>
      <c r="V10" s="7">
        <f>(Parameters!$B$19*(F10+Parameters!$B$20)^T10+Parameters!$B$18*G10^T10)^(1/T10)</f>
        <v>0.4213752578861219</v>
      </c>
      <c r="W10" s="7">
        <f>(Parameters!$B$10*H10^Parameters!$B$9+Parameters!$B$11*V10^Parameters!$B$9)^(Parameters!$B$7/Parameters!$B$9)*O10</f>
        <v>1.454882954066113</v>
      </c>
      <c r="X10" s="7">
        <f>W10 - D10 - E10 - LN(1+EXP(Parameters!$B$21*C10))/Parameters!$B$21 - IF(C10&gt;0, 0,Parameters!$B$6*C10^2/F10)</f>
        <v>1.1790791444294018</v>
      </c>
      <c r="Y10" s="7">
        <f>EXP(-Parameters!$B$55*A10)</f>
        <v>0.91338299103478215</v>
      </c>
      <c r="Z10" s="7">
        <f>IF(X10&gt;0,X10^(1-Parameters!$B$52)/(1-Parameters!$B$52)*Y10*Parameters!$B$65,-10+X10*1000)</f>
        <v>-2.4634561742011516</v>
      </c>
      <c r="AB10" s="9"/>
      <c r="AC10" s="23">
        <f t="shared" si="6"/>
        <v>2.3225069272159424</v>
      </c>
      <c r="AD10" s="23">
        <f t="shared" si="7"/>
        <v>41.680027399061728</v>
      </c>
      <c r="AE10" s="23">
        <f t="shared" si="8"/>
        <v>21.686718808790136</v>
      </c>
      <c r="AF10" s="23">
        <f t="shared" si="9"/>
        <v>35.553493345852289</v>
      </c>
      <c r="AG10" s="23">
        <f t="shared" si="10"/>
        <v>90.114546793746428</v>
      </c>
      <c r="AH10" s="23">
        <f t="shared" si="11"/>
        <v>122.75559719826417</v>
      </c>
      <c r="AI10" s="23">
        <f t="shared" si="12"/>
        <v>99.484679584659105</v>
      </c>
      <c r="AJ10" s="23"/>
      <c r="AK10" s="8">
        <f t="shared" si="1"/>
        <v>122.75559719826417</v>
      </c>
      <c r="AL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0.12795615316248571</v>
      </c>
      <c r="AM10" s="32">
        <f>((C11-C9)/2-(F11-F9)/F10/2*C10)/(F10/2/Parameters!$B$5-C10)-((D11-D9)/D10-(G11-G9)/G10)/(G10/2/Parameters!$B$5/D10-1)</f>
        <v>1.8265704756744112E-2</v>
      </c>
      <c r="AN10" s="32">
        <f>+Parameters!$B$5*C10^2/F10^2-Parameters!$B$5*D10^2/G10^2</f>
        <v>-3.66719103951531E-2</v>
      </c>
      <c r="AO10" s="30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0.79299689515665461</v>
      </c>
      <c r="AP10" s="30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66.909030152057753</v>
      </c>
      <c r="AQ10" s="8">
        <f t="shared" si="16"/>
        <v>138.14675466344087</v>
      </c>
      <c r="AR10" s="13">
        <f>1-W10/'6states,ExoDamages'!T10</f>
        <v>3.1417699693887968E-2</v>
      </c>
      <c r="AS10" s="21">
        <f>-Y10*W10*X10^(-Parameters!B$52)*Parameters!B$46*Parameters!B$45*N10</f>
        <v>-1.9439820891495036E-5</v>
      </c>
      <c r="AT10" s="7">
        <f>1000*EXP(-(Parameters!$B$54)*'6states'!A10)*AK10*Parameters!B$46*Parameters!B$45*N10</f>
        <v>1.8170762923229526</v>
      </c>
      <c r="AU10" s="7">
        <f>SUM(AT10:AT$204)*EXP(Parameters!$B$54*A10)</f>
        <v>192.78081345169835</v>
      </c>
      <c r="AV10" s="13">
        <f t="shared" si="2"/>
        <v>0.1880295167637985</v>
      </c>
      <c r="AW10" s="30"/>
      <c r="AX10" s="30"/>
      <c r="AY10" s="30"/>
      <c r="AZ10" s="5">
        <f t="shared" si="3"/>
        <v>-1.7622177487728039E-3</v>
      </c>
      <c r="BA10" s="2">
        <f>AZ10/Parameters!$B$45</f>
        <v>-2.937029581288007</v>
      </c>
      <c r="BB10" s="2">
        <f t="shared" si="18"/>
        <v>3.1126148071037862E-3</v>
      </c>
      <c r="BE10">
        <f>-EXP(-Parameters!B$42*'6states'!A10)*(-Parameters!B$37/Parameters!B$38/Parameters!E$25*(EXP(-Parameters!B$38*Parameters!E$25*'6states'!AC10/('6states'!F10+'6states'!AC10))-EXP(-Parameters!B$38*Parameters!E$25))+Parameters!B$37*'6states'!F10/('6states'!F10+'6states'!AC10)*EXP(-Parameters!B$38*Parameters!E$25*'6states'!I10/('6states'!F10+'6states'!AC10)))</f>
        <v>-0.67541147004319146</v>
      </c>
      <c r="BF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-45.926763567974724</v>
      </c>
      <c r="BG10" s="7">
        <f t="shared" si="4"/>
        <v>5.2781208236657745E-2</v>
      </c>
      <c r="BH10" s="7">
        <f t="shared" si="5"/>
        <v>-1.4684083651998461</v>
      </c>
      <c r="BM10">
        <f>EXP(-Parameters!$B$56*A10)*AZ10*BF10</f>
        <v>5.0684550066893395E-2</v>
      </c>
      <c r="BN10">
        <f>-EXP((Parameters!$B$56)*F10)*SUM(BM10:BM18)</f>
        <v>-0.37813094353705617</v>
      </c>
      <c r="BO10">
        <f>X10^-Parameters!B$52/(1-2*Parameters!B$5*'6states'!D10/'6states'!G10)</f>
        <v>1.2975702441093653</v>
      </c>
      <c r="BP10">
        <f t="shared" si="14"/>
        <v>1.0022286101742839</v>
      </c>
      <c r="BQ10">
        <f>$X10^-Parameters!$B$52/(1-2*Parameters!$B$5*'6states'!$E10/'6states'!$H10)</f>
        <v>0.89843859575544405</v>
      </c>
      <c r="BR10">
        <f t="shared" si="21"/>
        <v>1.0096426757490846</v>
      </c>
      <c r="BS10" s="7">
        <f>($X10^-Parameters!$B$52*(1/(1+EXP(-C10)) + IF(C10&lt;0,2*Parameters!$B$6*C10/F10,0)) + BK10*(1/(1+EXP((C10-Parameters!$B$22)*Parameters!$B$21))))/(1-IF(C10&gt;0,2*Parameters!$B$5*C10/F10,0))</f>
        <v>0.39805307659832401</v>
      </c>
      <c r="BT10">
        <f t="shared" si="22"/>
        <v>1.013360949922373</v>
      </c>
      <c r="BU10" s="7">
        <f t="shared" si="19"/>
        <v>5.2482456752296347E-3</v>
      </c>
      <c r="BV10">
        <f>(1/$T10-1/Parameters!$B$13) * LN(Parameters!$B$18) / LN(P10)</f>
        <v>0.2502078244952653</v>
      </c>
      <c r="BW10">
        <f>(Parameters!$B$18*'6states'!T10^+Parameters!$B$19*Parameters!$B$25^'6states'!T10)^((1-'6states'!T10)/'6states'!T10)*Parameters!$B$18*Parameters!$B$26^('6states'!T10-1)</f>
        <v>0.18093676052044869</v>
      </c>
      <c r="BX10">
        <f t="shared" si="15"/>
        <v>0.31464910046087463</v>
      </c>
      <c r="BY10">
        <f t="shared" si="20"/>
        <v>0.15922470964202262</v>
      </c>
      <c r="BZ10">
        <f t="shared" si="20"/>
        <v>0.11786996812698969</v>
      </c>
    </row>
    <row r="11" spans="1:78" x14ac:dyDescent="0.25">
      <c r="A11">
        <f>A10+Parameters!$B$65</f>
        <v>7</v>
      </c>
      <c r="B11">
        <v>2032</v>
      </c>
      <c r="C11" s="74">
        <v>6.094056252304098E-4</v>
      </c>
      <c r="D11" s="69">
        <v>5.2984295458753126E-2</v>
      </c>
      <c r="E11" s="75">
        <v>0.22156357170465821</v>
      </c>
      <c r="F11" s="7">
        <f>MAX((1-Parameters!$B$4)^Parameters!B$65*F10 + C10*Parameters!B$65 - IF(C10&gt;0,Parameters!$B$5,0)*C10^2/F10*Parameters!B$65, 0.0001)</f>
        <v>0.46277736694567173</v>
      </c>
      <c r="G11" s="7">
        <f>(1-Parameters!$B$4)^Parameters!B$65*G10+D10*Parameters!B$65-Parameters!$B$5*D10^2/G10*Parameters!B$65</f>
        <v>0.28065600271347663</v>
      </c>
      <c r="H11" s="7">
        <f>(1-Parameters!$B$4)^Parameters!B$65*H10+E10*Parameters!B$65-Parameters!$B$5*E10^2/H10*Parameters!B$65</f>
        <v>4.0732420723009559</v>
      </c>
      <c r="I11" s="9">
        <f>I10 *(1-Parameters!$B$4)-C10*(C10&lt;0)*Parameters!B$65</f>
        <v>2.593168185499484E-2</v>
      </c>
      <c r="J11" s="23">
        <f>J10*(1+Parameters!$B$51)^Parameters!B$65</f>
        <v>8.3270961233335221</v>
      </c>
      <c r="K11" s="23">
        <f>K10*(1+Parameters!$B$53)^Parameters!B$65</f>
        <v>10.36519490845391</v>
      </c>
      <c r="L11" s="23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30.1535499655899</v>
      </c>
      <c r="M11" s="8">
        <f>M10+L11*Parameters!B$65</f>
        <v>2555.3531877221326</v>
      </c>
      <c r="N11" s="7">
        <f>M11*Parameters!$B$45</f>
        <v>1.5332119126332795</v>
      </c>
      <c r="O11" s="9">
        <f>EXP(-Parameters!$B$46/2*N11^2)</f>
        <v>0.97665195916410963</v>
      </c>
      <c r="P11" s="8">
        <f>MAX((Parameters!$B$62 + Parameters!$B$31*'6states'!A11 - '6states'!M11 + Parameters!$B$47/Parameters!$B$45)/Parameters!B$62,1)</f>
        <v>3.3409362455573501</v>
      </c>
      <c r="Q11" s="7">
        <f>Parameters!B$61*EXP(-Parameters!B$60*A11)</f>
        <v>0.41389325334736682</v>
      </c>
      <c r="R11" s="7">
        <f>(1-Parameters!B$61)*P11^-Parameters!B$63</f>
        <v>0.44318309442039922</v>
      </c>
      <c r="S11" s="7">
        <f>Parameters!B$61*EXP(-Parameters!B$60*A11)+(1-Parameters!B$61)*P11^-Parameters!B$63</f>
        <v>0.85707634776776609</v>
      </c>
      <c r="T11" s="7">
        <f>1-S11/Parameters!$B$12</f>
        <v>0.57146182611611696</v>
      </c>
      <c r="U11" s="7">
        <f t="shared" si="0"/>
        <v>2.333514400681981</v>
      </c>
      <c r="V11" s="7">
        <f>(Parameters!$B$19*(F11+Parameters!$B$20)^T11+Parameters!$B$18*G11^T11)^(1/T11)</f>
        <v>0.4099129906064477</v>
      </c>
      <c r="W11" s="7">
        <f>(Parameters!$B$10*H11^Parameters!$B$9+Parameters!$B$11*V11^Parameters!$B$9)^(Parameters!$B$7/Parameters!$B$9)*O11</f>
        <v>1.446928931645018</v>
      </c>
      <c r="X11" s="7">
        <f>W11 - D11 - E11 - LN(1+EXP(Parameters!$B$21*C11))/Parameters!$B$21 - IF(C11&gt;0, 0,Parameters!$B$6*C11^2/F11)</f>
        <v>1.169751963848352</v>
      </c>
      <c r="Y11" s="7">
        <f>EXP(-Parameters!$B$55*A11)</f>
        <v>0.89969451594850369</v>
      </c>
      <c r="Z11" s="7">
        <f>IF(X11&gt;0,X11^(1-Parameters!$B$52)/(1-Parameters!$B$52)*Y11*Parameters!$B$65,-10+X11*1000)</f>
        <v>-2.4332918688201346</v>
      </c>
      <c r="AB11" s="9"/>
      <c r="AC11" s="23">
        <f t="shared" si="6"/>
        <v>2.2382146588557288</v>
      </c>
      <c r="AD11" s="23">
        <f t="shared" si="7"/>
        <v>39.943228220847118</v>
      </c>
      <c r="AE11" s="23">
        <f t="shared" si="8"/>
        <v>24.223973704511639</v>
      </c>
      <c r="AF11" s="23">
        <f t="shared" si="9"/>
        <v>35.380399526767384</v>
      </c>
      <c r="AG11" s="23">
        <f t="shared" si="10"/>
        <v>89.675819974193132</v>
      </c>
      <c r="AH11" s="23">
        <f t="shared" si="11"/>
        <v>124.88729281963431</v>
      </c>
      <c r="AI11" s="23">
        <f t="shared" si="12"/>
        <v>100.96360148758964</v>
      </c>
      <c r="AJ11" s="23"/>
      <c r="AK11" s="8">
        <f t="shared" si="1"/>
        <v>124.8872928196343</v>
      </c>
      <c r="AL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0.14321983576310351</v>
      </c>
      <c r="AM11" s="32">
        <f>((C12-C10)/2-(F12-F10)/F11/2*C11)/(F11/2/Parameters!$B$5-C11)-((D12-D10)/D11-(G12-G10)/G11)/(G11/2/Parameters!$B$5/D11-1)</f>
        <v>2.1795280229140145E-2</v>
      </c>
      <c r="AN11" s="32">
        <f>+Parameters!$B$5*C11^2/F11^2-Parameters!$B$5*D11^2/G11^2</f>
        <v>-3.5638919277634601E-2</v>
      </c>
      <c r="AO11" s="30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0.78473101604564466</v>
      </c>
      <c r="AP11" s="30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67.731683320563462</v>
      </c>
      <c r="AQ11" s="8">
        <f t="shared" si="16"/>
        <v>164.86693410762771</v>
      </c>
      <c r="AR11" s="13">
        <f>1-W11/'6states,ExoDamages'!T11</f>
        <v>3.6195007403765356E-2</v>
      </c>
      <c r="AS11" s="21">
        <f>-Y11*W11*X11^(-Parameters!B$52)*Parameters!B$46*Parameters!B$45*N11</f>
        <v>-1.9478932808452668E-5</v>
      </c>
      <c r="AT11" s="7">
        <f>1000*EXP(-(Parameters!$B$54)*'6states'!A11)*AK11*Parameters!B$46*Parameters!B$45*N11</f>
        <v>1.806182333431982</v>
      </c>
      <c r="AU11" s="7">
        <f>SUM(AT11:AT$204)*EXP(Parameters!$B$54*A11)</f>
        <v>197.34441460578341</v>
      </c>
      <c r="AV11" s="13">
        <f t="shared" si="2"/>
        <v>0.19016640470089613</v>
      </c>
      <c r="AW11" s="30"/>
      <c r="AX11" s="30"/>
      <c r="AY11" s="30"/>
      <c r="AZ11" s="5">
        <f t="shared" si="3"/>
        <v>-1.7674220184178656E-3</v>
      </c>
      <c r="BA11" s="2">
        <f>AZ11/Parameters!$B$45</f>
        <v>-2.9457033640297761</v>
      </c>
      <c r="BB11" s="2">
        <f t="shared" si="18"/>
        <v>2.9445540401947801E-3</v>
      </c>
      <c r="BE11">
        <f>-EXP(-Parameters!B$42*'6states'!A11)*(-Parameters!B$37/Parameters!B$38/Parameters!E$25*(EXP(-Parameters!B$38*Parameters!E$25*'6states'!AC11/('6states'!F11+'6states'!AC11))-EXP(-Parameters!B$38*Parameters!E$25))+Parameters!B$37*'6states'!F11/('6states'!F11+'6states'!AC11)*EXP(-Parameters!B$38*Parameters!E$25*'6states'!I11/('6states'!F11+'6states'!AC11)))</f>
        <v>-0.65816777976889196</v>
      </c>
      <c r="BF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-45.93377733689497</v>
      </c>
      <c r="BG11" s="7">
        <f t="shared" si="4"/>
        <v>5.3061595480242051E-2</v>
      </c>
      <c r="BH11" s="7">
        <f t="shared" si="5"/>
        <v>-1.4428987958145365</v>
      </c>
      <c r="BM11">
        <f>EXP(-Parameters!$B$56*A11)*AZ11*BF11</f>
        <v>4.7027039003357987E-2</v>
      </c>
      <c r="BN11">
        <f>-EXP((Parameters!$B$56)*F11)*SUM(BM11:BM19)</f>
        <v>-0.35650562169848721</v>
      </c>
      <c r="BO11">
        <f>X11^-Parameters!B$52/(1-2*Parameters!B$5*'6states'!D11/'6states'!G11)</f>
        <v>1.3001280197532443</v>
      </c>
      <c r="BP11">
        <f t="shared" si="14"/>
        <v>1.0019712039910678</v>
      </c>
      <c r="BQ11">
        <f>$X11^-Parameters!$B$52/(1-2*Parameters!$B$5*'6states'!$E11/'6states'!$H11)</f>
        <v>0.90801545163672215</v>
      </c>
      <c r="BR11">
        <f t="shared" si="21"/>
        <v>1.0106594439803931</v>
      </c>
      <c r="BS11" s="7">
        <f>($X11^-Parameters!$B$52*(1/(1+EXP(-C11)) + IF(C11&lt;0,2*Parameters!$B$6*C11/F11,0)) + BK11*(1/(1+EXP((C11-Parameters!$B$22)*Parameters!$B$21))))/(1-IF(C11&gt;0,2*Parameters!$B$5*C11/F11,0))</f>
        <v>0.40580838180424272</v>
      </c>
      <c r="BT11">
        <f t="shared" si="22"/>
        <v>1.0194830932402128</v>
      </c>
      <c r="BU11" s="7">
        <f t="shared" si="19"/>
        <v>7.7553052059187166E-3</v>
      </c>
      <c r="BV11">
        <f>(1/$T11-1/Parameters!$B$13) * LN(Parameters!$B$18) / LN(P11)</f>
        <v>0.24699753914646547</v>
      </c>
      <c r="BW11">
        <f>(Parameters!$B$18*'6states'!T11^+Parameters!$B$19*Parameters!$B$25^'6states'!T11)^((1-'6states'!T11)/'6states'!T11)*Parameters!$B$18*Parameters!$B$26^('6states'!T11-1)</f>
        <v>0.18793645763770206</v>
      </c>
      <c r="BX11">
        <f t="shared" si="15"/>
        <v>0.30739030667414841</v>
      </c>
      <c r="BY11">
        <f t="shared" si="20"/>
        <v>0.15735173316453732</v>
      </c>
      <c r="BZ11">
        <f t="shared" si="20"/>
        <v>0.12213953857207016</v>
      </c>
    </row>
    <row r="12" spans="1:78" x14ac:dyDescent="0.25">
      <c r="A12">
        <f>A11+Parameters!$B$65</f>
        <v>8</v>
      </c>
      <c r="B12">
        <v>2033</v>
      </c>
      <c r="C12" s="74">
        <v>1.2426232834870919E-3</v>
      </c>
      <c r="D12" s="69">
        <v>5.6835288463777653E-2</v>
      </c>
      <c r="E12" s="75">
        <v>0.21901526851896197</v>
      </c>
      <c r="F12" s="7">
        <f>MAX((1-Parameters!$B$4)^Parameters!B$65*F11 + C11*Parameters!B$65 - IF(C11&gt;0,Parameters!$B$5,0)*C11^2/F11*Parameters!B$65, 0.0001)</f>
        <v>0.43427727369784369</v>
      </c>
      <c r="G12" s="7">
        <f>(1-Parameters!$B$4)^Parameters!B$65*G11+D11*Parameters!B$65-Parameters!$B$5*D11^2/G11*Parameters!B$65</f>
        <v>0.30598427229658731</v>
      </c>
      <c r="H12" s="7">
        <f>(1-Parameters!$B$4)^Parameters!B$65*H11+E11*Parameters!B$65-Parameters!$B$5*E11^2/H11*Parameters!B$65</f>
        <v>4.0265467906093173</v>
      </c>
      <c r="I12" s="9">
        <f>I11 *(1-Parameters!$B$4)-C11*(C11&lt;0)*Parameters!B$65</f>
        <v>2.4300579066315667E-2</v>
      </c>
      <c r="J12" s="23">
        <f>J11*(1+Parameters!$B$51)^Parameters!B$65</f>
        <v>8.3512447020911882</v>
      </c>
      <c r="K12" s="23">
        <f>K11*(1+Parameters!$B$53)^Parameters!B$65</f>
        <v>10.572498806622988</v>
      </c>
      <c r="L12" s="23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28.659748738361557</v>
      </c>
      <c r="M12" s="8">
        <f>M11+L12*Parameters!B$65</f>
        <v>2584.0129364604941</v>
      </c>
      <c r="N12" s="7">
        <f>M12*Parameters!$B$45</f>
        <v>1.5504077618762964</v>
      </c>
      <c r="O12" s="9">
        <f>EXP(-Parameters!$B$46/2*N12^2)</f>
        <v>0.97613163426297045</v>
      </c>
      <c r="P12" s="8">
        <f>MAX((Parameters!$B$62 + Parameters!$B$31*'6states'!A12 - '6states'!M12 + Parameters!$B$47/Parameters!$B$45)/Parameters!B$62,1)</f>
        <v>3.8317412707901166</v>
      </c>
      <c r="Q12" s="7">
        <f>Parameters!B$61*EXP(-Parameters!B$60*A12)</f>
        <v>0.40286765093673982</v>
      </c>
      <c r="R12" s="7">
        <f>(1-Parameters!B$61)*P12^-Parameters!B$63</f>
        <v>0.43714990331050857</v>
      </c>
      <c r="S12" s="7">
        <f>Parameters!B$61*EXP(-Parameters!B$60*A12)+(1-Parameters!B$61)*P12^-Parameters!B$63</f>
        <v>0.84001755424724833</v>
      </c>
      <c r="T12" s="7">
        <f>1-S12/Parameters!$B$12</f>
        <v>0.57999122287637583</v>
      </c>
      <c r="U12" s="7">
        <f t="shared" si="0"/>
        <v>2.3809026250555303</v>
      </c>
      <c r="V12" s="7">
        <f>(Parameters!$B$19*(F12+Parameters!$B$20)^T12+Parameters!$B$18*G12^T12)^(1/T12)</f>
        <v>0.39998457222053418</v>
      </c>
      <c r="W12" s="7">
        <f>(Parameters!$B$10*H12^Parameters!$B$9+Parameters!$B$11*V12^Parameters!$B$9)^(Parameters!$B$7/Parameters!$B$9)*O12</f>
        <v>1.439370484501874</v>
      </c>
      <c r="X12" s="7">
        <f>W12 - D12 - E12 - LN(1+EXP(Parameters!$B$21*C12))/Parameters!$B$21 - IF(C12&gt;0, 0,Parameters!$B$6*C12^2/F12)</f>
        <v>1.1605305532680537</v>
      </c>
      <c r="Y12" s="7">
        <f>EXP(-Parameters!$B$55*A12)</f>
        <v>0.88621118410665478</v>
      </c>
      <c r="Z12" s="7">
        <f>IF(X12&gt;0,X12^(1-Parameters!$B$52)/(1-Parameters!$B$52)*Y12*Parameters!$B$65,-10+X12*1000)</f>
        <v>-2.4034737304297242</v>
      </c>
      <c r="AB12" s="9"/>
      <c r="AC12" s="23">
        <f t="shared" si="6"/>
        <v>2.1455837767202324</v>
      </c>
      <c r="AD12" s="23">
        <f t="shared" si="7"/>
        <v>38.343871168731667</v>
      </c>
      <c r="AE12" s="23">
        <f t="shared" si="8"/>
        <v>27.016429887513844</v>
      </c>
      <c r="AF12" s="23">
        <f t="shared" si="9"/>
        <v>35.316047685643746</v>
      </c>
      <c r="AG12" s="23">
        <f t="shared" si="10"/>
        <v>89.512712598448402</v>
      </c>
      <c r="AH12" s="23">
        <f t="shared" si="11"/>
        <v>127.08709334906366</v>
      </c>
      <c r="AI12" s="23">
        <f t="shared" si="12"/>
        <v>102.46733300819301</v>
      </c>
      <c r="AJ12" s="23"/>
      <c r="AK12" s="8">
        <f t="shared" si="1"/>
        <v>127.08709334906366</v>
      </c>
      <c r="AL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0.15754970921170014</v>
      </c>
      <c r="AM12" s="32">
        <f>((C13-C11)/2-(F13-F11)/F12/2*C12)/(F12/2/Parameters!$B$5-C12)-((D13-D11)/D12-(G13-G11)/G12)/(G12/2/Parameters!$B$5/D12-1)</f>
        <v>2.331139653201228E-2</v>
      </c>
      <c r="AN12" s="32">
        <f>+Parameters!$B$5*C12^2/F12^2-Parameters!$B$5*D12^2/G12^2</f>
        <v>-3.4493308793205849E-2</v>
      </c>
      <c r="AO12" s="30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0.77701592205174963</v>
      </c>
      <c r="AP12" s="30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68.605474464535547</v>
      </c>
      <c r="AQ12" s="8">
        <f t="shared" si="16"/>
        <v>188.37168299462257</v>
      </c>
      <c r="AR12" s="13">
        <f>1-W12/'6states,ExoDamages'!T12</f>
        <v>4.0712076739884862E-2</v>
      </c>
      <c r="AS12" s="21">
        <f>-Y12*W12*X12^(-Parameters!B$52)*Parameters!B$46*Parameters!B$45*N12</f>
        <v>-1.9508176673898906E-5</v>
      </c>
      <c r="AT12" s="7">
        <f>1000*EXP(-(Parameters!$B$54)*'6states'!A12)*AK12*Parameters!B$46*Parameters!B$45*N12</f>
        <v>1.7945055181825162</v>
      </c>
      <c r="AU12" s="7">
        <f>SUM(AT12:AT$204)*EXP(Parameters!$B$54*A12)</f>
        <v>202.00247727791626</v>
      </c>
      <c r="AV12" s="13">
        <f t="shared" si="2"/>
        <v>0.19250997797285035</v>
      </c>
      <c r="AW12" s="30"/>
      <c r="AX12" s="30"/>
      <c r="AY12" s="30"/>
      <c r="AZ12" s="5">
        <f t="shared" si="3"/>
        <v>-1.7723325914827412E-3</v>
      </c>
      <c r="BA12" s="2">
        <f>AZ12/Parameters!$B$45</f>
        <v>-2.9538876524712356</v>
      </c>
      <c r="BB12" s="2">
        <f t="shared" si="18"/>
        <v>2.7706837240788484E-3</v>
      </c>
      <c r="BE12">
        <f>-EXP(-Parameters!B$42*'6states'!A12)*(-Parameters!B$37/Parameters!B$38/Parameters!E$25*(EXP(-Parameters!B$38*Parameters!E$25*'6states'!AC12/('6states'!F12+'6states'!AC12))-EXP(-Parameters!B$38*Parameters!E$25))+Parameters!B$37*'6states'!F12/('6states'!F12+'6states'!AC12)*EXP(-Parameters!B$38*Parameters!E$25*'6states'!I12/('6states'!F12+'6states'!AC12)))</f>
        <v>-0.64529246829891351</v>
      </c>
      <c r="BF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-46.667598732901915</v>
      </c>
      <c r="BG12" s="7">
        <f t="shared" si="4"/>
        <v>5.2991174606099305E-2</v>
      </c>
      <c r="BH12" s="7">
        <f t="shared" si="5"/>
        <v>-1.422308390350663</v>
      </c>
      <c r="BM12">
        <f>EXP(-Parameters!$B$56*A12)*AZ12*BF12</f>
        <v>4.4316037589395701E-2</v>
      </c>
      <c r="BN12">
        <f>-EXP((Parameters!$B$56)*F12)*SUM(BM12:BM20)</f>
        <v>-0.33711440174093898</v>
      </c>
      <c r="BO12">
        <f>X12^-Parameters!B$52/(1-2*Parameters!B$5*'6states'!D12/'6states'!G12)</f>
        <v>1.3013751513305682</v>
      </c>
      <c r="BP12">
        <f t="shared" si="14"/>
        <v>1.0009592375199794</v>
      </c>
      <c r="BQ12">
        <f>$X12^-Parameters!$B$52/(1-2*Parameters!$B$5*'6states'!$E12/'6states'!$H12)</f>
        <v>0.91776491561965012</v>
      </c>
      <c r="BR12">
        <f t="shared" si="21"/>
        <v>1.0107371124195677</v>
      </c>
      <c r="BS12" s="7">
        <f>($X12^-Parameters!$B$52*(1/(1+EXP(-C12)) + IF(C12&lt;0,2*Parameters!$B$6*C12/F12,0)) + BK12*(1/(1+EXP((C12-Parameters!$B$22)*Parameters!$B$21))))/(1-IF(C12&gt;0,2*Parameters!$B$5*C12/F12,0))</f>
        <v>0.41157203234003353</v>
      </c>
      <c r="BT12">
        <f t="shared" si="22"/>
        <v>1.0142028868653854</v>
      </c>
      <c r="BU12" s="7">
        <f t="shared" si="19"/>
        <v>5.7636505357908097E-3</v>
      </c>
      <c r="BV12">
        <f>(1/$T12-1/Parameters!$B$13) * LN(Parameters!$B$18) / LN(P12)</f>
        <v>0.24461613737046531</v>
      </c>
      <c r="BW12">
        <f>(Parameters!$B$18*'6states'!T12^+Parameters!$B$19*Parameters!$B$25^'6states'!T12)^((1-'6states'!T12)/'6states'!T12)*Parameters!$B$18*Parameters!$B$26^('6states'!T12-1)</f>
        <v>0.19445881853860389</v>
      </c>
      <c r="BX12">
        <f t="shared" si="15"/>
        <v>0.30142228582831532</v>
      </c>
      <c r="BY12">
        <f t="shared" si="20"/>
        <v>0.15595965714541404</v>
      </c>
      <c r="BZ12">
        <f t="shared" si="20"/>
        <v>0.12609934934311695</v>
      </c>
    </row>
    <row r="13" spans="1:78" x14ac:dyDescent="0.25">
      <c r="A13">
        <f>A12+Parameters!$B$65</f>
        <v>9</v>
      </c>
      <c r="B13">
        <v>2034</v>
      </c>
      <c r="C13" s="74">
        <v>1.6734384744804052E-3</v>
      </c>
      <c r="D13" s="69">
        <v>6.0740166227482545E-2</v>
      </c>
      <c r="E13" s="75">
        <v>0.21662922448634894</v>
      </c>
      <c r="F13" s="7">
        <f>MAX((1-Parameters!$B$4)^Parameters!B$65*F12 + C12*Parameters!B$65 - IF(C12&gt;0,Parameters!$B$5,0)*C12^2/F12*Parameters!B$65, 0.0001)</f>
        <v>0.4082003008741405</v>
      </c>
      <c r="G13" s="7">
        <f>(1-Parameters!$B$4)^Parameters!B$65*G12+D12*Parameters!B$65-Parameters!$B$5*D12^2/G12*Parameters!B$65</f>
        <v>0.33301623483424297</v>
      </c>
      <c r="H13" s="7">
        <f>(1-Parameters!$B$4)^Parameters!B$65*H12+E12*Parameters!B$65-Parameters!$B$5*E12^2/H12*Parameters!B$65</f>
        <v>3.9803794060872537</v>
      </c>
      <c r="I13" s="9">
        <f>I12 *(1-Parameters!$B$4)-C12*(C12&lt;0)*Parameters!B$65</f>
        <v>2.2772072643044414E-2</v>
      </c>
      <c r="J13" s="23">
        <f>J12*(1+Parameters!$B$51)^Parameters!B$65</f>
        <v>8.3754633117272519</v>
      </c>
      <c r="K13" s="23">
        <f>K12*(1+Parameters!$B$53)^Parameters!B$65</f>
        <v>10.783948782755449</v>
      </c>
      <c r="L13" s="64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27.286371833435847</v>
      </c>
      <c r="M13" s="8">
        <f>M12+L13*Parameters!B$65</f>
        <v>2611.2993082939297</v>
      </c>
      <c r="N13" s="7">
        <f>M13*Parameters!$B$45</f>
        <v>1.5667795849763577</v>
      </c>
      <c r="O13" s="9">
        <f>EXP(-Parameters!$B$46/2*N13^2)</f>
        <v>0.97563111242690481</v>
      </c>
      <c r="P13" s="8">
        <f>MAX((Parameters!$B$62 + Parameters!$B$31*'6states'!A13 - '6states'!M13 + Parameters!$B$47/Parameters!$B$45)/Parameters!B$62,1)</f>
        <v>4.350013834121401</v>
      </c>
      <c r="Q13" s="7">
        <f>Parameters!B$61*EXP(-Parameters!B$60*A13)</f>
        <v>0.39213575688577823</v>
      </c>
      <c r="R13" s="7">
        <f>(1-Parameters!B$61)*P13^-Parameters!B$63</f>
        <v>0.43163926120186419</v>
      </c>
      <c r="S13" s="7">
        <f>Parameters!B$61*EXP(-Parameters!B$60*A13)+(1-Parameters!B$61)*P13^-Parameters!B$63</f>
        <v>0.82377501808764242</v>
      </c>
      <c r="T13" s="7">
        <f>1-S13/Parameters!$B$12</f>
        <v>0.58811249095617879</v>
      </c>
      <c r="U13" s="7">
        <f t="shared" si="0"/>
        <v>2.4278473564820069</v>
      </c>
      <c r="V13" s="7">
        <f>(Parameters!$B$19*(F13+Parameters!$B$20)^T13+Parameters!$B$18*G13^T13)^(1/T13)</f>
        <v>0.39147663870963223</v>
      </c>
      <c r="W13" s="7">
        <f>(Parameters!$B$10*H13^Parameters!$B$9+Parameters!$B$11*V13^Parameters!$B$9)^(Parameters!$B$7/Parameters!$B$9)*O13</f>
        <v>1.4322510976893588</v>
      </c>
      <c r="X13" s="7">
        <f>W13 - D13 - E13 - LN(1+EXP(Parameters!$B$21*C13))/Parameters!$B$21 - IF(C13&gt;0, 0,Parameters!$B$6*C13^2/F13)</f>
        <v>1.1516305669037343</v>
      </c>
      <c r="Y13" s="7">
        <f>EXP(-Parameters!$B$55*A13)</f>
        <v>0.87292992111632683</v>
      </c>
      <c r="Z13" s="7">
        <f>IF(X13&gt;0,X13^(1-Parameters!$B$52)/(1-Parameters!$B$52)*Y13*Parameters!$B$65,-10+X13*1000)</f>
        <v>-2.3738415181766341</v>
      </c>
      <c r="AB13" s="9"/>
      <c r="AC13" s="23">
        <f t="shared" si="6"/>
        <v>2.0567865216639132</v>
      </c>
      <c r="AD13" s="23">
        <f t="shared" si="7"/>
        <v>36.868882781889901</v>
      </c>
      <c r="AE13" s="23">
        <f t="shared" si="8"/>
        <v>30.078215278816405</v>
      </c>
      <c r="AF13" s="23">
        <f t="shared" si="9"/>
        <v>35.358392126427859</v>
      </c>
      <c r="AG13" s="23">
        <f t="shared" si="10"/>
        <v>89.620039607172302</v>
      </c>
      <c r="AH13" s="23">
        <f t="shared" si="11"/>
        <v>129.36173178182815</v>
      </c>
      <c r="AI13" s="23">
        <f t="shared" si="12"/>
        <v>104.01592622124645</v>
      </c>
      <c r="AJ13" s="23"/>
      <c r="AK13" s="8">
        <f t="shared" si="1"/>
        <v>129.36173178182815</v>
      </c>
      <c r="AL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0.17076102911763796</v>
      </c>
      <c r="AM13" s="32">
        <f>((C14-C12)/2-(F14-F12)/F13/2*C13)/(F13/2/Parameters!$B$5-C13)-((D14-D12)/D13-(G14-G12)/G13)/(G13/2/Parameters!$B$5/D13-1)</f>
        <v>2.4294610211257457E-2</v>
      </c>
      <c r="AN13" s="32">
        <f>+Parameters!$B$5*C13^2/F13^2-Parameters!$B$5*D13^2/G13^2</f>
        <v>-3.3250768293134635E-2</v>
      </c>
      <c r="AO13" s="30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0.7694844708534645</v>
      </c>
      <c r="AP13" s="30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69.500274001826938</v>
      </c>
      <c r="AQ13" s="8">
        <f t="shared" si="16"/>
        <v>210.27698045198605</v>
      </c>
      <c r="AR13" s="13">
        <f>1-W13/'6states,ExoDamages'!T13</f>
        <v>4.4985611898992639E-2</v>
      </c>
      <c r="AS13" s="21">
        <f>-Y13*W13*X13^(-Parameters!B$52)*Parameters!B$46*Parameters!B$45*N13</f>
        <v>-1.9524546615800832E-5</v>
      </c>
      <c r="AT13" s="7">
        <f>1000*EXP(-(Parameters!$B$54)*'6states'!A13)*AK13*Parameters!B$46*Parameters!B$45*N13</f>
        <v>1.7822450039206927</v>
      </c>
      <c r="AU13" s="7">
        <f>SUM(AT13:AT$204)*EXP(Parameters!$B$54*A13)</f>
        <v>206.75751558092389</v>
      </c>
      <c r="AV13" s="13">
        <f t="shared" si="2"/>
        <v>0.19482814824753136</v>
      </c>
      <c r="AW13" s="30"/>
      <c r="AX13" s="30"/>
      <c r="AY13" s="30"/>
      <c r="AZ13" s="5">
        <f t="shared" si="3"/>
        <v>-1.7769499593634965E-3</v>
      </c>
      <c r="BA13" s="2">
        <f>AZ13/Parameters!$B$45</f>
        <v>-2.9615832656058276</v>
      </c>
      <c r="BB13" s="2">
        <f t="shared" si="18"/>
        <v>2.5984794092959174E-3</v>
      </c>
      <c r="BE13">
        <f>-EXP(-Parameters!B$42*'6states'!A13)*(-Parameters!B$37/Parameters!B$38/Parameters!E$25*(EXP(-Parameters!B$38*Parameters!E$25*'6states'!AC13/('6states'!F13+'6states'!AC13))-EXP(-Parameters!B$38*Parameters!E$25))+Parameters!B$37*'6states'!F13/('6states'!F13+'6states'!AC13)*EXP(-Parameters!B$38*Parameters!E$25*'6states'!I13/('6states'!F13+'6states'!AC13)))</f>
        <v>-0.63348465337384297</v>
      </c>
      <c r="BF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-47.587276833850559</v>
      </c>
      <c r="BG13" s="7">
        <f t="shared" si="4"/>
        <v>5.2838822259534887E-2</v>
      </c>
      <c r="BH13" s="7">
        <f t="shared" si="5"/>
        <v>-1.4029691242273075</v>
      </c>
      <c r="BM13">
        <f>EXP(-Parameters!$B$56*A13)*AZ13*BF13</f>
        <v>4.1907458602795634E-2</v>
      </c>
      <c r="BN13">
        <f>-EXP((Parameters!$B$56)*F13)*SUM(BM13:BM21)</f>
        <v>-0.31905325683921043</v>
      </c>
      <c r="BO13">
        <f>X13^-Parameters!B$52/(1-2*Parameters!B$5*'6states'!D13/'6states'!G13)</f>
        <v>1.3010935413699614</v>
      </c>
      <c r="BP13">
        <f t="shared" si="14"/>
        <v>0.99978360585698989</v>
      </c>
      <c r="BQ13">
        <f>$X13^-Parameters!$B$52/(1-2*Parameters!$B$5*'6states'!$E13/'6states'!$H13)</f>
        <v>0.92741832862699081</v>
      </c>
      <c r="BR13">
        <f t="shared" si="21"/>
        <v>1.0105183940277593</v>
      </c>
      <c r="BS13" s="7">
        <f>($X13^-Parameters!$B$52*(1/(1+EXP(-C13)) + IF(C13&lt;0,2*Parameters!$B$6*C13/F13,0)) + BK13*(1/(1+EXP((C13-Parameters!$B$22)*Parameters!$B$21))))/(1-IF(C13&gt;0,2*Parameters!$B$5*C13/F13,0))</f>
        <v>0.41699989060829978</v>
      </c>
      <c r="BT13">
        <f t="shared" si="22"/>
        <v>1.0131881125095057</v>
      </c>
      <c r="BU13" s="7">
        <f t="shared" si="19"/>
        <v>5.4278582682662502E-3</v>
      </c>
      <c r="BV13">
        <f>(1/$T13-1/Parameters!$B$13) * LN(Parameters!$B$18) / LN(P13)</f>
        <v>0.24280090973388371</v>
      </c>
      <c r="BW13">
        <f>(Parameters!$B$18*'6states'!T13^+Parameters!$B$19*Parameters!$B$25^'6states'!T13)^((1-'6states'!T13)/'6states'!T13)*Parameters!$B$18*Parameters!$B$26^('6states'!T13-1)</f>
        <v>0.20054333473943492</v>
      </c>
      <c r="BX13">
        <f t="shared" si="15"/>
        <v>0.29636957436567557</v>
      </c>
      <c r="BY13">
        <f t="shared" si="20"/>
        <v>0.15489700038636789</v>
      </c>
      <c r="BZ13">
        <f t="shared" si="20"/>
        <v>0.12977723384235218</v>
      </c>
    </row>
    <row r="14" spans="1:78" x14ac:dyDescent="0.25">
      <c r="A14">
        <f>A13+Parameters!$B$65</f>
        <v>10</v>
      </c>
      <c r="B14">
        <v>2035</v>
      </c>
      <c r="C14" s="74">
        <v>1.912532481043485E-3</v>
      </c>
      <c r="D14" s="69">
        <v>6.4662229798283316E-2</v>
      </c>
      <c r="E14" s="75">
        <v>0.21444009869660036</v>
      </c>
      <c r="F14" s="7">
        <f>MAX((1-Parameters!$B$4)^Parameters!B$65*F13 + C13*Parameters!B$65 - IF(C13&gt;0,Parameters!$B$5,0)*C13^2/F13*Parameters!B$65, 0.0001)</f>
        <v>0.38419108007512265</v>
      </c>
      <c r="G14" s="7">
        <f>(1-Parameters!$B$4)^Parameters!B$65*G13+D13*Parameters!B$65-Parameters!$B$5*D13^2/G13*Parameters!B$65</f>
        <v>0.36173103744795337</v>
      </c>
      <c r="H14" s="7">
        <f>(1-Parameters!$B$4)^Parameters!B$65*H13+E13*Parameters!B$65-Parameters!$B$5*E13^2/H13*Parameters!B$65</f>
        <v>3.9348528795621465</v>
      </c>
      <c r="I14" s="9">
        <f>I13 *(1-Parameters!$B$4)-C13*(C13&lt;0)*Parameters!B$65</f>
        <v>2.1339709273796921E-2</v>
      </c>
      <c r="J14" s="23">
        <f>J13*(1+Parameters!$B$51)^Parameters!B$65</f>
        <v>8.3997521553312602</v>
      </c>
      <c r="K14" s="23">
        <f>K13*(1+Parameters!$B$53)^Parameters!B$65</f>
        <v>10.999627758410558</v>
      </c>
      <c r="L14" s="56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26.014158683236715</v>
      </c>
      <c r="M14" s="8">
        <f>M13+L14*Parameters!B$65</f>
        <v>2637.3134669771666</v>
      </c>
      <c r="N14" s="7">
        <f>M14*Parameters!$B$45</f>
        <v>1.5823880801862997</v>
      </c>
      <c r="O14" s="9">
        <f>EXP(-Parameters!$B$46/2*N14^2)</f>
        <v>0.97514927419473751</v>
      </c>
      <c r="P14" s="8">
        <f>MAX((Parameters!$B$62 + Parameters!$B$31*'6states'!A14 - '6states'!M14 + Parameters!$B$47/Parameters!$B$45)/Parameters!B$62,1)</f>
        <v>4.8937306604566677</v>
      </c>
      <c r="Q14" s="7">
        <f>Parameters!B$61*EXP(-Parameters!B$60*A14)</f>
        <v>0.38168974716842657</v>
      </c>
      <c r="R14" s="7">
        <f>(1-Parameters!B$61)*P14^-Parameters!B$63</f>
        <v>0.4265854103156127</v>
      </c>
      <c r="S14" s="7">
        <f>Parameters!B$61*EXP(-Parameters!B$60*A14)+(1-Parameters!B$61)*P14^-Parameters!B$63</f>
        <v>0.80827515748403922</v>
      </c>
      <c r="T14" s="7">
        <f>1-S14/Parameters!$B$12</f>
        <v>0.59586242125798039</v>
      </c>
      <c r="U14" s="7">
        <f t="shared" si="0"/>
        <v>2.4744048873474047</v>
      </c>
      <c r="V14" s="7">
        <f>(Parameters!$B$19*(F14+Parameters!$B$20)^T14+Parameters!$B$18*G14^T14)^(1/T14)</f>
        <v>0.38420959023236734</v>
      </c>
      <c r="W14" s="7">
        <f>(Parameters!$B$10*H14^Parameters!$B$9+Parameters!$B$11*V14^Parameters!$B$9)^(Parameters!$B$7/Parameters!$B$9)*O14</f>
        <v>1.4255678068725253</v>
      </c>
      <c r="X14" s="7">
        <f>W14 - D14 - E14 - LN(1+EXP(Parameters!$B$21*C14))/Parameters!$B$21 - IF(C14&gt;0, 0,Parameters!$B$6*C14^2/F14)</f>
        <v>1.1430633959518586</v>
      </c>
      <c r="Y14" s="7">
        <f>EXP(-Parameters!$B$55*A14)</f>
        <v>0.85984769865920552</v>
      </c>
      <c r="Z14" s="7">
        <f>IF(X14&gt;0,X14^(1-Parameters!$B$52)/(1-Parameters!$B$52)*Y14*Parameters!$B$65,-10+X14*1000)</f>
        <v>-2.3443846961554935</v>
      </c>
      <c r="AB14" s="9"/>
      <c r="AC14" s="23">
        <f t="shared" si="6"/>
        <v>1.9716642349733549</v>
      </c>
      <c r="AD14" s="23">
        <f t="shared" si="7"/>
        <v>35.497007117619667</v>
      </c>
      <c r="AE14" s="23">
        <f t="shared" si="8"/>
        <v>33.421830638137692</v>
      </c>
      <c r="AF14" s="23">
        <f t="shared" si="9"/>
        <v>35.498717347808594</v>
      </c>
      <c r="AG14" s="23">
        <f t="shared" si="10"/>
        <v>89.975710528323347</v>
      </c>
      <c r="AH14" s="23">
        <f t="shared" si="11"/>
        <v>131.71412146609123</v>
      </c>
      <c r="AI14" s="23">
        <f t="shared" si="12"/>
        <v>105.6123674033758</v>
      </c>
      <c r="AJ14" s="23"/>
      <c r="AK14" s="8">
        <f t="shared" si="1"/>
        <v>131.7141214660912</v>
      </c>
      <c r="AL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0.18277446114602966</v>
      </c>
      <c r="AM14" s="32">
        <f>((C15-C13)/2-(F15-F13)/F14/2*C14)/(F14/2/Parameters!$B$5-C14)-((D15-D13)/D14-(G15-G13)/G14)/(G14/2/Parameters!$B$5/D14-1)</f>
        <v>2.4933649653723709E-2</v>
      </c>
      <c r="AN14" s="32">
        <f>+Parameters!$B$5*C14^2/F14^2-Parameters!$B$5*D14^2/G14^2</f>
        <v>-3.1929555341019517E-2</v>
      </c>
      <c r="AO14" s="30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0.76211146898585413</v>
      </c>
      <c r="AP14" s="30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70.41463907418337</v>
      </c>
      <c r="AQ14" s="8">
        <f>1000*(AL14+AM14+AN14)/(EXP(-Parameters!$B$42*A14)*((C14&lt;0)*Parameters!$B$37*EXP(-Parameters!$B$38*AD14)+(C14&gt;=0)*Parameters!$B$41))</f>
        <v>207.06130733394934</v>
      </c>
      <c r="AR14" s="13">
        <f>1-W14/'6states,ExoDamages'!T14</f>
        <v>4.8977516778298869E-2</v>
      </c>
      <c r="AS14" s="21">
        <f>-Y14*W14*X14^(-Parameters!B$52)*Parameters!B$46*Parameters!B$45*N14</f>
        <v>-1.9528765671035133E-5</v>
      </c>
      <c r="AT14" s="7">
        <f>1000*EXP(-(Parameters!$B$54)*'6states'!A14)*AK14*Parameters!B$46*Parameters!B$45*N14</f>
        <v>1.7695192312509367</v>
      </c>
      <c r="AU14" s="7">
        <f>SUM(AT14:AT$204)*EXP(Parameters!$B$54*A14)</f>
        <v>211.61191492476459</v>
      </c>
      <c r="AV14" s="13">
        <f t="shared" ref="AV14:AV45" si="23">(C14+D14+E14)/W14</f>
        <v>0.19712486464774354</v>
      </c>
      <c r="AW14" s="30"/>
      <c r="AX14" s="30"/>
      <c r="AY14" s="30"/>
      <c r="AZ14" s="5">
        <f t="shared" si="3"/>
        <v>-1.781278525984735E-3</v>
      </c>
      <c r="BA14" s="2">
        <f>AZ14/Parameters!$B$45</f>
        <v>-2.9687975433078919</v>
      </c>
      <c r="BB14" s="2">
        <f t="shared" si="18"/>
        <v>2.430033573130097E-3</v>
      </c>
      <c r="BE14">
        <f>-EXP(-Parameters!B$42*'6states'!A14)*(-Parameters!B$37/Parameters!B$38/Parameters!E$25*(EXP(-Parameters!B$38*Parameters!E$25*'6states'!AC14/('6states'!F14+'6states'!AC14))-EXP(-Parameters!B$38*Parameters!E$25))+Parameters!B$37*'6states'!F14/('6states'!F14+'6states'!AC14)*EXP(-Parameters!B$38*Parameters!E$25*'6states'!I14/('6states'!F14+'6states'!AC14)))</f>
        <v>-0.62251145418287113</v>
      </c>
      <c r="BF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-48.665965522263498</v>
      </c>
      <c r="BG14" s="7">
        <f t="shared" si="4"/>
        <v>5.2621674689751333E-2</v>
      </c>
      <c r="BH14" s="7">
        <f t="shared" si="5"/>
        <v>-1.3846229231687253</v>
      </c>
      <c r="BM14">
        <f>EXP(-Parameters!$B$56*A14)*AZ14*BF14</f>
        <v>3.9738134975245198E-2</v>
      </c>
      <c r="BN14">
        <f>-EXP((Parameters!$B$56)*F14)*SUM(BM14:BM22)</f>
        <v>-0.302077498403306</v>
      </c>
      <c r="BO14">
        <f>X14^-Parameters!B$52/(1-2*Parameters!B$5*'6states'!D14/'6states'!G14)</f>
        <v>1.2993987040023844</v>
      </c>
      <c r="BP14">
        <f t="shared" si="14"/>
        <v>0.99869737469775433</v>
      </c>
      <c r="BQ14">
        <f>$X14^-Parameters!$B$52/(1-2*Parameters!$B$5*'6states'!$E14/'6states'!$H14)</f>
        <v>0.93696861195776304</v>
      </c>
      <c r="BR14">
        <f t="shared" si="21"/>
        <v>1.0102977082034934</v>
      </c>
      <c r="BS14" s="7">
        <f>($X14^-Parameters!$B$52*(1/(1+EXP(-C14)) + IF(C14&lt;0,2*Parameters!$B$6*C14/F14,0)) + BK14*(1/(1+EXP((C14-Parameters!$B$22)*Parameters!$B$21))))/(1-IF(C14&gt;0,2*Parameters!$B$5*C14/F14,0))</f>
        <v>0.42202263890356256</v>
      </c>
      <c r="BT14">
        <f t="shared" si="22"/>
        <v>1.012044963100436</v>
      </c>
      <c r="BU14" s="7">
        <f t="shared" si="19"/>
        <v>5.02274829526278E-3</v>
      </c>
      <c r="BV14">
        <f>(1/$T14-1/Parameters!$B$13) * LN(Parameters!$B$18) / LN(P14)</f>
        <v>0.24138355662567898</v>
      </c>
      <c r="BW14">
        <f>(Parameters!$B$18*'6states'!T14^+Parameters!$B$19*Parameters!$B$25^'6states'!T14)^((1-'6states'!T14)/'6states'!T14)*Parameters!$B$18*Parameters!$B$26^('6states'!T14-1)</f>
        <v>0.20622725394391092</v>
      </c>
      <c r="BX14">
        <f t="shared" si="15"/>
        <v>0.29198858357091323</v>
      </c>
      <c r="BY14">
        <f t="shared" si="20"/>
        <v>0.15406633423272553</v>
      </c>
      <c r="BZ14">
        <f t="shared" si="20"/>
        <v>0.13319898610856851</v>
      </c>
    </row>
    <row r="15" spans="1:78" x14ac:dyDescent="0.25">
      <c r="A15">
        <f>A14+Parameters!$B$65</f>
        <v>11</v>
      </c>
      <c r="B15">
        <v>2036</v>
      </c>
      <c r="C15" s="74">
        <v>1.9665735081206047E-3</v>
      </c>
      <c r="D15" s="69">
        <v>6.8561095406076897E-2</v>
      </c>
      <c r="E15" s="75">
        <v>0.21256835618152201</v>
      </c>
      <c r="F15" s="7">
        <f>MAX((1-Parameters!$B$4)^Parameters!B$65*F14 + C14*Parameters!B$65 - IF(C14&gt;0,Parameters!$B$5,0)*C14^2/F14*Parameters!B$65, 0.0001)</f>
        <v>0.36192847288697022</v>
      </c>
      <c r="G15" s="7">
        <f>(1-Parameters!$B$4)^Parameters!B$65*G14+D14*Parameters!B$65-Parameters!$B$5*D14^2/G14*Parameters!B$65</f>
        <v>0.39208150966730254</v>
      </c>
      <c r="H15" s="7">
        <f>(1-Parameters!$B$4)^Parameters!B$65*H14+E14*Parameters!B$65-Parameters!$B$5*E14^2/H14*Parameters!B$65</f>
        <v>3.8901042581195022</v>
      </c>
      <c r="I15" s="9">
        <f>I14 *(1-Parameters!$B$4)-C14*(C14&lt;0)*Parameters!B$65</f>
        <v>1.9997441560475095E-2</v>
      </c>
      <c r="J15" s="23">
        <f>J14*(1+Parameters!$B$51)^Parameters!B$65</f>
        <v>8.42411143658172</v>
      </c>
      <c r="K15" s="23">
        <f>K14*(1+Parameters!$B$53)^Parameters!B$65</f>
        <v>11.219620313578769</v>
      </c>
      <c r="L15" s="23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24.825145577118633</v>
      </c>
      <c r="M15" s="8">
        <f>M14+L15*Parameters!B$65</f>
        <v>2662.1386125542854</v>
      </c>
      <c r="N15" s="7">
        <f>M15*Parameters!$B$45</f>
        <v>1.5972831675325712</v>
      </c>
      <c r="O15" s="9">
        <f>EXP(-Parameters!$B$46/2*N15^2)</f>
        <v>0.97468523027839027</v>
      </c>
      <c r="P15" s="8">
        <f>MAX((Parameters!$B$62 + Parameters!$B$31*'6states'!A15 - '6states'!M15 + Parameters!$B$47/Parameters!$B$45)/Parameters!B$62,1)</f>
        <v>5.4612277489142933</v>
      </c>
      <c r="Q15" s="7">
        <f>Parameters!B$61*EXP(-Parameters!B$60*A15)</f>
        <v>0.37152200618096992</v>
      </c>
      <c r="R15" s="7">
        <f>(1-Parameters!B$61)*P15^-Parameters!B$63</f>
        <v>0.4219305536698833</v>
      </c>
      <c r="S15" s="7">
        <f>Parameters!B$61*EXP(-Parameters!B$60*A15)+(1-Parameters!B$61)*P15^-Parameters!B$63</f>
        <v>0.79345255985085328</v>
      </c>
      <c r="T15" s="7">
        <f>1-S15/Parameters!$B$12</f>
        <v>0.60327372007457336</v>
      </c>
      <c r="U15" s="7">
        <f t="shared" si="0"/>
        <v>2.5206295892169579</v>
      </c>
      <c r="V15" s="7">
        <f>(Parameters!$B$19*(F15+Parameters!$B$20)^T15+Parameters!$B$18*G15^T15)^(1/T15)</f>
        <v>0.37800697098429309</v>
      </c>
      <c r="W15" s="7">
        <f>(Parameters!$B$10*H15^Parameters!$B$9+Parameters!$B$11*V15^Parameters!$B$9)^(Parameters!$B$7/Parameters!$B$9)*O15</f>
        <v>1.4193023613727733</v>
      </c>
      <c r="X15" s="7">
        <f>W15 - D15 - E15 - LN(1+EXP(Parameters!$B$21*C15))/Parameters!$B$21 - IF(C15&gt;0, 0,Parameters!$B$6*C15^2/F15)</f>
        <v>1.1347361602608108</v>
      </c>
      <c r="Y15" s="7">
        <f>EXP(-Parameters!$B$55*A15)</f>
        <v>0.84696153380107075</v>
      </c>
      <c r="Z15" s="7">
        <f>IF(X15&gt;0,X15^(1-Parameters!$B$52)/(1-Parameters!$B$52)*Y15*Parameters!$B$65,-10+X15*1000)</f>
        <v>-2.3151675631333704</v>
      </c>
      <c r="AB15" s="9"/>
      <c r="AC15" s="23">
        <f t="shared" si="6"/>
        <v>1.8900648241938891</v>
      </c>
      <c r="AD15" s="23">
        <f t="shared" si="7"/>
        <v>34.207789701955363</v>
      </c>
      <c r="AE15" s="23">
        <f t="shared" si="8"/>
        <v>37.057713977957434</v>
      </c>
      <c r="AF15" s="23">
        <f t="shared" si="9"/>
        <v>35.727454284432895</v>
      </c>
      <c r="AG15" s="23">
        <f t="shared" si="10"/>
        <v>90.555471430532791</v>
      </c>
      <c r="AH15" s="23">
        <f t="shared" si="11"/>
        <v>134.14583360644011</v>
      </c>
      <c r="AI15" s="23">
        <f t="shared" si="12"/>
        <v>107.24996468992528</v>
      </c>
      <c r="AJ15" s="23"/>
      <c r="AK15" s="8">
        <f t="shared" si="1"/>
        <v>134.14583360644014</v>
      </c>
      <c r="AL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0.19362270751656557</v>
      </c>
      <c r="AM15" s="32">
        <f>((C16-C14)/2-(F16-F14)/F15/2*C15)/(F15/2/Parameters!$B$5-C15)-((D16-D14)/D15-(G16-G14)/G15)/(G15/2/Parameters!$B$5/D15-1)</f>
        <v>2.5284142948764857E-2</v>
      </c>
      <c r="AN15" s="32">
        <f>+Parameters!$B$5*C15^2/F15^2-Parameters!$B$5*D15^2/G15^2</f>
        <v>-3.0548032150315541E-2</v>
      </c>
      <c r="AO15" s="30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0.7548692458819426</v>
      </c>
      <c r="AP15" s="30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71.346717238429108</v>
      </c>
      <c r="AQ15" s="8">
        <f>1000*(AL15+AM15+AN15)/(EXP(-Parameters!$B$42*A15)*((C15&lt;0)*Parameters!$B$37*EXP(-Parameters!$B$38*AD15)+(C15&gt;=0)*Parameters!$B$41))</f>
        <v>224.1103751524482</v>
      </c>
      <c r="AR15" s="13">
        <f>1-W15/'6states,ExoDamages'!T15</f>
        <v>5.2700204385346283E-2</v>
      </c>
      <c r="AS15" s="21">
        <f>-Y15*W15*X15^(-Parameters!B$52)*Parameters!B$46*Parameters!B$45*N15</f>
        <v>-1.9523592166447963E-5</v>
      </c>
      <c r="AT15" s="7">
        <f>1000*EXP(-(Parameters!$B$54)*'6states'!A15)*AK15*Parameters!B$46*Parameters!B$45*N15</f>
        <v>1.7564076174544099</v>
      </c>
      <c r="AU15" s="7">
        <f>SUM(AT15:AT$204)*EXP(Parameters!$B$54*A15)</f>
        <v>216.56801281558776</v>
      </c>
      <c r="AV15" s="13">
        <f t="shared" si="23"/>
        <v>0.19946139230114734</v>
      </c>
      <c r="AW15" s="30"/>
      <c r="AX15" s="30"/>
      <c r="AY15" s="30"/>
      <c r="AZ15" s="5">
        <f t="shared" si="3"/>
        <v>-1.7853224913082701E-3</v>
      </c>
      <c r="BA15" s="2">
        <f>AZ15/Parameters!$B$45</f>
        <v>-2.9755374855137839</v>
      </c>
      <c r="BB15" s="2">
        <f t="shared" si="18"/>
        <v>2.2651175589972761E-3</v>
      </c>
      <c r="BE15">
        <f>-EXP(-Parameters!B$42*'6states'!A15)*(-Parameters!B$37/Parameters!B$38/Parameters!E$25*(EXP(-Parameters!B$38*Parameters!E$25*'6states'!AC15/('6states'!F15+'6states'!AC15))-EXP(-Parameters!B$38*Parameters!E$25))+Parameters!B$37*'6states'!F15/('6states'!F15+'6states'!AC15)*EXP(-Parameters!B$38*Parameters!E$25*'6states'!I15/('6states'!F15+'6states'!AC15)))</f>
        <v>-0.61212744658772344</v>
      </c>
      <c r="BF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-49.869521331947773</v>
      </c>
      <c r="BG15" s="7">
        <f t="shared" si="4"/>
        <v>5.2359478118698934E-2</v>
      </c>
      <c r="BH15" s="7">
        <f t="shared" si="5"/>
        <v>-1.3669966924696659</v>
      </c>
      <c r="BM15">
        <f>EXP(-Parameters!$B$56*A15)*AZ15*BF15</f>
        <v>3.7750891356466608E-2</v>
      </c>
      <c r="BN15">
        <f>-EXP((Parameters!$B$56)*F15)*SUM(BM15:BM23)</f>
        <v>-0.28602292781156141</v>
      </c>
      <c r="BO15">
        <f>X15^-Parameters!B$52/(1-2*Parameters!B$5*'6states'!D15/'6states'!G15)</f>
        <v>1.2965741650143707</v>
      </c>
      <c r="BP15">
        <f t="shared" si="14"/>
        <v>0.99782627227554277</v>
      </c>
      <c r="BQ15">
        <f>$X15^-Parameters!$B$52/(1-2*Parameters!$B$5*'6states'!$E15/'6states'!$H15)</f>
        <v>0.94657267202667184</v>
      </c>
      <c r="BR15">
        <f t="shared" si="21"/>
        <v>1.010250140662494</v>
      </c>
      <c r="BS15" s="7">
        <f>($X15^-Parameters!$B$52*(1/(1+EXP(-C15)) + IF(C15&lt;0,2*Parameters!$B$6*C15/F15,0)) + BK15*(1/(1+EXP((C15-Parameters!$B$22)*Parameters!$B$21))))/(1-IF(C15&gt;0,2*Parameters!$B$5*C15/F15,0))</f>
        <v>0.42661303075108098</v>
      </c>
      <c r="BT15">
        <f t="shared" si="22"/>
        <v>1.0108771222781898</v>
      </c>
      <c r="BU15" s="7">
        <f t="shared" si="19"/>
        <v>4.5903918475184158E-3</v>
      </c>
      <c r="BV15">
        <f>(1/$T15-1/Parameters!$B$13) * LN(Parameters!$B$18) / LN(P15)</f>
        <v>0.24025070400689083</v>
      </c>
      <c r="BW15">
        <f>(Parameters!$B$18*'6states'!T15^+Parameters!$B$19*Parameters!$B$25^'6states'!T15)^((1-'6states'!T15)/'6states'!T15)*Parameters!$B$18*Parameters!$B$26^('6states'!T15-1)</f>
        <v>0.21154468409929517</v>
      </c>
      <c r="BX15">
        <f t="shared" si="15"/>
        <v>0.28811322505199743</v>
      </c>
      <c r="BY15">
        <f t="shared" si="20"/>
        <v>0.15340181782993267</v>
      </c>
      <c r="BZ15">
        <f t="shared" si="20"/>
        <v>0.13638792765500829</v>
      </c>
    </row>
    <row r="16" spans="1:78" x14ac:dyDescent="0.25">
      <c r="A16">
        <f>A15+Parameters!$B$65</f>
        <v>12</v>
      </c>
      <c r="B16">
        <v>2037</v>
      </c>
      <c r="C16" s="74">
        <v>1.8591117771076442E-3</v>
      </c>
      <c r="D16" s="69">
        <v>7.2390519368539269E-2</v>
      </c>
      <c r="E16" s="75">
        <v>0.21113110052662845</v>
      </c>
      <c r="F16" s="7">
        <f>MAX((1-Parameters!$B$4)^Parameters!B$65*F15 + C15*Parameters!B$65 - IF(C15&gt;0,Parameters!$B$5,0)*C15^2/F15*Parameters!B$65, 0.0001)</f>
        <v>0.34111905988234942</v>
      </c>
      <c r="G16" s="7">
        <f>(1-Parameters!$B$4)^Parameters!B$65*G15+D15*Parameters!B$65-Parameters!$B$5*D15^2/G15*Parameters!B$65</f>
        <v>0.42399178374670954</v>
      </c>
      <c r="H16" s="7">
        <f>(1-Parameters!$B$4)^Parameters!B$65*H15+E15*Parameters!B$65-Parameters!$B$5*E15^2/H15*Parameters!B$65</f>
        <v>3.8463696078676506</v>
      </c>
      <c r="I16" s="9">
        <f>I15 *(1-Parameters!$B$4)-C15*(C15&lt;0)*Parameters!B$65</f>
        <v>1.8739602486321214E-2</v>
      </c>
      <c r="J16" s="23">
        <f>J15*(1+Parameters!$B$51)^Parameters!B$65</f>
        <v>8.4485413597478054</v>
      </c>
      <c r="K16" s="23">
        <f>K15*(1+Parameters!$B$53)^Parameters!B$65</f>
        <v>11.444012719850345</v>
      </c>
      <c r="L16" s="23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23.702303675335187</v>
      </c>
      <c r="M16" s="8">
        <f>M15+L16*Parameters!B$65</f>
        <v>2685.8409162296207</v>
      </c>
      <c r="N16" s="7">
        <f>M16*Parameters!$B$45</f>
        <v>1.6115045497377722</v>
      </c>
      <c r="O16" s="9">
        <f>EXP(-Parameters!$B$46/2*N16^2)</f>
        <v>0.97423832687861012</v>
      </c>
      <c r="P16" s="8">
        <f>MAX((Parameters!$B$62 + Parameters!$B$31*'6states'!A16 - '6states'!M16 + Parameters!$B$47/Parameters!$B$45)/Parameters!B$62,1)</f>
        <v>6.0511816754075882</v>
      </c>
      <c r="Q16" s="7">
        <f>Parameters!B$61*EXP(-Parameters!B$60*A16)</f>
        <v>0.36162512118992118</v>
      </c>
      <c r="R16" s="7">
        <f>(1-Parameters!B$61)*P16^-Parameters!B$63</f>
        <v>0.41762451581558208</v>
      </c>
      <c r="S16" s="7">
        <f>Parameters!B$61*EXP(-Parameters!B$60*A16)+(1-Parameters!B$61)*P16^-Parameters!B$63</f>
        <v>0.77924963700550332</v>
      </c>
      <c r="T16" s="7">
        <f>1-S16/Parameters!$B$12</f>
        <v>0.61037518149724834</v>
      </c>
      <c r="U16" s="7">
        <f t="shared" si="0"/>
        <v>2.5665716158503327</v>
      </c>
      <c r="V16" s="7">
        <f>(Parameters!$B$19*(F16+Parameters!$B$20)^T16+Parameters!$B$18*G16^T16)^(1/T16)</f>
        <v>0.37269278326049871</v>
      </c>
      <c r="W16" s="7">
        <f>(Parameters!$B$10*H16^Parameters!$B$9+Parameters!$B$11*V16^Parameters!$B$9)^(Parameters!$B$7/Parameters!$B$9)*O16</f>
        <v>1.4134290974203545</v>
      </c>
      <c r="X16" s="7">
        <f>W16 - D16 - E16 - LN(1+EXP(Parameters!$B$21*C16))/Parameters!$B$21 - IF(C16&gt;0, 0,Parameters!$B$6*C16^2/F16)</f>
        <v>1.1265394657813272</v>
      </c>
      <c r="Y16" s="7">
        <f>EXP(-Parameters!$B$55*A16)</f>
        <v>0.83426848831164502</v>
      </c>
      <c r="Z16" s="7">
        <f>IF(X16&gt;0,X16^(1-Parameters!$B$52)/(1-Parameters!$B$52)*Y16*Parameters!$B$65,-10+X16*1000)</f>
        <v>-2.2862649150522922</v>
      </c>
      <c r="AB16" s="9"/>
      <c r="AC16" s="23">
        <f t="shared" si="6"/>
        <v>1.8118424913780278</v>
      </c>
      <c r="AD16" s="23">
        <f t="shared" si="7"/>
        <v>32.981169572028492</v>
      </c>
      <c r="AE16" s="23">
        <f t="shared" si="8"/>
        <v>40.993736678683383</v>
      </c>
      <c r="AF16" s="23">
        <f t="shared" si="9"/>
        <v>36.033881798411315</v>
      </c>
      <c r="AG16" s="23">
        <f t="shared" si="10"/>
        <v>91.332148317911603</v>
      </c>
      <c r="AH16" s="23">
        <f t="shared" si="11"/>
        <v>136.65769586764736</v>
      </c>
      <c r="AI16" s="23">
        <f t="shared" si="12"/>
        <v>108.91971021299956</v>
      </c>
      <c r="AJ16" s="23"/>
      <c r="AK16" s="8">
        <f t="shared" si="1"/>
        <v>136.65769586764736</v>
      </c>
      <c r="AL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0.20342875437853281</v>
      </c>
      <c r="AM16" s="32">
        <f>((C17-C15)/2-(F17-F15)/F16/2*C16)/(F16/2/Parameters!$B$5-C16)-((D17-D15)/D16-(G17-G15)/G16)/(G16/2/Parameters!$B$5/D16-1)</f>
        <v>2.5486323680579105E-2</v>
      </c>
      <c r="AN16" s="32">
        <f>+Parameters!$B$5*C16^2/F16^2-Parameters!$B$5*D16^2/G16^2</f>
        <v>-2.9120964564732156E-2</v>
      </c>
      <c r="AO16" s="30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0.74772697640050745</v>
      </c>
      <c r="AP16" s="30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72.294143313923087</v>
      </c>
      <c r="AQ16" s="8">
        <f>1000*(AL16+AM16+AN16)/(EXP(-Parameters!$B$42*A16)*((C16&lt;0)*Parameters!$B$37*EXP(-Parameters!$B$38*AD16)+(C16&gt;=0)*Parameters!$B$41))</f>
        <v>240.10524035121281</v>
      </c>
      <c r="AR16" s="13">
        <f>1-W16/'6states,ExoDamages'!T16</f>
        <v>5.6171104261680149E-2</v>
      </c>
      <c r="AS16" s="21">
        <f>-Y16*W16*X16^(-Parameters!B$52)*Parameters!B$46*Parameters!B$45*N16</f>
        <v>-1.9511967172801713E-5</v>
      </c>
      <c r="AT16" s="7">
        <f>1000*EXP(-(Parameters!$B$54)*'6states'!A16)*AK16*Parameters!B$46*Parameters!B$45*N16</f>
        <v>1.7429627354506931</v>
      </c>
      <c r="AU16" s="7">
        <f>SUM(AT16:AT$204)*EXP(Parameters!$B$54*A16)</f>
        <v>221.62813708200849</v>
      </c>
      <c r="AV16" s="13">
        <f t="shared" si="23"/>
        <v>0.20190664830172445</v>
      </c>
      <c r="AW16" s="30"/>
      <c r="AX16" s="30"/>
      <c r="AY16" s="30"/>
      <c r="AZ16" s="5">
        <f t="shared" si="3"/>
        <v>-1.7890833758112585E-3</v>
      </c>
      <c r="BA16" s="2">
        <f>AZ16/Parameters!$B$45</f>
        <v>-2.9818056263520978</v>
      </c>
      <c r="BB16" s="2">
        <f t="shared" si="18"/>
        <v>2.1021292544752823E-3</v>
      </c>
      <c r="BE16">
        <f>-EXP(-Parameters!B$42*'6states'!A16)*(-Parameters!B$37/Parameters!B$38/Parameters!E$25*(EXP(-Parameters!B$38*Parameters!E$25*'6states'!AC16/('6states'!F16+'6states'!AC16))-EXP(-Parameters!B$38*Parameters!E$25))+Parameters!B$37*'6states'!F16/('6states'!F16+'6states'!AC16)*EXP(-Parameters!B$38*Parameters!E$25*'6states'!I16/('6states'!F16+'6states'!AC16)))</f>
        <v>-0.60206885164748658</v>
      </c>
      <c r="BF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-51.154048097328648</v>
      </c>
      <c r="BG16" s="7">
        <f t="shared" si="4"/>
        <v>5.2074896191112746E-2</v>
      </c>
      <c r="BH16" s="7">
        <f t="shared" si="5"/>
        <v>-1.349795828047994</v>
      </c>
      <c r="BM16">
        <f>EXP(-Parameters!$B$56*A16)*AZ16*BF16</f>
        <v>3.5893098658742587E-2</v>
      </c>
      <c r="BN16">
        <f>-EXP((Parameters!$B$56)*F16)*SUM(BM16:BM24)</f>
        <v>-0.27075862721746857</v>
      </c>
      <c r="BO16">
        <f>X16^-Parameters!B$52/(1-2*Parameters!B$5*'6states'!D16/'6states'!G16)</f>
        <v>1.2929081070528232</v>
      </c>
      <c r="BP16">
        <f t="shared" si="14"/>
        <v>0.99717250423425885</v>
      </c>
      <c r="BQ16">
        <f>$X16^-Parameters!$B$52/(1-2*Parameters!$B$5*'6states'!$E16/'6states'!$H16)</f>
        <v>0.95641412325057729</v>
      </c>
      <c r="BR16">
        <f t="shared" si="21"/>
        <v>1.0103969314926811</v>
      </c>
      <c r="BS16" s="7">
        <f>($X16^-Parameters!$B$52*(1/(1+EXP(-C16)) + IF(C16&lt;0,2*Parameters!$B$6*C16/F16,0)) + BK16*(1/(1+EXP((C16-Parameters!$B$22)*Parameters!$B$21))))/(1-IF(C16&gt;0,2*Parameters!$B$5*C16/F16,0))</f>
        <v>0.43079999976284816</v>
      </c>
      <c r="BT16">
        <f t="shared" si="22"/>
        <v>1.0098144423868061</v>
      </c>
      <c r="BU16" s="7">
        <f t="shared" si="19"/>
        <v>4.1869690117671832E-3</v>
      </c>
      <c r="BV16">
        <f>(1/$T16-1/Parameters!$B$13) * LN(Parameters!$B$18) / LN(P16)</f>
        <v>0.23932294575959839</v>
      </c>
      <c r="BW16">
        <f>(Parameters!$B$18*'6states'!T16^+Parameters!$B$19*Parameters!$B$25^'6states'!T16)^((1-'6states'!T16)/'6states'!T16)*Parameters!$B$18*Parameters!$B$26^('6states'!T16-1)</f>
        <v>0.21652644158918008</v>
      </c>
      <c r="BX16">
        <f t="shared" si="15"/>
        <v>0.28462581908272733</v>
      </c>
      <c r="BY16">
        <f t="shared" si="20"/>
        <v>0.15285721829596233</v>
      </c>
      <c r="BZ16">
        <f t="shared" si="20"/>
        <v>0.13936491600210121</v>
      </c>
    </row>
    <row r="17" spans="1:78" x14ac:dyDescent="0.25">
      <c r="A17">
        <f>A16+Parameters!$B$65</f>
        <v>13</v>
      </c>
      <c r="B17">
        <v>2038</v>
      </c>
      <c r="C17" s="74">
        <v>1.6375464314031987E-3</v>
      </c>
      <c r="D17" s="69">
        <v>7.6102338676293874E-2</v>
      </c>
      <c r="E17" s="75">
        <v>0.21018932909771326</v>
      </c>
      <c r="F17" s="7">
        <f>MAX((1-Parameters!$B$4)^Parameters!B$65*F16 + C16*Parameters!B$65 - IF(C16&gt;0,Parameters!$B$5,0)*C16^2/F16*Parameters!B$65, 0.0001)</f>
        <v>0.32151165056336245</v>
      </c>
      <c r="G17" s="7">
        <f>(1-Parameters!$B$4)^Parameters!B$65*G16+D16*Parameters!B$65-Parameters!$B$5*D16^2/G16*Parameters!B$65</f>
        <v>0.45735357641661745</v>
      </c>
      <c r="H17" s="7">
        <f>(1-Parameters!$B$4)^Parameters!B$65*H16+E16*Parameters!B$65-Parameters!$B$5*E16^2/H16*Parameters!B$65</f>
        <v>3.8039748613723079</v>
      </c>
      <c r="I17" s="9">
        <f>I16 *(1-Parameters!$B$4)-C16*(C16&lt;0)*Parameters!B$65</f>
        <v>1.756088148993161E-2</v>
      </c>
      <c r="J17" s="23">
        <f>J16*(1+Parameters!$B$51)^Parameters!B$65</f>
        <v>8.4730421296910734</v>
      </c>
      <c r="K17" s="23">
        <f>K16*(1+Parameters!$B$53)^Parameters!B$65</f>
        <v>11.672892974247352</v>
      </c>
      <c r="L17" s="23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22.630689647837816</v>
      </c>
      <c r="M17" s="8">
        <f>M16+L17*Parameters!B$65</f>
        <v>2708.4716058774584</v>
      </c>
      <c r="N17" s="7">
        <f>M17*Parameters!$B$45</f>
        <v>1.625082963526475</v>
      </c>
      <c r="O17" s="9">
        <f>EXP(-Parameters!$B$46/2*N17^2)</f>
        <v>0.97380812553618334</v>
      </c>
      <c r="P17" s="8">
        <f>MAX((Parameters!$B$62 + Parameters!$B$31*'6states'!A17 - '6states'!M17 + Parameters!$B$47/Parameters!$B$45)/Parameters!B$62,1)</f>
        <v>6.6625678824508308</v>
      </c>
      <c r="Q17" s="7">
        <f>Parameters!B$61*EXP(-Parameters!B$60*A17)</f>
        <v>0.35199187692781048</v>
      </c>
      <c r="R17" s="7">
        <f>(1-Parameters!B$61)*P17^-Parameters!B$63</f>
        <v>0.41362410423930429</v>
      </c>
      <c r="S17" s="7">
        <f>Parameters!B$61*EXP(-Parameters!B$60*A17)+(1-Parameters!B$61)*P17^-Parameters!B$63</f>
        <v>0.76561598116711482</v>
      </c>
      <c r="T17" s="7">
        <f>1-S17/Parameters!$B$12</f>
        <v>0.61719200941644259</v>
      </c>
      <c r="U17" s="7">
        <f t="shared" si="0"/>
        <v>2.6122756697831391</v>
      </c>
      <c r="V17" s="7">
        <f>(Parameters!$B$19*(F17+Parameters!$B$20)^T17+Parameters!$B$18*G17^T17)^(1/T17)</f>
        <v>0.36810292317975601</v>
      </c>
      <c r="W17" s="7">
        <f>(Parameters!$B$10*H17^Parameters!$B$9+Parameters!$B$11*V17^Parameters!$B$9)^(Parameters!$B$7/Parameters!$B$9)*O17</f>
        <v>1.4079227995236294</v>
      </c>
      <c r="X17" s="7">
        <f>W17 - D17 - E17 - LN(1+EXP(Parameters!$B$21*C17))/Parameters!$B$21 - IF(C17&gt;0, 0,Parameters!$B$6*C17^2/F17)</f>
        <v>1.1184023047178946</v>
      </c>
      <c r="Y17" s="7">
        <f>EXP(-Parameters!$B$55*A17)</f>
        <v>0.82176566799463491</v>
      </c>
      <c r="Z17" s="7">
        <f>IF(X17&gt;0,X17^(1-Parameters!$B$52)/(1-Parameters!$B$52)*Y17*Parameters!$B$65,-10+X17*1000)</f>
        <v>-2.2577228591223921</v>
      </c>
      <c r="AB17" s="9"/>
      <c r="AC17" s="23">
        <f t="shared" si="6"/>
        <v>1.7368574725806238</v>
      </c>
      <c r="AD17" s="23">
        <f t="shared" si="7"/>
        <v>31.799082131661326</v>
      </c>
      <c r="AE17" s="23">
        <f t="shared" si="8"/>
        <v>45.234516118459894</v>
      </c>
      <c r="AF17" s="23">
        <f t="shared" si="9"/>
        <v>36.407187940428408</v>
      </c>
      <c r="AG17" s="23">
        <f t="shared" si="10"/>
        <v>92.278337022238077</v>
      </c>
      <c r="AH17" s="23">
        <f t="shared" si="11"/>
        <v>139.25048332973921</v>
      </c>
      <c r="AI17" s="23">
        <f t="shared" si="12"/>
        <v>110.61548370532465</v>
      </c>
      <c r="AJ17" s="23"/>
      <c r="AK17" s="8">
        <f t="shared" si="1"/>
        <v>139.25048332973921</v>
      </c>
      <c r="AL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0.21235254897003533</v>
      </c>
      <c r="AM17" s="32">
        <f>((C18-C16)/2-(F18-F16)/F17/2*C17)/(F17/2/Parameters!$B$5-C17)-((D18-D16)/D17-(G18-G16)/G17)/(G17/2/Parameters!$B$5/D17-1)</f>
        <v>2.5744104542654123E-2</v>
      </c>
      <c r="AN17" s="32">
        <f>+Parameters!$B$5*C17^2/F17^2-Parameters!$B$5*D17^2/G17^2</f>
        <v>-2.7662075210749936E-2</v>
      </c>
      <c r="AO17" s="30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0.74065385721454491</v>
      </c>
      <c r="AP17" s="30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73.254306011705481</v>
      </c>
      <c r="AQ17" s="8">
        <f>1000*(AL17+AM17+AN17)/(EXP(-Parameters!$B$42*A17)*((C17&lt;0)*Parameters!$B$37*EXP(-Parameters!$B$38*AD17)+(C17&gt;=0)*Parameters!$B$41))</f>
        <v>255.43417332594206</v>
      </c>
      <c r="AR17" s="13">
        <f>1-W17/'6states,ExoDamages'!T17</f>
        <v>5.9407485274189709E-2</v>
      </c>
      <c r="AS17" s="21">
        <f>-Y17*W17*X17^(-Parameters!B$52)*Parameters!B$46*Parameters!B$45*N17</f>
        <v>-1.9495855991967228E-5</v>
      </c>
      <c r="AT17" s="7">
        <f>1000*EXP(-(Parameters!$B$54)*'6states'!A17)*AK17*Parameters!B$46*Parameters!B$45*N17</f>
        <v>1.7292229245244721</v>
      </c>
      <c r="AU17" s="7">
        <f>SUM(AT17:AT$204)*EXP(Parameters!$B$54*A17)</f>
        <v>226.79463501245186</v>
      </c>
      <c r="AV17" s="13">
        <f t="shared" si="23"/>
        <v>0.20450639360541017</v>
      </c>
      <c r="AW17" s="30"/>
      <c r="AX17" s="30"/>
      <c r="AY17" s="30"/>
      <c r="AZ17" s="5">
        <f t="shared" si="3"/>
        <v>-1.7925595745846724E-3</v>
      </c>
      <c r="BA17" s="2">
        <f>AZ17/Parameters!$B$45</f>
        <v>-2.9875992909744542</v>
      </c>
      <c r="BB17" s="2">
        <f t="shared" si="18"/>
        <v>1.9392375141670248E-3</v>
      </c>
      <c r="BE17">
        <f>-EXP(-Parameters!B$42*'6states'!A17)*(-Parameters!B$37/Parameters!B$38/Parameters!E$25*(EXP(-Parameters!B$38*Parameters!E$25*'6states'!AC17/('6states'!F17+'6states'!AC17))-EXP(-Parameters!B$38*Parameters!E$25))+Parameters!B$37*'6states'!F17/('6states'!F17+'6states'!AC17)*EXP(-Parameters!B$38*Parameters!E$25*'6states'!I17/('6states'!F17+'6states'!AC17)))</f>
        <v>-0.59208056460138936</v>
      </c>
      <c r="BF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-52.470212807229906</v>
      </c>
      <c r="BG17" s="7">
        <f t="shared" si="4"/>
        <v>5.1790929166658242E-2</v>
      </c>
      <c r="BH17" s="7">
        <f t="shared" si="5"/>
        <v>-1.3327344218159343</v>
      </c>
      <c r="BM17">
        <f>EXP(-Parameters!$B$56*A17)*AZ17*BF17</f>
        <v>3.412021970851549E-2</v>
      </c>
      <c r="BN17">
        <f>-EXP((Parameters!$B$56)*F17)*SUM(BM17:BM25)</f>
        <v>-0.25624087234678156</v>
      </c>
      <c r="BO17">
        <f>X17^-Parameters!B$52/(1-2*Parameters!B$5*'6states'!D17/'6states'!G17)</f>
        <v>1.2886438340647624</v>
      </c>
      <c r="BP17">
        <f t="shared" si="14"/>
        <v>0.99670179731660802</v>
      </c>
      <c r="BQ17">
        <f>$X17^-Parameters!$B$52/(1-2*Parameters!$B$5*'6states'!$E17/'6states'!$H17)</f>
        <v>0.96661100923800014</v>
      </c>
      <c r="BR17">
        <f t="shared" si="21"/>
        <v>1.0106615803128947</v>
      </c>
      <c r="BS17" s="7">
        <f>($X17^-Parameters!$B$52*(1/(1+EXP(-C17)) + IF(C17&lt;0,2*Parameters!$B$6*C17/F17,0)) + BK17*(1/(1+EXP((C17-Parameters!$B$22)*Parameters!$B$21))))/(1-IF(C17&gt;0,2*Parameters!$B$5*C17/F17,0))</f>
        <v>0.43467505953910696</v>
      </c>
      <c r="BT17">
        <f t="shared" si="22"/>
        <v>1.0089950319832683</v>
      </c>
      <c r="BU17" s="7">
        <f t="shared" si="19"/>
        <v>3.8750597762587935E-3</v>
      </c>
      <c r="BV17">
        <f>(1/$T17-1/Parameters!$B$13) * LN(Parameters!$B$18) / LN(P17)</f>
        <v>0.23854327405567063</v>
      </c>
      <c r="BW17">
        <f>(Parameters!$B$18*'6states'!T17^+Parameters!$B$19*Parameters!$B$25^'6states'!T17)^((1-'6states'!T17)/'6states'!T17)*Parameters!$B$18*Parameters!$B$26^('6states'!T17-1)</f>
        <v>0.22120015990709585</v>
      </c>
      <c r="BX17">
        <f t="shared" si="15"/>
        <v>0.28144084720359841</v>
      </c>
      <c r="BY17">
        <f t="shared" si="20"/>
        <v>0.15239927552650223</v>
      </c>
      <c r="BZ17">
        <f t="shared" si="20"/>
        <v>0.14214849638177263</v>
      </c>
    </row>
    <row r="18" spans="1:78" x14ac:dyDescent="0.25">
      <c r="A18">
        <f>A17+Parameters!$B$65</f>
        <v>14</v>
      </c>
      <c r="B18">
        <v>2039</v>
      </c>
      <c r="C18" s="74">
        <v>1.3331705859804409E-3</v>
      </c>
      <c r="D18" s="69">
        <v>7.962431613691423E-2</v>
      </c>
      <c r="E18" s="75">
        <v>0.2097474885683506</v>
      </c>
      <c r="F18" s="7">
        <f>MAX((1-Parameters!$B$4)^Parameters!B$65*F17 + C17*Parameters!B$65 - IF(C17&gt;0,Parameters!$B$5,0)*C17^2/F17*Parameters!B$65, 0.0001)</f>
        <v>0.30291777370420936</v>
      </c>
      <c r="G18" s="7">
        <f>(1-Parameters!$B$4)^Parameters!B$65*G17+D17*Parameters!B$65-Parameters!$B$5*D17^2/G17*Parameters!B$65</f>
        <v>0.49202516170441724</v>
      </c>
      <c r="H18" s="7">
        <f>(1-Parameters!$B$4)^Parameters!B$65*H17+E17*Parameters!B$65-Parameters!$B$5*E17^2/H17*Parameters!B$65</f>
        <v>3.7632801217349647</v>
      </c>
      <c r="I18" s="9">
        <f>I17 *(1-Parameters!$B$4)-C17*(C17&lt;0)*Parameters!B$65</f>
        <v>1.6456302044214912E-2</v>
      </c>
      <c r="J18" s="23">
        <f>J17*(1+Parameters!$B$51)^Parameters!B$65</f>
        <v>8.4976139518671765</v>
      </c>
      <c r="K18" s="23">
        <f>K17*(1+Parameters!$B$53)^Parameters!B$65</f>
        <v>11.906350833732299</v>
      </c>
      <c r="L18" s="23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21.599134345039779</v>
      </c>
      <c r="M18" s="8">
        <f>M17+L18*Parameters!B$65</f>
        <v>2730.070740222498</v>
      </c>
      <c r="N18" s="7">
        <f>M18*Parameters!$B$45</f>
        <v>1.6380424441334986</v>
      </c>
      <c r="O18" s="9">
        <f>EXP(-Parameters!$B$46/2*N18^2)</f>
        <v>0.97339434645326273</v>
      </c>
      <c r="P18" s="8">
        <f>MAX((Parameters!$B$62 + Parameters!$B$31*'6states'!A18 - '6states'!M18 + Parameters!$B$47/Parameters!$B$45)/Parameters!B$62,1)</f>
        <v>7.2945851955500443</v>
      </c>
      <c r="Q18" s="7">
        <f>Parameters!B$61*EXP(-Parameters!B$60*A18)</f>
        <v>0.34261525033293516</v>
      </c>
      <c r="R18" s="7">
        <f>(1-Parameters!B$61)*P18^-Parameters!B$63</f>
        <v>0.40989247390480682</v>
      </c>
      <c r="S18" s="7">
        <f>Parameters!B$61*EXP(-Parameters!B$60*A18)+(1-Parameters!B$61)*P18^-Parameters!B$63</f>
        <v>0.75250772423774204</v>
      </c>
      <c r="T18" s="7">
        <f>1-S18/Parameters!$B$12</f>
        <v>0.62374613788112898</v>
      </c>
      <c r="U18" s="7">
        <f t="shared" si="0"/>
        <v>2.6577800274753511</v>
      </c>
      <c r="V18" s="7">
        <f>(Parameters!$B$19*(F18+Parameters!$B$20)^T18+Parameters!$B$18*G18^T18)^(1/T18)</f>
        <v>0.36410268790039335</v>
      </c>
      <c r="W18" s="7">
        <f>(Parameters!$B$10*H18^Parameters!$B$9+Parameters!$B$11*V18^Parameters!$B$9)^(Parameters!$B$7/Parameters!$B$9)*O18</f>
        <v>1.4027657907903268</v>
      </c>
      <c r="X18" s="7">
        <f>W18 - D18 - E18 - LN(1+EXP(Parameters!$B$21*C18))/Parameters!$B$21 - IF(C18&gt;0, 0,Parameters!$B$6*C18^2/F18)</f>
        <v>1.1103506993442729</v>
      </c>
      <c r="Y18" s="7">
        <f>EXP(-Parameters!$B$55*A18)</f>
        <v>0.80945022202781236</v>
      </c>
      <c r="Z18" s="7">
        <f>IF(X18&gt;0,X18^(1-Parameters!$B$52)/(1-Parameters!$B$52)*Y18*Parameters!$B$65,-10+X18*1000)</f>
        <v>-2.2295183056982704</v>
      </c>
      <c r="AB18" s="9"/>
      <c r="AC18" s="23">
        <f t="shared" si="6"/>
        <v>1.6649757881352971</v>
      </c>
      <c r="AD18" s="23">
        <f t="shared" si="7"/>
        <v>30.647879314457299</v>
      </c>
      <c r="AE18" s="23">
        <f t="shared" si="8"/>
        <v>49.780927646451175</v>
      </c>
      <c r="AF18" s="23">
        <f t="shared" si="9"/>
        <v>36.838298064798238</v>
      </c>
      <c r="AG18" s="23">
        <f t="shared" si="10"/>
        <v>93.371036777445539</v>
      </c>
      <c r="AH18" s="23">
        <f t="shared" si="11"/>
        <v>141.92563261266889</v>
      </c>
      <c r="AI18" s="23">
        <f t="shared" si="12"/>
        <v>112.34036819330305</v>
      </c>
      <c r="AJ18" s="23"/>
      <c r="AK18" s="8">
        <f t="shared" si="1"/>
        <v>141.92563261266886</v>
      </c>
      <c r="AL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0.22057863896953109</v>
      </c>
      <c r="AM18" s="32">
        <f>((C19-C17)/2-(F19-F17)/F18/2*C18)/(F18/2/Parameters!$B$5-C18)-((D19-D17)/D18-(G19-G17)/G18)/(G18/2/Parameters!$B$5/D18-1)</f>
        <v>2.6857000922680202E-2</v>
      </c>
      <c r="AN18" s="32">
        <f>+Parameters!$B$5*C18^2/F18^2-Parameters!$B$5*D18^2/G18^2</f>
        <v>-2.6169503080315452E-2</v>
      </c>
      <c r="AO18" s="30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0.7336244423578836</v>
      </c>
      <c r="AP18" s="30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74.224873293422107</v>
      </c>
      <c r="AQ18" s="8">
        <f>1000*(AL18+AM18+AN18)/(EXP(-Parameters!$B$42*A18)*((C18&lt;0)*Parameters!$B$37*EXP(-Parameters!$B$38*AD18)+(C18&gt;=0)*Parameters!$B$41))</f>
        <v>271.28125957100315</v>
      </c>
      <c r="AR18" s="13">
        <f>1-W18/'6states,ExoDamages'!T18</f>
        <v>6.2421704405052569E-2</v>
      </c>
      <c r="AS18" s="21">
        <f>-Y18*W18*X18^(-Parameters!B$52)*Parameters!B$46*Parameters!B$45*N18</f>
        <v>-1.9474958515652934E-5</v>
      </c>
      <c r="AT18" s="7">
        <f>1000*EXP(-(Parameters!$B$54)*'6states'!A18)*AK18*Parameters!B$46*Parameters!B$45*N18</f>
        <v>1.7152245688843406</v>
      </c>
      <c r="AU18" s="7">
        <f>SUM(AT18:AT$204)*EXP(Parameters!$B$54*A18)</f>
        <v>232.06988925352744</v>
      </c>
      <c r="AV18" s="13">
        <f t="shared" si="23"/>
        <v>0.2072370007878937</v>
      </c>
      <c r="AW18" s="30"/>
      <c r="AX18" s="30"/>
      <c r="AY18" s="30"/>
      <c r="AZ18" s="5">
        <f t="shared" si="3"/>
        <v>-1.7957473117931151E-3</v>
      </c>
      <c r="BA18" s="2">
        <f>AZ18/Parameters!$B$45</f>
        <v>-2.9929121863218588</v>
      </c>
      <c r="BB18" s="2">
        <f t="shared" si="18"/>
        <v>1.7751591148198465E-3</v>
      </c>
      <c r="BE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-0.53147861535675633</v>
      </c>
      <c r="BF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-53.772653424999042</v>
      </c>
      <c r="BG18" s="7">
        <f t="shared" si="4"/>
        <v>5.1526730858323606E-2</v>
      </c>
      <c r="BH18" s="7">
        <f t="shared" si="5"/>
        <v>-1.26510305771464</v>
      </c>
      <c r="BM18">
        <f>EXP(-Parameters!$B$56*A18)*AZ18*BF18</f>
        <v>3.240090330771634E-2</v>
      </c>
      <c r="BN18">
        <f>-EXP((Parameters!$B$56)*F18)*SUM(BM18:BM26)</f>
        <v>-0.24244709627934127</v>
      </c>
      <c r="BO18">
        <f>X18^-Parameters!B$52/(1-2*Parameters!B$5*'6states'!D18/'6states'!G18)</f>
        <v>1.2836995664778952</v>
      </c>
      <c r="BP18">
        <f t="shared" si="14"/>
        <v>0.9961632008347322</v>
      </c>
      <c r="BQ18">
        <f>$X18^-Parameters!$B$52/(1-2*Parameters!$B$5*'6states'!$E18/'6states'!$H18)</f>
        <v>0.97714036116708036</v>
      </c>
      <c r="BR18">
        <f t="shared" si="21"/>
        <v>1.0108930602160022</v>
      </c>
      <c r="BS18" s="7">
        <f>($X18^-Parameters!$B$52*(1/(1+EXP(-C18)) + IF(C18&lt;0,2*Parameters!$B$6*C18/F18,0)) + BK18*(1/(1+EXP((C18-Parameters!$B$22)*Parameters!$B$21))))/(1-IF(C18&gt;0,2*Parameters!$B$5*C18/F18,0))</f>
        <v>0.43825596939174061</v>
      </c>
      <c r="BT18">
        <f t="shared" si="22"/>
        <v>1.0082381304702197</v>
      </c>
      <c r="BU18" s="7">
        <f t="shared" si="19"/>
        <v>3.5809098526336514E-3</v>
      </c>
      <c r="BV18">
        <f>(1/$T18-1/Parameters!$B$13) * LN(Parameters!$B$18) / LN(P18)</f>
        <v>0.2378704278557103</v>
      </c>
      <c r="BW18">
        <f>(Parameters!$B$18*'6states'!T18^+Parameters!$B$19*Parameters!$B$25^'6states'!T18)^((1-'6states'!T18)/'6states'!T18)*Parameters!$B$18*Parameters!$B$26^('6states'!T18-1)</f>
        <v>0.22559048867468273</v>
      </c>
      <c r="BX18">
        <f t="shared" si="15"/>
        <v>0.27849546231739114</v>
      </c>
      <c r="BY18">
        <f t="shared" si="20"/>
        <v>0.15200387807875781</v>
      </c>
      <c r="BZ18">
        <f t="shared" si="20"/>
        <v>0.14475509390649111</v>
      </c>
    </row>
    <row r="19" spans="1:78" x14ac:dyDescent="0.25">
      <c r="A19">
        <f>A18+Parameters!$B$65</f>
        <v>15</v>
      </c>
      <c r="B19">
        <v>2040</v>
      </c>
      <c r="C19" s="74">
        <v>1.0000000003115893E-3</v>
      </c>
      <c r="D19" s="69">
        <v>8.2771764484759411E-2</v>
      </c>
      <c r="E19" s="75">
        <v>0.20971354226912539</v>
      </c>
      <c r="F19" s="7">
        <f>MAX((1-Parameters!$B$4)^Parameters!B$65*F18 + C18*Parameters!B$65 - IF(C18&gt;0,Parameters!$B$5,0)*C18^2/F18*Parameters!B$65, 0.0001)</f>
        <v>0.28519154891077264</v>
      </c>
      <c r="G19" s="7">
        <f>(1-Parameters!$B$4)^Parameters!B$65*G18+D18*Parameters!B$65-Parameters!$B$5*D18^2/G18*Parameters!B$65</f>
        <v>0.52781551082661393</v>
      </c>
      <c r="H19" s="7">
        <f>(1-Parameters!$B$4)^Parameters!B$65*H18+E18*Parameters!B$65-Parameters!$B$5*E18^2/H18*Parameters!B$65</f>
        <v>3.7246269546792616</v>
      </c>
      <c r="I19" s="9">
        <f>I18 *(1-Parameters!$B$4)-C18*(C18&lt;0)*Parameters!B$65</f>
        <v>1.5421200645633794E-2</v>
      </c>
      <c r="J19" s="23">
        <f>J18*(1+Parameters!$B$51)^Parameters!B$65</f>
        <v>8.522257032327591</v>
      </c>
      <c r="K19" s="23">
        <f>K18*(1+Parameters!$B$53)^Parameters!B$65</f>
        <v>12.144477850406945</v>
      </c>
      <c r="L19" s="23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20.599008795317079</v>
      </c>
      <c r="M19" s="8">
        <f>M18+L19*Parameters!B$65</f>
        <v>2750.6697490178149</v>
      </c>
      <c r="N19" s="7">
        <f>M19*Parameters!$B$45</f>
        <v>1.6504018494106887</v>
      </c>
      <c r="O19" s="9">
        <f>EXP(-Parameters!$B$46/2*N19^2)</f>
        <v>0.97299683078607102</v>
      </c>
      <c r="P19" s="8">
        <f>MAX((Parameters!$B$62 + Parameters!$B$31*'6states'!A19 - '6states'!M19 + Parameters!$B$47/Parameters!$B$45)/Parameters!B$62,1)</f>
        <v>7.9466050196437026</v>
      </c>
      <c r="Q19" s="7">
        <f>Parameters!B$61*EXP(-Parameters!B$60*A19)</f>
        <v>0.33348840542923719</v>
      </c>
      <c r="R19" s="7">
        <f>(1-Parameters!B$61)*P19^-Parameters!B$63</f>
        <v>0.40639826165516685</v>
      </c>
      <c r="S19" s="7">
        <f>Parameters!B$61*EXP(-Parameters!B$60*A19)+(1-Parameters!B$61)*P19^-Parameters!B$63</f>
        <v>0.73988666708440398</v>
      </c>
      <c r="T19" s="7">
        <f>1-S19/Parameters!$B$12</f>
        <v>0.63005666645779801</v>
      </c>
      <c r="U19" s="7">
        <f t="shared" si="0"/>
        <v>2.7031166920214904</v>
      </c>
      <c r="V19" s="7">
        <f>(Parameters!$B$19*(F19+Parameters!$B$20)^T19+Parameters!$B$18*G19^T19)^(1/T19)</f>
        <v>0.36057131101268941</v>
      </c>
      <c r="W19" s="7">
        <f>(Parameters!$B$10*H19^Parameters!$B$9+Parameters!$B$11*V19^Parameters!$B$9)^(Parameters!$B$7/Parameters!$B$9)*O19</f>
        <v>1.3979411807752267</v>
      </c>
      <c r="X19" s="7">
        <f>W19 - D19 - E19 - LN(1+EXP(Parameters!$B$21*C19))/Parameters!$B$21 - IF(C19&gt;0, 0,Parameters!$B$6*C19^2/F19)</f>
        <v>1.1026080232062678</v>
      </c>
      <c r="Y19" s="7">
        <f>EXP(-Parameters!$B$55*A19)</f>
        <v>0.79731934231298707</v>
      </c>
      <c r="Z19" s="7">
        <f>IF(X19&gt;0,X19^(1-Parameters!$B$52)/(1-Parameters!$B$52)*Y19*Parameters!$B$65,-10+X19*1000)</f>
        <v>-2.2014906920005388</v>
      </c>
      <c r="AB19" s="9"/>
      <c r="AC19" s="23">
        <f t="shared" si="6"/>
        <v>1.5960690032659386</v>
      </c>
      <c r="AD19" s="23">
        <f t="shared" si="7"/>
        <v>29.516858101367273</v>
      </c>
      <c r="AE19" s="23">
        <f t="shared" si="8"/>
        <v>54.628040684488035</v>
      </c>
      <c r="AF19" s="23">
        <f t="shared" si="9"/>
        <v>37.318539989119223</v>
      </c>
      <c r="AG19" s="23">
        <f t="shared" si="10"/>
        <v>94.588266908407931</v>
      </c>
      <c r="AH19" s="23">
        <f t="shared" si="11"/>
        <v>144.6846220534747</v>
      </c>
      <c r="AI19" s="23">
        <f t="shared" si="12"/>
        <v>114.1181240703277</v>
      </c>
      <c r="AJ19" s="23"/>
      <c r="AK19" s="8">
        <f t="shared" si="1"/>
        <v>144.6846220534747</v>
      </c>
      <c r="AL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0.22821892527286725</v>
      </c>
      <c r="AM19" s="32">
        <f>((C20-C18)/2-(F20-F18)/F19/2*C19)/(F19/2/Parameters!$B$5-C19)-((D20-D18)/D19-(G20-G18)/G19)/(G19/2/Parameters!$B$5/D19-1)</f>
        <v>3.3877612294930873E-2</v>
      </c>
      <c r="AN19" s="32">
        <f>+Parameters!$B$5*C19^2/F19^2-Parameters!$B$5*D19^2/G19^2</f>
        <v>-2.4580060623144873E-2</v>
      </c>
      <c r="AO19" s="30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0.72661654340299453</v>
      </c>
      <c r="AP19" s="30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75.203621873249773</v>
      </c>
      <c r="AQ19" s="8">
        <f>1000*(AL19+AM19+AN19)/(EXP(-Parameters!$B$42*A19)*((C19&lt;0)*Parameters!$B$37*EXP(-Parameters!$B$38*AD19)+(C19&gt;=0)*Parameters!$B$41))</f>
        <v>294.13149303726743</v>
      </c>
      <c r="AR19" s="13">
        <f>1-W19/'6states,ExoDamages'!T19</f>
        <v>6.5218512380987193E-2</v>
      </c>
      <c r="AS19" s="21">
        <f>-Y19*W19*X19^(-Parameters!B$52)*Parameters!B$46*Parameters!B$45*N19</f>
        <v>-1.9444181111414459E-5</v>
      </c>
      <c r="AT19" s="7">
        <f>1000*EXP(-(Parameters!$B$54)*'6states'!A19)*AK19*Parameters!B$46*Parameters!B$45*N19</f>
        <v>1.70099618222608</v>
      </c>
      <c r="AU19" s="7">
        <f>SUM(AT19:AT$204)*EXP(Parameters!$B$54*A19)</f>
        <v>237.45631685889299</v>
      </c>
      <c r="AV19" s="13">
        <f t="shared" si="23"/>
        <v>0.2099410982309316</v>
      </c>
      <c r="AW19" s="30"/>
      <c r="AX19" s="30"/>
      <c r="AY19" s="30"/>
      <c r="AZ19" s="5">
        <f t="shared" si="3"/>
        <v>-1.798643310923441E-3</v>
      </c>
      <c r="BA19" s="2">
        <f>AZ19/Parameters!$B$45</f>
        <v>-2.9977388515390686</v>
      </c>
      <c r="BB19" s="2">
        <f t="shared" si="18"/>
        <v>1.6101019655970772E-3</v>
      </c>
      <c r="BE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-0.53157389102789399</v>
      </c>
      <c r="BF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-55.017026878208938</v>
      </c>
      <c r="BG19" s="7">
        <f t="shared" si="4"/>
        <v>5.1299223563836864E-2</v>
      </c>
      <c r="BH19" s="7">
        <f t="shared" si="5"/>
        <v>-1.2581904344308885</v>
      </c>
      <c r="BM19">
        <f>EXP(-Parameters!$B$56*A19)*AZ19*BF19</f>
        <v>3.0712673330805428E-2</v>
      </c>
      <c r="BN19">
        <f>-EXP((Parameters!$B$56)*F19)*SUM(BM19:BM27)</f>
        <v>-0.229361824549419</v>
      </c>
      <c r="BO19">
        <f>X19^-Parameters!B$52/(1-2*Parameters!B$5*'6states'!D19/'6states'!G19)</f>
        <v>1.276964580824739</v>
      </c>
      <c r="BP19">
        <f t="shared" si="14"/>
        <v>0.99475345647141167</v>
      </c>
      <c r="BQ19">
        <f>$X19^-Parameters!$B$52/(1-2*Parameters!$B$5*'6states'!$E19/'6states'!$H19)</f>
        <v>0.98768055716137393</v>
      </c>
      <c r="BR19">
        <f t="shared" si="21"/>
        <v>1.0107867778398842</v>
      </c>
      <c r="BS19" s="7">
        <f>($X19^-Parameters!$B$52*(1/(1+EXP(-C19)) + IF(C19&lt;0,2*Parameters!$B$6*C19/F19,0)) + BK19*(1/(1+EXP((C19-Parameters!$B$22)*Parameters!$B$21))))/(1-IF(C19&gt;0,2*Parameters!$B$5*C19/F19,0))</f>
        <v>0.44154493783998183</v>
      </c>
      <c r="BT19">
        <f t="shared" si="22"/>
        <v>1.0075046746147143</v>
      </c>
      <c r="BU19" s="7">
        <f t="shared" si="19"/>
        <v>3.2889684482412251E-3</v>
      </c>
      <c r="BV19">
        <f>(1/$T19-1/Parameters!$B$13) * LN(Parameters!$B$18) / LN(P19)</f>
        <v>0.23727426149392233</v>
      </c>
      <c r="BW19">
        <f>(Parameters!$B$18*'6states'!T19^+Parameters!$B$19*Parameters!$B$25^'6states'!T19)^((1-'6states'!T19)/'6states'!T19)*Parameters!$B$18*Parameters!$B$26^('6states'!T19-1)</f>
        <v>0.22971942105533569</v>
      </c>
      <c r="BX19">
        <f t="shared" si="15"/>
        <v>0.27574288553612042</v>
      </c>
      <c r="BY19">
        <f t="shared" si="20"/>
        <v>0.15165338735363587</v>
      </c>
      <c r="BZ19">
        <f t="shared" si="20"/>
        <v>0.14719926953709794</v>
      </c>
    </row>
    <row r="20" spans="1:78" x14ac:dyDescent="0.25">
      <c r="A20">
        <f>A19+Parameters!$B$65</f>
        <v>16</v>
      </c>
      <c r="B20">
        <v>2041</v>
      </c>
      <c r="C20" s="74">
        <v>1.0153110876385744E-3</v>
      </c>
      <c r="D20" s="69">
        <v>8.4713259084280082E-2</v>
      </c>
      <c r="E20" s="75">
        <v>0.20952424605660086</v>
      </c>
      <c r="F20" s="7">
        <f>MAX((1-Parameters!$B$4)^Parameters!B$65*F19 + C19*Parameters!B$65 - IF(C19&gt;0,Parameters!$B$5,0)*C19^2/F19*Parameters!B$65, 0.0001)</f>
        <v>0.26824949406933141</v>
      </c>
      <c r="G20" s="7">
        <f>(1-Parameters!$B$4)^Parameters!B$65*G19+D19*Parameters!B$65-Parameters!$B$5*D19^2/G19*Parameters!B$65</f>
        <v>0.56440745296216321</v>
      </c>
      <c r="H20" s="7">
        <f>(1-Parameters!$B$4)^Parameters!B$65*H19+E19*Parameters!B$65-Parameters!$B$5*E19^2/H19*Parameters!B$65</f>
        <v>3.6882536293735346</v>
      </c>
      <c r="I20" s="9">
        <f>I19 *(1-Parameters!$B$4)-C19*(C19&lt;0)*Parameters!B$65</f>
        <v>1.445120712502343E-2</v>
      </c>
      <c r="J20" s="23">
        <f>J19*(1+Parameters!$B$51)^Parameters!B$65</f>
        <v>8.5469715777213402</v>
      </c>
      <c r="K20" s="23">
        <f>K19*(1+Parameters!$B$53)^Parameters!B$65</f>
        <v>12.387367407415084</v>
      </c>
      <c r="L20" s="23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19.625925881685092</v>
      </c>
      <c r="M20" s="8">
        <f>M19+L20*Parameters!B$65</f>
        <v>2770.2956748994998</v>
      </c>
      <c r="N20" s="7">
        <f>M20*Parameters!$B$45</f>
        <v>1.6621774049396998</v>
      </c>
      <c r="O20" s="9">
        <f>EXP(-Parameters!$B$46/2*N20^2)</f>
        <v>0.9726154664774781</v>
      </c>
      <c r="P20" s="8">
        <f>MAX((Parameters!$B$62 + Parameters!$B$31*'6states'!A20 - '6states'!M20 + Parameters!$B$47/Parameters!$B$45)/Parameters!B$62,1)</f>
        <v>8.618086502010005</v>
      </c>
      <c r="Q20" s="7">
        <f>Parameters!B$61*EXP(-Parameters!B$60*A20)</f>
        <v>0.32460468834257372</v>
      </c>
      <c r="R20" s="7">
        <f>(1-Parameters!B$61)*P20^-Parameters!B$63</f>
        <v>0.40311496361104238</v>
      </c>
      <c r="S20" s="7">
        <f>Parameters!B$61*EXP(-Parameters!B$60*A20)+(1-Parameters!B$61)*P20^-Parameters!B$63</f>
        <v>0.7277196519536161</v>
      </c>
      <c r="T20" s="7">
        <f>1-S20/Parameters!$B$12</f>
        <v>0.63614017402319201</v>
      </c>
      <c r="U20" s="7">
        <f t="shared" si="0"/>
        <v>2.7483111039132386</v>
      </c>
      <c r="V20" s="7">
        <f>(Parameters!$B$19*(F20+Parameters!$B$20)^T20+Parameters!$B$18*G20^T20)^(1/T20)</f>
        <v>0.35740030977095116</v>
      </c>
      <c r="W20" s="7">
        <f>(Parameters!$B$10*H20^Parameters!$B$9+Parameters!$B$11*V20^Parameters!$B$9)^(Parameters!$B$7/Parameters!$B$9)*O20</f>
        <v>1.3934278305286616</v>
      </c>
      <c r="X20" s="7">
        <f>W20 - D20 - E20 - LN(1+EXP(Parameters!$B$21*C20))/Parameters!$B$21 - IF(C20&gt;0, 0,Parameters!$B$6*C20^2/F20)</f>
        <v>1.0963336706389015</v>
      </c>
      <c r="Y20" s="7">
        <f>EXP(-Parameters!$B$55*A20)</f>
        <v>0.7853702628357192</v>
      </c>
      <c r="Z20" s="7">
        <f>IF(X20&gt;0,X20^(1-Parameters!$B$52)/(1-Parameters!$B$52)*Y20*Parameters!$B$65,-10+X20*1000)</f>
        <v>-2.1728334851580686</v>
      </c>
      <c r="AB20" s="9"/>
      <c r="AC20" s="23">
        <f t="shared" si="6"/>
        <v>1.5300139986055585</v>
      </c>
      <c r="AD20" s="23">
        <f t="shared" si="7"/>
        <v>28.400774931407014</v>
      </c>
      <c r="AE20" s="23">
        <f t="shared" si="8"/>
        <v>59.756343984172048</v>
      </c>
      <c r="AF20" s="23">
        <f t="shared" si="9"/>
        <v>37.839570931665797</v>
      </c>
      <c r="AG20" s="23">
        <f t="shared" si="10"/>
        <v>95.908881645091199</v>
      </c>
      <c r="AH20" s="23">
        <f t="shared" si="11"/>
        <v>147.52844300901054</v>
      </c>
      <c r="AI20" s="23">
        <f t="shared" si="12"/>
        <v>116.07375416518471</v>
      </c>
      <c r="AJ20" s="23"/>
      <c r="AK20" s="8">
        <f t="shared" si="1"/>
        <v>147.52844300901057</v>
      </c>
      <c r="AL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0.23438265089826923</v>
      </c>
      <c r="AM20" s="32">
        <f>((C21-C19)/2-(F21-F19)/F20/2*C20)/(F20/2/Parameters!$B$5-C20)-((D21-D19)/D20-(G21-G19)/G20)/(G20/2/Parameters!$B$5/D20-1)</f>
        <v>3.9262387168641867E-2</v>
      </c>
      <c r="AN20" s="32">
        <f>+Parameters!$B$5*C20^2/F20^2-Parameters!$B$5*D20^2/G20^2</f>
        <v>-2.2513397310204668E-2</v>
      </c>
      <c r="AO20" s="30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0.71961733083129165</v>
      </c>
      <c r="AP20" s="30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76.189108652697314</v>
      </c>
      <c r="AQ20" s="8">
        <f>1000*(AL20+AM20+AN20)/(EXP(-Parameters!$B$42*A20)*((C20&lt;0)*Parameters!$B$37*EXP(-Parameters!$B$38*AD20)+(C20&gt;=0)*Parameters!$B$41))</f>
        <v>314.11752261093102</v>
      </c>
      <c r="AR20" s="13">
        <f>1-W20/'6states,ExoDamages'!T20</f>
        <v>6.7830544258680514E-2</v>
      </c>
      <c r="AS20" s="21">
        <f>-Y20*W20*X20^(-Parameters!B$52)*Parameters!B$46*Parameters!B$45*N20</f>
        <v>-1.9375856079688563E-5</v>
      </c>
      <c r="AT20" s="7">
        <f>1000*EXP(-(Parameters!$B$54)*'6states'!A20)*AK20*Parameters!B$46*Parameters!B$45*N20</f>
        <v>1.6865555888402617</v>
      </c>
      <c r="AU20" s="7">
        <f>SUM(AT20:AT$204)*EXP(Parameters!$B$54*A20)</f>
        <v>242.95637871917864</v>
      </c>
      <c r="AV20" s="13">
        <f t="shared" si="23"/>
        <v>0.21188956453991711</v>
      </c>
      <c r="AW20" s="30"/>
      <c r="AX20" s="30"/>
      <c r="AY20" s="30"/>
      <c r="AZ20" s="5">
        <f t="shared" si="3"/>
        <v>-1.8012509354528843E-3</v>
      </c>
      <c r="BA20" s="2">
        <f>AZ20/Parameters!$B$45</f>
        <v>-3.002084892421474</v>
      </c>
      <c r="BB20" s="2">
        <f t="shared" si="18"/>
        <v>1.4476742124703845E-3</v>
      </c>
      <c r="BE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-0.53055983065129975</v>
      </c>
      <c r="BF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-56.172744669104382</v>
      </c>
      <c r="BG20" s="7">
        <f t="shared" si="4"/>
        <v>5.1118398588931413E-2</v>
      </c>
      <c r="BH20" s="7">
        <f t="shared" si="5"/>
        <v>-1.2501771614825914</v>
      </c>
      <c r="BM20">
        <f>EXP(-Parameters!$B$56*A20)*AZ20*BF20</f>
        <v>2.9046937516725838E-2</v>
      </c>
      <c r="BN20">
        <f>-EXP((Parameters!$B$56)*F20)*SUM(BM20:BM28)</f>
        <v>-0.21701420115757936</v>
      </c>
      <c r="BO20">
        <f>X20^-Parameters!B$52/(1-2*Parameters!B$5*'6states'!D20/'6states'!G20)</f>
        <v>1.2621003608936463</v>
      </c>
      <c r="BP20">
        <f t="shared" si="14"/>
        <v>0.98835972418162732</v>
      </c>
      <c r="BQ20">
        <f>$X20^-Parameters!$B$52/(1-2*Parameters!$B$5*'6states'!$E20/'6states'!$H20)</f>
        <v>0.99645086851232967</v>
      </c>
      <c r="BR20">
        <f t="shared" si="21"/>
        <v>1.0088797043612581</v>
      </c>
      <c r="BS20" s="7">
        <f>($X20^-Parameters!$B$52*(1/(1+EXP(-C20)) + IF(C20&lt;0,2*Parameters!$B$6*C20/F20,0)) + BK20*(1/(1+EXP((C20-Parameters!$B$22)*Parameters!$B$21))))/(1-IF(C20&gt;0,2*Parameters!$B$5*C20/F20,0))</f>
        <v>0.44521293889422103</v>
      </c>
      <c r="BT20">
        <f t="shared" si="22"/>
        <v>1.0083071976143196</v>
      </c>
      <c r="BU20" s="7">
        <f t="shared" si="19"/>
        <v>3.6680010542392005E-3</v>
      </c>
      <c r="BV20">
        <f>(1/$T20-1/Parameters!$B$13) * LN(Parameters!$B$18) / LN(P20)</f>
        <v>0.23673302273743554</v>
      </c>
      <c r="BW20">
        <f>(Parameters!$B$18*'6states'!T20^+Parameters!$B$19*Parameters!$B$25^'6states'!T20)^((1-'6states'!T20)/'6states'!T20)*Parameters!$B$18*Parameters!$B$26^('6states'!T20-1)</f>
        <v>0.23360656187059475</v>
      </c>
      <c r="BX20">
        <f t="shared" si="15"/>
        <v>0.27314842916625626</v>
      </c>
      <c r="BY20">
        <f t="shared" si="20"/>
        <v>0.15133506352781545</v>
      </c>
      <c r="BZ20">
        <f t="shared" si="20"/>
        <v>0.14949392959810581</v>
      </c>
    </row>
    <row r="21" spans="1:78" x14ac:dyDescent="0.25">
      <c r="A21">
        <f>A20+Parameters!$B$65</f>
        <v>17</v>
      </c>
      <c r="B21">
        <v>2042</v>
      </c>
      <c r="C21" s="74">
        <v>1.000000000317714E-3</v>
      </c>
      <c r="D21" s="69">
        <v>8.6080048953771013E-2</v>
      </c>
      <c r="E21" s="75">
        <v>0.2096888032311324</v>
      </c>
      <c r="F21" s="7">
        <f>MAX((1-Parameters!$B$4)^Parameters!B$65*F20 + C20*Parameters!B$65 - IF(C20&gt;0,Parameters!$B$5,0)*C20^2/F20*Parameters!B$65, 0.0001)</f>
        <v>0.25238806907768313</v>
      </c>
      <c r="G21" s="7">
        <f>(1-Parameters!$B$4)^Parameters!B$65*G20+D20*Parameters!B$65-Parameters!$B$5*D20^2/G20*Parameters!B$65</f>
        <v>0.60090466840458046</v>
      </c>
      <c r="H21" s="7">
        <f>(1-Parameters!$B$4)^Parameters!B$65*H20+E20*Parameters!B$65-Parameters!$B$5*E20^2/H20*Parameters!B$65</f>
        <v>3.6538839589117362</v>
      </c>
      <c r="I21" s="9">
        <f>I20 *(1-Parameters!$B$4)-C20*(C20&lt;0)*Parameters!B$65</f>
        <v>1.3542226196859457E-2</v>
      </c>
      <c r="J21" s="23">
        <f>J20*(1+Parameters!$B$51)^Parameters!B$65</f>
        <v>8.5717577952967314</v>
      </c>
      <c r="K21" s="23">
        <f>K20*(1+Parameters!$B$53)^Parameters!B$65</f>
        <v>12.635114755563386</v>
      </c>
      <c r="L21" s="23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18.704548063995855</v>
      </c>
      <c r="M21" s="8">
        <f>M20+L21*Parameters!B$65</f>
        <v>2789.0002229634956</v>
      </c>
      <c r="N21" s="7">
        <f>M21*Parameters!$B$45</f>
        <v>1.6734001337780973</v>
      </c>
      <c r="O21" s="9">
        <f>EXP(-Parameters!$B$46/2*N21^2)</f>
        <v>0.97224962322267749</v>
      </c>
      <c r="P21" s="8">
        <f>MAX((Parameters!$B$62 + Parameters!$B$31*'6states'!A21 - '6states'!M21 + Parameters!$B$47/Parameters!$B$45)/Parameters!B$62,1)</f>
        <v>9.3079955407300901</v>
      </c>
      <c r="Q21" s="7">
        <f>Parameters!B$61*EXP(-Parameters!B$60*A21)</f>
        <v>0.31595762244974795</v>
      </c>
      <c r="R21" s="7">
        <f>(1-Parameters!B$61)*P21^-Parameters!B$63</f>
        <v>0.40002247050238848</v>
      </c>
      <c r="S21" s="7">
        <f>Parameters!B$61*EXP(-Parameters!B$60*A21)+(1-Parameters!B$61)*P21^-Parameters!B$63</f>
        <v>0.71598009295213649</v>
      </c>
      <c r="T21" s="7">
        <f>1-S21/Parameters!$B$12</f>
        <v>0.64200995352393175</v>
      </c>
      <c r="U21" s="7">
        <f t="shared" si="0"/>
        <v>2.7933737539455592</v>
      </c>
      <c r="V21" s="7">
        <f>(Parameters!$B$19*(F21+Parameters!$B$20)^T21+Parameters!$B$18*G21^T21)^(1/T21)</f>
        <v>0.35463217412984238</v>
      </c>
      <c r="W21" s="7">
        <f>(Parameters!$B$10*H21^Parameters!$B$9+Parameters!$B$11*V21^Parameters!$B$9)^(Parameters!$B$7/Parameters!$B$9)*O21</f>
        <v>1.389226247566834</v>
      </c>
      <c r="X21" s="7">
        <f>W21 - D21 - E21 - LN(1+EXP(Parameters!$B$21*C21))/Parameters!$B$21 - IF(C21&gt;0, 0,Parameters!$B$6*C21^2/F21)</f>
        <v>1.0906095445668531</v>
      </c>
      <c r="Y21" s="7">
        <f>EXP(-Parameters!$B$55*A21)</f>
        <v>0.7736002590346287</v>
      </c>
      <c r="Z21" s="7">
        <f>IF(X21&gt;0,X21^(1-Parameters!$B$52)/(1-Parameters!$B$52)*Y21*Parameters!$B$65,-10+X21*1000)</f>
        <v>-2.1441951493116957</v>
      </c>
      <c r="AB21" s="9"/>
      <c r="AC21" s="23">
        <f t="shared" si="6"/>
        <v>1.4666927502124543</v>
      </c>
      <c r="AD21" s="23">
        <f t="shared" si="7"/>
        <v>27.334926014025999</v>
      </c>
      <c r="AE21" s="23">
        <f t="shared" si="8"/>
        <v>65.081066281569477</v>
      </c>
      <c r="AF21" s="23">
        <f t="shared" si="9"/>
        <v>38.408488473552751</v>
      </c>
      <c r="AG21" s="23">
        <f t="shared" si="10"/>
        <v>97.350870648856315</v>
      </c>
      <c r="AH21" s="23">
        <f t="shared" si="11"/>
        <v>150.46034795842169</v>
      </c>
      <c r="AI21" s="23">
        <f t="shared" si="12"/>
        <v>118.11862311823343</v>
      </c>
      <c r="AJ21" s="23"/>
      <c r="AK21" s="8">
        <f t="shared" si="1"/>
        <v>150.46034795842169</v>
      </c>
      <c r="AL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0.23984615805746085</v>
      </c>
      <c r="AM21" s="32">
        <f>((C22-C20)/2-(F22-F20)/F21/2*C21)/(F21/2/Parameters!$B$5-C21)-((D22-D20)/D21-(G22-G20)/G21)/(G21/2/Parameters!$B$5/D21-1)</f>
        <v>3.7277548926473954E-2</v>
      </c>
      <c r="AN21" s="32">
        <f>+Parameters!$B$5*C21^2/F21^2-Parameters!$B$5*D21^2/G21^2</f>
        <v>-2.0505080881783818E-2</v>
      </c>
      <c r="AO21" s="30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0.71270376593831064</v>
      </c>
      <c r="AP21" s="30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77.189483572003169</v>
      </c>
      <c r="AQ21" s="8">
        <f>1000*(AL21+AM21+AN21)/(EXP(-Parameters!$B$42*A21)*((C21&lt;0)*Parameters!$B$37*EXP(-Parameters!$B$38*AD21)+(C21&gt;=0)*Parameters!$B$41))</f>
        <v>324.20659858436204</v>
      </c>
      <c r="AR21" s="13">
        <f>1-W21/'6states,ExoDamages'!T21</f>
        <v>7.0235145831926582E-2</v>
      </c>
      <c r="AS21" s="21">
        <f>-Y21*W21*X21^(-Parameters!B$52)*Parameters!B$46*Parameters!B$45*N21</f>
        <v>-1.9292261798174144E-5</v>
      </c>
      <c r="AT21" s="7">
        <f>1000*EXP(-(Parameters!$B$54)*'6states'!A21)*AK21*Parameters!B$46*Parameters!B$45*N21</f>
        <v>1.6719591087936041</v>
      </c>
      <c r="AU21" s="7">
        <f>SUM(AT21:AT$204)*EXP(Parameters!$B$54*A21)</f>
        <v>248.57259636401866</v>
      </c>
      <c r="AV21" s="13">
        <f t="shared" si="23"/>
        <v>0.21362168524025382</v>
      </c>
      <c r="AW21" s="30"/>
      <c r="AX21" s="30"/>
      <c r="AY21" s="30"/>
      <c r="AZ21" s="5">
        <f t="shared" si="3"/>
        <v>-1.8036098724568445E-3</v>
      </c>
      <c r="BA21" s="2">
        <f>AZ21/Parameters!$B$45</f>
        <v>-3.0060164540947412</v>
      </c>
      <c r="BB21" s="2">
        <f t="shared" si="18"/>
        <v>1.3078975891538391E-3</v>
      </c>
      <c r="BE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-0.52987010928702982</v>
      </c>
      <c r="BF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-57.387658169954058</v>
      </c>
      <c r="BG21" s="7">
        <f t="shared" si="4"/>
        <v>5.0923969316390441E-2</v>
      </c>
      <c r="BH21" s="7">
        <f t="shared" si="5"/>
        <v>-1.2425738752253404</v>
      </c>
      <c r="BM21">
        <f>EXP(-Parameters!$B$56*A21)*AZ21*BF21</f>
        <v>2.7484422978650575E-2</v>
      </c>
      <c r="BN21">
        <f>-EXP((Parameters!$B$56)*F21)*SUM(BM21:BM29)</f>
        <v>-0.20544419234375097</v>
      </c>
      <c r="BO21">
        <f>X21^-Parameters!B$52/(1-2*Parameters!B$5*'6states'!D21/'6states'!G21)</f>
        <v>1.2466754224118857</v>
      </c>
      <c r="BP21">
        <f t="shared" si="14"/>
        <v>0.98777835823544269</v>
      </c>
      <c r="BQ21">
        <f>$X21^-Parameters!$B$52/(1-2*Parameters!$B$5*'6states'!$E21/'6states'!$H21)</f>
        <v>1.004831394000711</v>
      </c>
      <c r="BR21">
        <f t="shared" si="21"/>
        <v>1.0084103750151707</v>
      </c>
      <c r="BS21" s="7">
        <f>($X21^-Parameters!$B$52*(1/(1+EXP(-C21)) + IF(C21&lt;0,2*Parameters!$B$6*C21/F21,0)) + BK21*(1/(1+EXP((C21-Parameters!$B$22)*Parameters!$B$21))))/(1-IF(C21&gt;0,2*Parameters!$B$5*C21/F21,0))</f>
        <v>0.44852715368677515</v>
      </c>
      <c r="BT21">
        <f t="shared" si="22"/>
        <v>1.0074441115767787</v>
      </c>
      <c r="BU21" s="7">
        <f t="shared" si="19"/>
        <v>3.3142147925541154E-3</v>
      </c>
      <c r="BV21">
        <f>(1/$T21-1/Parameters!$B$13) * LN(Parameters!$B$18) / LN(P21)</f>
        <v>0.2362356756382423</v>
      </c>
      <c r="BW21">
        <f>(Parameters!$B$18*'6states'!T21^+Parameters!$B$19*Parameters!$B$25^'6states'!T21)^((1-'6states'!T21)/'6states'!T21)*Parameters!$B$18*Parameters!$B$26^('6states'!T21-1)</f>
        <v>0.23726874162752432</v>
      </c>
      <c r="BX21">
        <f t="shared" si="15"/>
        <v>0.2706918759694748</v>
      </c>
      <c r="BY21">
        <f t="shared" si="20"/>
        <v>0.15104244880763062</v>
      </c>
      <c r="BZ21">
        <f t="shared" si="20"/>
        <v>0.15165014150556222</v>
      </c>
    </row>
    <row r="22" spans="1:78" x14ac:dyDescent="0.25">
      <c r="A22">
        <f>A21+Parameters!$B$65</f>
        <v>18</v>
      </c>
      <c r="B22">
        <v>2043</v>
      </c>
      <c r="C22" s="74">
        <v>1.0488816693421156E-3</v>
      </c>
      <c r="D22" s="69">
        <v>8.7233428110739156E-2</v>
      </c>
      <c r="E22" s="75">
        <v>0.21026878710693475</v>
      </c>
      <c r="F22" s="7">
        <f>MAX((1-Parameters!$B$4)^Parameters!B$65*F21 + C21*Parameters!B$65 - IF(C21&gt;0,Parameters!$B$5,0)*C21^2/F21*Parameters!B$65, 0.0001)</f>
        <v>0.23750889738058684</v>
      </c>
      <c r="G22" s="7">
        <f>(1-Parameters!$B$4)^Parameters!B$65*G21+D21*Parameters!B$65-Parameters!$B$5*D21^2/G21*Parameters!B$65</f>
        <v>0.63685678149464109</v>
      </c>
      <c r="H22" s="7">
        <f>(1-Parameters!$B$4)^Parameters!B$65*H21+E21*Parameters!B$65-Parameters!$B$5*E21^2/H21*Parameters!B$65</f>
        <v>3.6217098566957229</v>
      </c>
      <c r="I22" s="9">
        <f>I21 *(1-Parameters!$B$4)-C21*(C21&lt;0)*Parameters!B$65</f>
        <v>1.2690420169076998E-2</v>
      </c>
      <c r="J22" s="23">
        <f>J21*(1+Parameters!$B$51)^Parameters!B$65</f>
        <v>8.5966158929030918</v>
      </c>
      <c r="K22" s="23">
        <f>K21*(1+Parameters!$B$53)^Parameters!B$65</f>
        <v>12.887817050674654</v>
      </c>
      <c r="L22" s="23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17.829909987550973</v>
      </c>
      <c r="M22" s="8">
        <f>M21+L22*Parameters!B$65</f>
        <v>2806.8301329510464</v>
      </c>
      <c r="N22" s="7">
        <f>M22*Parameters!$B$45</f>
        <v>1.6840980797706278</v>
      </c>
      <c r="O22" s="9">
        <f>EXP(-Parameters!$B$46/2*N22^2)</f>
        <v>0.97189872460827387</v>
      </c>
      <c r="P22" s="8">
        <f>MAX((Parameters!$B$62 + Parameters!$B$31*'6states'!A22 - '6states'!M22 + Parameters!$B$47/Parameters!$B$45)/Parameters!B$62,1)</f>
        <v>10.015397340979071</v>
      </c>
      <c r="Q22" s="7">
        <f>Parameters!B$61*EXP(-Parameters!B$60*A22)</f>
        <v>0.30754090365676434</v>
      </c>
      <c r="R22" s="7">
        <f>(1-Parameters!B$61)*P22^-Parameters!B$63</f>
        <v>0.39710301638039819</v>
      </c>
      <c r="S22" s="7">
        <f>Parameters!B$61*EXP(-Parameters!B$60*A22)+(1-Parameters!B$61)*P22^-Parameters!B$63</f>
        <v>0.70464392003716259</v>
      </c>
      <c r="T22" s="7">
        <f>1-S22/Parameters!$B$12</f>
        <v>0.64767803998141871</v>
      </c>
      <c r="U22" s="7">
        <f t="shared" si="0"/>
        <v>2.838313001969166</v>
      </c>
      <c r="V22" s="7">
        <f>(Parameters!$B$19*(F22+Parameters!$B$20)^T22+Parameters!$B$18*G22^T22)^(1/T22)</f>
        <v>0.35213971691815116</v>
      </c>
      <c r="W22" s="7">
        <f>(Parameters!$B$10*H22^Parameters!$B$9+Parameters!$B$11*V22^Parameters!$B$9)^(Parameters!$B$7/Parameters!$B$9)*O22</f>
        <v>1.3853019629845837</v>
      </c>
      <c r="X22" s="7">
        <f>W22 - D22 - E22 - LN(1+EXP(Parameters!$B$21*C22))/Parameters!$B$21 - IF(C22&gt;0, 0,Parameters!$B$6*C22^2/F22)</f>
        <v>1.0849237296904</v>
      </c>
      <c r="Y22" s="7">
        <f>EXP(-Parameters!$B$55*A22)</f>
        <v>0.76200664718015654</v>
      </c>
      <c r="Z22" s="7">
        <f>IF(X22&gt;0,X22^(1-Parameters!$B$52)/(1-Parameters!$B$52)*Y22*Parameters!$B$65,-10+X22*1000)</f>
        <v>-2.1159285211313028</v>
      </c>
      <c r="AB22" s="9"/>
      <c r="AC22" s="23">
        <f t="shared" si="6"/>
        <v>1.4059921186906437</v>
      </c>
      <c r="AD22" s="23">
        <f t="shared" si="7"/>
        <v>26.31399381477673</v>
      </c>
      <c r="AE22" s="23">
        <f t="shared" si="8"/>
        <v>70.558389997049275</v>
      </c>
      <c r="AF22" s="23">
        <f t="shared" si="9"/>
        <v>39.014127197404292</v>
      </c>
      <c r="AG22" s="23">
        <f t="shared" si="10"/>
        <v>98.885933844748749</v>
      </c>
      <c r="AH22" s="23">
        <f t="shared" si="11"/>
        <v>153.47983880857308</v>
      </c>
      <c r="AI22" s="23">
        <f t="shared" si="12"/>
        <v>120.20044986706739</v>
      </c>
      <c r="AJ22" s="23"/>
      <c r="AK22" s="8">
        <f t="shared" si="1"/>
        <v>153.47983880857308</v>
      </c>
      <c r="AL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0.24479001953005064</v>
      </c>
      <c r="AM22" s="32">
        <f>((C23-C21)/2-(F23-F21)/F22/2*C22)/(F22/2/Parameters!$B$5-C22)-((D23-D21)/D22-(G23-G21)/G22)/(G22/2/Parameters!$B$5/D22-1)</f>
        <v>3.4282062239818382E-2</v>
      </c>
      <c r="AN22" s="32">
        <f>+Parameters!$B$5*C22^2/F22^2-Parameters!$B$5*D22^2/G22^2</f>
        <v>-1.8742635288542708E-2</v>
      </c>
      <c r="AO22" s="30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0.70586818103745108</v>
      </c>
      <c r="AP22" s="30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78.204274259686642</v>
      </c>
      <c r="AQ22" s="8">
        <f>1000*(AL22+AM22+AN22)/(EXP(-Parameters!$B$42*A22)*((C22&lt;0)*Parameters!$B$37*EXP(-Parameters!$B$38*AD22)+(C22&gt;=0)*Parameters!$B$41))</f>
        <v>332.20021875140782</v>
      </c>
      <c r="AR22" s="13">
        <f>1-W22/'6states,ExoDamages'!T22</f>
        <v>7.2476327993020173E-2</v>
      </c>
      <c r="AS22" s="21">
        <f>-Y22*W22*X22^(-Parameters!B$52)*Parameters!B$46*Parameters!B$45*N22</f>
        <v>-1.9205648081705844E-5</v>
      </c>
      <c r="AT22" s="7">
        <f>1000*EXP(-(Parameters!$B$54)*'6states'!A22)*AK22*Parameters!B$46*Parameters!B$45*N22</f>
        <v>1.6572146704251884</v>
      </c>
      <c r="AU22" s="7">
        <f>SUM(AT22:AT$204)*EXP(Parameters!$B$54*A22)</f>
        <v>254.30747989916665</v>
      </c>
      <c r="AV22" s="13">
        <f t="shared" si="23"/>
        <v>0.21551337171557769</v>
      </c>
      <c r="AW22" s="30"/>
      <c r="AX22" s="30"/>
      <c r="AY22" s="30"/>
      <c r="AZ22" s="5">
        <f t="shared" si="3"/>
        <v>-1.8057333329357947E-3</v>
      </c>
      <c r="BA22" s="2">
        <f>AZ22/Parameters!$B$45</f>
        <v>-3.0095555548929913</v>
      </c>
      <c r="BB22" s="2">
        <f t="shared" si="18"/>
        <v>1.1759546330674109E-3</v>
      </c>
      <c r="BE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-0.52937776280663185</v>
      </c>
      <c r="BF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-58.650616165559462</v>
      </c>
      <c r="BG22" s="7">
        <f t="shared" si="4"/>
        <v>5.0721242141509783E-2</v>
      </c>
      <c r="BH22" s="7">
        <f t="shared" si="5"/>
        <v>-1.2352459438440828</v>
      </c>
      <c r="BM22">
        <f>EXP(-Parameters!$B$56*A22)*AZ22*BF22</f>
        <v>2.6012179451030154E-2</v>
      </c>
      <c r="BN22">
        <f>-EXP((Parameters!$B$56)*F22)*SUM(BM22:BM30)</f>
        <v>-0.19460566998701789</v>
      </c>
      <c r="BO22">
        <f>X22^-Parameters!B$52/(1-2*Parameters!B$5*'6states'!D22/'6states'!G22)</f>
        <v>1.2337991979100982</v>
      </c>
      <c r="BP22">
        <f t="shared" si="14"/>
        <v>0.98967155021242303</v>
      </c>
      <c r="BQ22">
        <f>$X22^-Parameters!$B$52/(1-2*Parameters!$B$5*'6states'!$E22/'6states'!$H22)</f>
        <v>1.013481151059642</v>
      </c>
      <c r="BR22">
        <f t="shared" si="21"/>
        <v>1.008608167609585</v>
      </c>
      <c r="BS22" s="7">
        <f>($X22^-Parameters!$B$52*(1/(1+EXP(-C22)) + IF(C22&lt;0,2*Parameters!$B$6*C22/F22,0)) + BK22*(1/(1+EXP((C22-Parameters!$B$22)*Parameters!$B$21))))/(1-IF(C22&gt;0,2*Parameters!$B$5*C22/F22,0))</f>
        <v>0.4521282662667383</v>
      </c>
      <c r="BT22">
        <f t="shared" si="22"/>
        <v>1.0080287504343115</v>
      </c>
      <c r="BU22" s="7">
        <f t="shared" si="19"/>
        <v>3.6011125799631505E-3</v>
      </c>
      <c r="BV22">
        <f>(1/$T22-1/Parameters!$B$13) * LN(Parameters!$B$18) / LN(P22)</f>
        <v>0.23577319231072691</v>
      </c>
      <c r="BW22">
        <f>(Parameters!$B$18*'6states'!T22^+Parameters!$B$19*Parameters!$B$25^'6states'!T22)^((1-'6states'!T22)/'6states'!T22)*Parameters!$B$18*Parameters!$B$26^('6states'!T22-1)</f>
        <v>0.24072140509377313</v>
      </c>
      <c r="BX22">
        <f t="shared" si="15"/>
        <v>0.26835636467695573</v>
      </c>
      <c r="BY22">
        <f t="shared" si="20"/>
        <v>0.15077025569606495</v>
      </c>
      <c r="BZ22">
        <f t="shared" si="20"/>
        <v>0.15367798824212431</v>
      </c>
    </row>
    <row r="23" spans="1:78" x14ac:dyDescent="0.25">
      <c r="A23">
        <f>A22+Parameters!$B$65</f>
        <v>19</v>
      </c>
      <c r="B23">
        <v>2044</v>
      </c>
      <c r="C23" s="74">
        <v>1.0000000003190207E-3</v>
      </c>
      <c r="D23" s="69">
        <v>8.8028670712744159E-2</v>
      </c>
      <c r="E23" s="75">
        <v>0.21122565899838941</v>
      </c>
      <c r="F23" s="7">
        <f>MAX((1-Parameters!$B$4)^Parameters!B$65*F22 + C22*Parameters!B$65 - IF(C22&gt;0,Parameters!$B$5,0)*C22^2/F22*Parameters!B$65, 0.0001)</f>
        <v>0.22361383735608717</v>
      </c>
      <c r="G23" s="7">
        <f>(1-Parameters!$B$4)^Parameters!B$65*G22+D22*Parameters!B$65-Parameters!$B$5*D22^2/G22*Parameters!B$65</f>
        <v>0.67208312327938413</v>
      </c>
      <c r="H23" s="7">
        <f>(1-Parameters!$B$4)^Parameters!B$65*H22+E22*Parameters!B$65-Parameters!$B$5*E22^2/H22*Parameters!B$65</f>
        <v>3.5919653343380062</v>
      </c>
      <c r="I23" s="9">
        <f>I22 *(1-Parameters!$B$4)-C22*(C22&lt;0)*Parameters!B$65</f>
        <v>1.1892192740442056E-2</v>
      </c>
      <c r="J23" s="23">
        <f>J22*(1+Parameters!$B$51)^Parameters!B$65</f>
        <v>8.6215460789925107</v>
      </c>
      <c r="K23" s="23">
        <f>K22*(1+Parameters!$B$53)^Parameters!B$65</f>
        <v>13.145573391688147</v>
      </c>
      <c r="L23" s="23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17.004657190698531</v>
      </c>
      <c r="M23" s="8">
        <f>M22+L23*Parameters!B$65</f>
        <v>2823.8347901417451</v>
      </c>
      <c r="N23" s="7">
        <f>M23*Parameters!$B$45</f>
        <v>1.6943008740850469</v>
      </c>
      <c r="O23" s="9">
        <f>EXP(-Parameters!$B$46/2*N23^2)</f>
        <v>0.9715621030557996</v>
      </c>
      <c r="P23" s="8">
        <f>MAX((Parameters!$B$62 + Parameters!$B$31*'6states'!A23 - '6states'!M23 + Parameters!$B$47/Parameters!$B$45)/Parameters!B$62,1)</f>
        <v>10.739304197165103</v>
      </c>
      <c r="Q23" s="7">
        <f>Parameters!B$61*EXP(-Parameters!B$60*A23)</f>
        <v>0.2993483958028646</v>
      </c>
      <c r="R23" s="7">
        <f>(1-Parameters!B$61)*P23^-Parameters!B$63</f>
        <v>0.39434141449893184</v>
      </c>
      <c r="S23" s="7">
        <f>Parameters!B$61*EXP(-Parameters!B$60*A23)+(1-Parameters!B$61)*P23^-Parameters!B$63</f>
        <v>0.69368981030179644</v>
      </c>
      <c r="T23" s="7">
        <f>1-S23/Parameters!$B$12</f>
        <v>0.65315509484910184</v>
      </c>
      <c r="U23" s="7">
        <f t="shared" si="0"/>
        <v>2.8831330232887247</v>
      </c>
      <c r="V23" s="7">
        <f>(Parameters!$B$19*(F23+Parameters!$B$20)^T23+Parameters!$B$18*G23^T23)^(1/T23)</f>
        <v>0.34993960470929369</v>
      </c>
      <c r="W23" s="7">
        <f>(Parameters!$B$10*H23^Parameters!$B$9+Parameters!$B$11*V23^Parameters!$B$9)^(Parameters!$B$7/Parameters!$B$9)*O23</f>
        <v>1.3816821048650858</v>
      </c>
      <c r="X23" s="7">
        <f>W23 - D23 - E23 - LN(1+EXP(Parameters!$B$21*C23))/Parameters!$B$21 - IF(C23&gt;0, 0,Parameters!$B$6*C23^2/F23)</f>
        <v>1.0795799243388737</v>
      </c>
      <c r="Y23" s="7">
        <f>EXP(-Parameters!$B$55*A23)</f>
        <v>0.75058678376263543</v>
      </c>
      <c r="Z23" s="7">
        <f>IF(X23&gt;0,X23^(1-Parameters!$B$52)/(1-Parameters!$B$52)*Y23*Parameters!$B$65,-10+X23*1000)</f>
        <v>-2.0878230540790961</v>
      </c>
      <c r="AB23" s="9"/>
      <c r="AC23" s="23">
        <f t="shared" si="6"/>
        <v>1.3478036470377714</v>
      </c>
      <c r="AD23" s="23">
        <f t="shared" si="7"/>
        <v>25.34331154015943</v>
      </c>
      <c r="AE23" s="23">
        <f t="shared" si="8"/>
        <v>76.170652834106221</v>
      </c>
      <c r="AF23" s="23">
        <f t="shared" si="9"/>
        <v>39.66046344558405</v>
      </c>
      <c r="AG23" s="23">
        <f t="shared" si="10"/>
        <v>100.52414974422474</v>
      </c>
      <c r="AH23" s="23">
        <f t="shared" si="11"/>
        <v>156.59317172442366</v>
      </c>
      <c r="AI23" s="23">
        <f t="shared" si="12"/>
        <v>122.35437072462113</v>
      </c>
      <c r="AJ23" s="23"/>
      <c r="AK23" s="8">
        <f t="shared" si="1"/>
        <v>156.59317172442368</v>
      </c>
      <c r="AL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0.24955688051290101</v>
      </c>
      <c r="AM23" s="32">
        <f>((C24-C22)/2-(F24-F22)/F23/2*C23)/(F23/2/Parameters!$B$5-C23)-((D24-D22)/D23-(G24-G22)/G23)/(G23/2/Parameters!$B$5/D23-1)</f>
        <v>3.1925514167856855E-2</v>
      </c>
      <c r="AN23" s="32">
        <f>+Parameters!$B$5*C23^2/F23^2-Parameters!$B$5*D23^2/G23^2</f>
        <v>-1.7135458894695116E-2</v>
      </c>
      <c r="AO23" s="30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0.699127223264566</v>
      </c>
      <c r="AP23" s="30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79.235700415022521</v>
      </c>
      <c r="AQ23" s="8">
        <f>1000*(AL23+AM23+AN23)/(EXP(-Parameters!$B$42*A23)*((C23&lt;0)*Parameters!$B$37*EXP(-Parameters!$B$38*AD23)+(C23&gt;=0)*Parameters!$B$41))</f>
        <v>340.71703247706614</v>
      </c>
      <c r="AR23" s="13">
        <f>1-W23/'6states,ExoDamages'!T23</f>
        <v>7.451627144661177E-2</v>
      </c>
      <c r="AS23" s="21">
        <f>-Y23*W23*X23^(-Parameters!B$52)*Parameters!B$46*Parameters!B$45*N23</f>
        <v>-1.9109657738716288E-5</v>
      </c>
      <c r="AT23" s="7">
        <f>1000*EXP(-(Parameters!$B$54)*'6states'!A23)*AK23*Parameters!B$46*Parameters!B$45*N23</f>
        <v>1.6424027871342934</v>
      </c>
      <c r="AU23" s="7">
        <f>SUM(AT23:AT$204)*EXP(Parameters!$B$54*A23)</f>
        <v>260.1636095081783</v>
      </c>
      <c r="AV23" s="13">
        <f t="shared" si="23"/>
        <v>0.21731071760589307</v>
      </c>
      <c r="AW23" s="30"/>
      <c r="AX23" s="30"/>
      <c r="AY23" s="30"/>
      <c r="AZ23" s="5">
        <f t="shared" si="3"/>
        <v>-1.8076192973299316E-3</v>
      </c>
      <c r="BA23" s="2">
        <f>AZ23/Parameters!$B$45</f>
        <v>-3.0126988288832197</v>
      </c>
      <c r="BB23" s="2">
        <f t="shared" si="18"/>
        <v>1.0433415912979305E-3</v>
      </c>
      <c r="BE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-0.52941082053769351</v>
      </c>
      <c r="BF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-60.000863614950013</v>
      </c>
      <c r="BG23" s="7">
        <f t="shared" si="4"/>
        <v>5.0496340733049101E-2</v>
      </c>
      <c r="BH23" s="7">
        <f t="shared" si="5"/>
        <v>-1.2285380438022595</v>
      </c>
      <c r="BM23">
        <f>EXP(-Parameters!$B$56*A23)*AZ23*BF23</f>
        <v>2.4639962823135041E-2</v>
      </c>
      <c r="BN23">
        <f>-EXP((Parameters!$B$56)*F23)*SUM(BM23:BM31)</f>
        <v>-0.18445088033024717</v>
      </c>
      <c r="BO23">
        <f>X23^-Parameters!B$52/(1-2*Parameters!B$5*'6states'!D23/'6states'!G23)</f>
        <v>1.2218693186722609</v>
      </c>
      <c r="BP23">
        <f t="shared" si="14"/>
        <v>0.99033077727879459</v>
      </c>
      <c r="BQ23">
        <f>$X23^-Parameters!$B$52/(1-2*Parameters!$B$5*'6states'!$E23/'6states'!$H23)</f>
        <v>1.0219872557555794</v>
      </c>
      <c r="BR23">
        <f t="shared" si="21"/>
        <v>1.0083929579618169</v>
      </c>
      <c r="BS23" s="7">
        <f>($X23^-Parameters!$B$52*(1/(1+EXP(-C23)) + IF(C23&lt;0,2*Parameters!$B$6*C23/F23,0)) + BK23*(1/(1+EXP((C23-Parameters!$B$22)*Parameters!$B$21))))/(1-IF(C23&gt;0,2*Parameters!$B$5*C23/F23,0))</f>
        <v>0.45519231161004237</v>
      </c>
      <c r="BT23">
        <f t="shared" si="22"/>
        <v>1.006776938253837</v>
      </c>
      <c r="BU23" s="7">
        <f t="shared" si="19"/>
        <v>3.0640453433040671E-3</v>
      </c>
      <c r="BV23">
        <f>(1/$T23-1/Parameters!$B$13) * LN(Parameters!$B$18) / LN(P23)</f>
        <v>0.2353392046806381</v>
      </c>
      <c r="BW23">
        <f>(Parameters!$B$18*'6states'!T23^+Parameters!$B$19*Parameters!$B$25^'6states'!T23)^((1-'6states'!T23)/'6states'!T23)*Parameters!$B$18*Parameters!$B$26^('6states'!T23-1)</f>
        <v>0.24397857914171336</v>
      </c>
      <c r="BX23">
        <f t="shared" si="15"/>
        <v>0.26612901339752565</v>
      </c>
      <c r="BY23">
        <f t="shared" si="20"/>
        <v>0.15051475426774219</v>
      </c>
      <c r="BZ23">
        <f t="shared" si="20"/>
        <v>0.15558657498128869</v>
      </c>
    </row>
    <row r="24" spans="1:78" x14ac:dyDescent="0.25">
      <c r="A24">
        <f>A23+Parameters!$B$65</f>
        <v>20</v>
      </c>
      <c r="B24">
        <v>2045</v>
      </c>
      <c r="C24" s="74">
        <v>1.0914329355169589E-3</v>
      </c>
      <c r="D24" s="69">
        <v>8.859468381425184E-2</v>
      </c>
      <c r="E24" s="75">
        <v>0.21213548867831197</v>
      </c>
      <c r="F24" s="7">
        <f>MAX((1-Parameters!$B$4)^Parameters!B$65*F23 + C23*Parameters!B$65 - IF(C23&gt;0,Parameters!$B$5,0)*C23^2/F23*Parameters!B$65, 0.0001)</f>
        <v>0.21054405499153814</v>
      </c>
      <c r="G24" s="7">
        <f>(1-Parameters!$B$4)^Parameters!B$65*G23+D23*Parameters!B$65-Parameters!$B$5*D23^2/G23*Parameters!B$65</f>
        <v>0.70630787198891165</v>
      </c>
      <c r="H24" s="7">
        <f>(1-Parameters!$B$4)^Parameters!B$65*H23+E23*Parameters!B$65-Parameters!$B$5*E23^2/H23*Parameters!B$65</f>
        <v>3.5648352408426986</v>
      </c>
      <c r="I24" s="9">
        <f>I23 *(1-Parameters!$B$4)-C23*(C23&lt;0)*Parameters!B$65</f>
        <v>1.1144173817068252E-2</v>
      </c>
      <c r="J24" s="23">
        <f>J23*(1+Parameters!$B$51)^Parameters!B$65</f>
        <v>8.6465485626215877</v>
      </c>
      <c r="K24" s="23">
        <f>K23*(1+Parameters!$B$53)^Parameters!B$65</f>
        <v>13.408484859521911</v>
      </c>
      <c r="L24" s="23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16.218610568758201</v>
      </c>
      <c r="M24" s="8">
        <f>M23+L24*Parameters!B$65</f>
        <v>2840.0534007105034</v>
      </c>
      <c r="N24" s="7">
        <f>M24*Parameters!$B$45</f>
        <v>1.7040320404263019</v>
      </c>
      <c r="O24" s="9">
        <f>EXP(-Parameters!$B$46/2*N24^2)</f>
        <v>0.97123925715304782</v>
      </c>
      <c r="P24" s="8">
        <f>MAX((Parameters!$B$62 + Parameters!$B$31*'6states'!A24 - '6states'!M24 + Parameters!$B$47/Parameters!$B$45)/Parameters!B$62,1)</f>
        <v>11.478931985789933</v>
      </c>
      <c r="Q24" s="7">
        <f>Parameters!B$61*EXP(-Parameters!B$60*A24)</f>
        <v>0.29137412618699482</v>
      </c>
      <c r="R24" s="7">
        <f>(1-Parameters!B$61)*P24^-Parameters!B$63</f>
        <v>0.39172370732335393</v>
      </c>
      <c r="S24" s="7">
        <f>Parameters!B$61*EXP(-Parameters!B$60*A24)+(1-Parameters!B$61)*P24^-Parameters!B$63</f>
        <v>0.68309783351034881</v>
      </c>
      <c r="T24" s="7">
        <f>1-S24/Parameters!$B$12</f>
        <v>0.6584510832448256</v>
      </c>
      <c r="U24" s="7">
        <f t="shared" si="0"/>
        <v>2.9278383005875841</v>
      </c>
      <c r="V24" s="7">
        <f>(Parameters!$B$19*(F24+Parameters!$B$20)^T24+Parameters!$B$18*G24^T24)^(1/T24)</f>
        <v>0.34789282485382489</v>
      </c>
      <c r="W24" s="7">
        <f>(Parameters!$B$10*H24^Parameters!$B$9+Parameters!$B$11*V24^Parameters!$B$9)^(Parameters!$B$7/Parameters!$B$9)*O24</f>
        <v>1.3783274316557046</v>
      </c>
      <c r="X24" s="7">
        <f>W24 - D24 - E24 - LN(1+EXP(Parameters!$B$21*C24))/Parameters!$B$21 - IF(C24&gt;0, 0,Parameters!$B$6*C24^2/F24)</f>
        <v>1.074696579258843</v>
      </c>
      <c r="Y24" s="7">
        <f>EXP(-Parameters!$B$55*A24)</f>
        <v>0.7393380648895318</v>
      </c>
      <c r="Z24" s="7">
        <f>IF(X24&gt;0,X24^(1-Parameters!$B$52)/(1-Parameters!$B$52)*Y24*Parameters!$B$65,-10+X24*1000)</f>
        <v>-2.0597995969563376</v>
      </c>
      <c r="AB24" s="9"/>
      <c r="AC24" s="23">
        <f t="shared" si="6"/>
        <v>1.292023366859294</v>
      </c>
      <c r="AD24" s="23">
        <f t="shared" si="7"/>
        <v>24.409870419083166</v>
      </c>
      <c r="AE24" s="23">
        <f t="shared" si="8"/>
        <v>81.887297325591234</v>
      </c>
      <c r="AF24" s="23">
        <f t="shared" si="9"/>
        <v>40.33369061288365</v>
      </c>
      <c r="AG24" s="23">
        <f t="shared" si="10"/>
        <v>102.2305238684293</v>
      </c>
      <c r="AH24" s="23">
        <f t="shared" si="11"/>
        <v>159.79930662556896</v>
      </c>
      <c r="AI24" s="23">
        <f t="shared" si="12"/>
        <v>124.59722142520064</v>
      </c>
      <c r="AJ24" s="23"/>
      <c r="AK24" s="8">
        <f t="shared" si="1"/>
        <v>159.79930662556899</v>
      </c>
      <c r="AL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0.25389390604973588</v>
      </c>
      <c r="AM24" s="32">
        <f>((C25-C23)/2-(F25-F23)/F24/2*C24)/(F24/2/Parameters!$B$5-C24)-((D25-D23)/D24-(G25-G23)/G24)/(G24/2/Parameters!$B$5/D24-1)</f>
        <v>3.0825929933724891E-2</v>
      </c>
      <c r="AN24" s="32">
        <f>+Parameters!$B$5*C24^2/F24^2-Parameters!$B$5*D24^2/G24^2</f>
        <v>-1.5706695870895845E-2</v>
      </c>
      <c r="AO24" s="30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0.69245436609039523</v>
      </c>
      <c r="AP24" s="30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80.281161812306934</v>
      </c>
      <c r="AQ24" s="8">
        <f>1000*(AL24+AM24+AN24)/(EXP(-Parameters!$B$42*A24)*((C24&lt;0)*Parameters!$B$37*EXP(-Parameters!$B$38*AD24)+(C24&gt;=0)*Parameters!$B$41))</f>
        <v>350.21601552367861</v>
      </c>
      <c r="AR24" s="13">
        <f>1-W24/'6states,ExoDamages'!T24</f>
        <v>7.6399459143636217E-2</v>
      </c>
      <c r="AS24" s="21">
        <f>-Y24*W24*X24^(-Parameters!B$52)*Parameters!B$46*Parameters!B$45*N24</f>
        <v>-1.9001356688942454E-5</v>
      </c>
      <c r="AT24" s="7">
        <f>1000*EXP(-(Parameters!$B$54)*'6states'!A24)*AK24*Parameters!B$46*Parameters!B$45*N24</f>
        <v>1.6275158565209293</v>
      </c>
      <c r="AU24" s="7">
        <f>SUM(AT24:AT$204)*EXP(Parameters!$B$54*A24)</f>
        <v>266.14349145780255</v>
      </c>
      <c r="AV24" s="13">
        <f t="shared" si="23"/>
        <v>0.21897670937704553</v>
      </c>
      <c r="AW24" s="30"/>
      <c r="AX24" s="30"/>
      <c r="AY24" s="30"/>
      <c r="AZ24" s="5">
        <f t="shared" si="3"/>
        <v>-1.809274485429476E-3</v>
      </c>
      <c r="BA24" s="2">
        <f>AZ24/Parameters!$B$45</f>
        <v>-3.0154574757157935</v>
      </c>
      <c r="BB24" s="2">
        <f t="shared" si="18"/>
        <v>9.148352629044787E-4</v>
      </c>
      <c r="BE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-0.52948793046962395</v>
      </c>
      <c r="BF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-61.387303344905604</v>
      </c>
      <c r="BG24" s="7">
        <f t="shared" si="4"/>
        <v>5.0269578483977728E-2</v>
      </c>
      <c r="BH24" s="7">
        <f t="shared" si="5"/>
        <v>-1.2219422965600191</v>
      </c>
      <c r="BM24">
        <f>EXP(-Parameters!$B$56*A24)*AZ24*BF24</f>
        <v>2.3339074100489739E-2</v>
      </c>
      <c r="BN24">
        <f>-EXP((Parameters!$B$56)*F24)*SUM(BM24:BM32)</f>
        <v>-0.17492419078081473</v>
      </c>
      <c r="BO24">
        <f>X24^-Parameters!B$52/(1-2*Parameters!B$5*'6states'!D24/'6states'!G24)</f>
        <v>1.2111702001468354</v>
      </c>
      <c r="BP24">
        <f t="shared" si="14"/>
        <v>0.99124364744909743</v>
      </c>
      <c r="BQ24">
        <f>$X24^-Parameters!$B$52/(1-2*Parameters!$B$5*'6states'!$E24/'6states'!$H24)</f>
        <v>1.029901897104466</v>
      </c>
      <c r="BR24">
        <f t="shared" si="21"/>
        <v>1.0077443640361592</v>
      </c>
      <c r="BS24" s="7">
        <f>($X24^-Parameters!$B$52*(1/(1+EXP(-C24)) + IF(C24&lt;0,2*Parameters!$B$6*C24/F24,0)) + BK24*(1/(1+EXP((C24-Parameters!$B$22)*Parameters!$B$21))))/(1-IF(C24&gt;0,2*Parameters!$B$5*C24/F24,0))</f>
        <v>0.45866666460326805</v>
      </c>
      <c r="BT24">
        <f t="shared" si="22"/>
        <v>1.0076327145793318</v>
      </c>
      <c r="BU24" s="7">
        <f t="shared" si="19"/>
        <v>3.4743529932256823E-3</v>
      </c>
      <c r="BV24">
        <f>(1/$T24-1/Parameters!$B$13) * LN(Parameters!$B$18) / LN(P24)</f>
        <v>0.23492755800702456</v>
      </c>
      <c r="BW24">
        <f>(Parameters!$B$18*'6states'!T24^+Parameters!$B$19*Parameters!$B$25^'6states'!T24)^((1-'6states'!T24)/'6states'!T24)*Parameters!$B$18*Parameters!$B$26^('6states'!T24-1)</f>
        <v>0.24705331999178931</v>
      </c>
      <c r="BX24">
        <f t="shared" si="15"/>
        <v>0.26399780108743393</v>
      </c>
      <c r="BY24">
        <f t="shared" si="20"/>
        <v>0.15027233458857814</v>
      </c>
      <c r="BZ24">
        <f t="shared" si="20"/>
        <v>0.15738431297013178</v>
      </c>
    </row>
    <row r="25" spans="1:78" x14ac:dyDescent="0.25">
      <c r="A25">
        <f>A24+Parameters!$B$65</f>
        <v>21</v>
      </c>
      <c r="B25">
        <v>2046</v>
      </c>
      <c r="C25" s="74">
        <v>1.0914329355169589E-3</v>
      </c>
      <c r="D25" s="69">
        <v>8.859468381425184E-2</v>
      </c>
      <c r="E25" s="75">
        <v>0.21213548867831197</v>
      </c>
      <c r="F25" s="7">
        <f>MAX((1-Parameters!$B$4)^Parameters!B$65*F24 + C24*Parameters!B$65 - IF(C24&gt;0,Parameters!$B$5,0)*C24^2/F24*Parameters!B$65, 0.0001)</f>
        <v>0.19838660902202385</v>
      </c>
      <c r="G25" s="7">
        <f>(1-Parameters!$B$4)^Parameters!B$65*G24+D24*Parameters!B$65-Parameters!$B$5*D24^2/G24*Parameters!B$65</f>
        <v>0.73936304745704873</v>
      </c>
      <c r="H25" s="7">
        <f>(1-Parameters!$B$4)^Parameters!B$65*H24+E24*Parameters!B$65-Parameters!$B$5*E24^2/H24*Parameters!B$65</f>
        <v>3.5401188774640109</v>
      </c>
      <c r="I25" s="9">
        <f>I24 *(1-Parameters!$B$4)-C24*(C24&lt;0)*Parameters!B$65</f>
        <v>1.0443205283974659E-2</v>
      </c>
      <c r="J25" s="23">
        <f>J24*(1+Parameters!$B$51)^Parameters!B$65</f>
        <v>8.6716235534531894</v>
      </c>
      <c r="K25" s="23">
        <f>K24*(1+Parameters!$B$53)^Parameters!B$65</f>
        <v>13.67665455671235</v>
      </c>
      <c r="L25" s="23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15.480989332505427</v>
      </c>
      <c r="M25" s="8">
        <f>M24+L25*Parameters!B$65</f>
        <v>2855.5343900430089</v>
      </c>
      <c r="N25" s="7">
        <f>M25*Parameters!$B$45</f>
        <v>1.7133206340258051</v>
      </c>
      <c r="O25" s="9">
        <f>EXP(-Parameters!$B$46/2*N25^2)</f>
        <v>0.97092947044341682</v>
      </c>
      <c r="P25" s="8">
        <f>MAX((Parameters!$B$62 + Parameters!$B$31*'6states'!A25 - '6states'!M25 + Parameters!$B$47/Parameters!$B$45)/Parameters!B$62,1)</f>
        <v>12.233312199139823</v>
      </c>
      <c r="Q25" s="7">
        <f>Parameters!B$61*EXP(-Parameters!B$60*A25)</f>
        <v>0.28361228121344206</v>
      </c>
      <c r="R25" s="7">
        <f>(1-Parameters!B$61)*P25^-Parameters!B$63</f>
        <v>0.3892383280575743</v>
      </c>
      <c r="S25" s="7">
        <f>Parameters!B$61*EXP(-Parameters!B$60*A25)+(1-Parameters!B$61)*P25^-Parameters!B$63</f>
        <v>0.67285060927101636</v>
      </c>
      <c r="T25" s="7">
        <f>1-S25/Parameters!$B$12</f>
        <v>0.66357469536449187</v>
      </c>
      <c r="U25" s="7">
        <f t="shared" si="0"/>
        <v>2.9724280136520225</v>
      </c>
      <c r="V25" s="7">
        <f>(Parameters!$B$19*(F25+Parameters!$B$20)^T25+Parameters!$B$18*G25^T25)^(1/T25)</f>
        <v>0.34607987420677044</v>
      </c>
      <c r="W25" s="7">
        <f>(Parameters!$B$10*H25^Parameters!$B$9+Parameters!$B$11*V25^Parameters!$B$9)^(Parameters!$B$7/Parameters!$B$9)*O25</f>
        <v>1.3752580327141164</v>
      </c>
      <c r="X25" s="7">
        <f>W25 - D25 - E25 - LN(1+EXP(Parameters!$B$21*C25))/Parameters!$B$21 - IF(C25&gt;0, 0,Parameters!$B$6*C25^2/F25)</f>
        <v>1.0716271803172548</v>
      </c>
      <c r="Y25" s="7">
        <f>EXP(-Parameters!$B$55*A25)</f>
        <v>0.72825792569172154</v>
      </c>
      <c r="Z25" s="7">
        <f>IF(X25&gt;0,X25^(1-Parameters!$B$52)/(1-Parameters!$B$52)*Y25*Parameters!$B$65,-10+X25*1000)</f>
        <v>-2.0309623537102879</v>
      </c>
      <c r="AB25" s="9"/>
      <c r="AC25" s="23">
        <f t="shared" si="6"/>
        <v>1.2385516126026954</v>
      </c>
      <c r="AD25" s="23">
        <f t="shared" si="7"/>
        <v>23.528413723711715</v>
      </c>
      <c r="AE25" s="23">
        <f t="shared" si="8"/>
        <v>87.687570034843048</v>
      </c>
      <c r="AF25" s="23">
        <f t="shared" si="9"/>
        <v>41.044657711161548</v>
      </c>
      <c r="AG25" s="23">
        <f t="shared" si="10"/>
        <v>104.0325543249963</v>
      </c>
      <c r="AH25" s="23">
        <f t="shared" si="11"/>
        <v>163.10395207654068</v>
      </c>
      <c r="AI25" s="23">
        <f t="shared" si="12"/>
        <v>127.09369740414229</v>
      </c>
      <c r="AJ25" s="23"/>
      <c r="AK25" s="8">
        <f t="shared" si="1"/>
        <v>163.10395207654068</v>
      </c>
      <c r="AL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0.25810293336780538</v>
      </c>
      <c r="AM25" s="32">
        <f>((C26-C24)/2-(F26-F24)/F25/2*C25)/(F25/2/Parameters!$B$5-C25)-((D26-D24)/D25-(G26-G24)/G25)/(G25/2/Parameters!$B$5/D25-1)</f>
        <v>2.803374751574108E-2</v>
      </c>
      <c r="AN25" s="32">
        <f>+Parameters!$B$5*C25^2/F25^2-Parameters!$B$5*D25^2/G25^2</f>
        <v>-1.4327927845242247E-2</v>
      </c>
      <c r="AO25" s="30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0.68588981121620751</v>
      </c>
      <c r="AP25" s="30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81.345708395983067</v>
      </c>
      <c r="AQ25" s="8">
        <f>1000*(AL25+AM25+AN25)/(EXP(-Parameters!$B$42*A25)*((C25&lt;0)*Parameters!$B$37*EXP(-Parameters!$B$38*AD25)+(C25&gt;=0)*Parameters!$B$41))</f>
        <v>357.41180416689144</v>
      </c>
      <c r="AR25" s="13">
        <f>1-W25/'6states,ExoDamages'!T25</f>
        <v>7.8084845578766493E-2</v>
      </c>
      <c r="AS25" s="21">
        <f>-Y25*W25*X25^(-Parameters!B$52)*Parameters!B$46*Parameters!B$45*N25</f>
        <v>-1.8849348353221552E-5</v>
      </c>
      <c r="AT25" s="7">
        <f>1000*EXP(-(Parameters!$B$54)*'6states'!A25)*AK25*Parameters!B$46*Parameters!B$45*N25</f>
        <v>1.612619751420759</v>
      </c>
      <c r="AU25" s="7">
        <f>SUM(AT25:AT$204)*EXP(Parameters!$B$54*A25)</f>
        <v>272.24971861895187</v>
      </c>
      <c r="AV25" s="13">
        <f t="shared" si="23"/>
        <v>0.21946543721139083</v>
      </c>
      <c r="AW25" s="30"/>
      <c r="AX25" s="30"/>
      <c r="AY25" s="30"/>
      <c r="AZ25" s="5">
        <f t="shared" si="3"/>
        <v>-1.8107103180099037E-3</v>
      </c>
      <c r="BA25" s="2">
        <f>AZ25/Parameters!$B$45</f>
        <v>-3.0178505300165064</v>
      </c>
      <c r="BB25" s="2">
        <f t="shared" si="18"/>
        <v>7.9296647627535854E-4</v>
      </c>
      <c r="BE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-0.53038557940076347</v>
      </c>
      <c r="BF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-62.903093140960657</v>
      </c>
      <c r="BG25" s="7">
        <f t="shared" si="4"/>
        <v>5.0008210363450406E-2</v>
      </c>
      <c r="BH25" s="7">
        <f t="shared" si="5"/>
        <v>-1.216275390616971</v>
      </c>
      <c r="BM25">
        <f>EXP(-Parameters!$B$56*A25)*AZ25*BF25</f>
        <v>2.2138419701678159E-2</v>
      </c>
      <c r="BN25">
        <f>-EXP((Parameters!$B$56)*F25)*SUM(BM25:BM33)</f>
        <v>-0.16609666231968551</v>
      </c>
      <c r="BO25">
        <f>X25^-Parameters!B$52/(1-2*Parameters!B$5*'6states'!D25/'6states'!G25)</f>
        <v>1.1979210875384987</v>
      </c>
      <c r="BP25">
        <f t="shared" si="14"/>
        <v>0.98906089944523856</v>
      </c>
      <c r="BQ25">
        <f>$X25^-Parameters!$B$52/(1-2*Parameters!$B$5*'6states'!$E25/'6states'!$H25)</f>
        <v>1.0348623192597826</v>
      </c>
      <c r="BR25">
        <f t="shared" si="21"/>
        <v>1.0048164025809279</v>
      </c>
      <c r="BS25" s="7">
        <f>($X25^-Parameters!$B$52*(1/(1+EXP(-C25)) + IF(C25&lt;0,2*Parameters!$B$6*C25/F25,0)) + BK25*(1/(1+EXP((C25-Parameters!$B$22)*Parameters!$B$21))))/(1-IF(C25&gt;0,2*Parameters!$B$5*C25/F25,0))</f>
        <v>0.46073688791158002</v>
      </c>
      <c r="BT25">
        <f t="shared" si="22"/>
        <v>1.0045135682797062</v>
      </c>
      <c r="BU25" s="7">
        <f t="shared" si="19"/>
        <v>2.0702233083119692E-3</v>
      </c>
      <c r="BV25">
        <f>(1/$T25-1/Parameters!$B$13) * LN(Parameters!$B$18) / LN(P25)</f>
        <v>0.23453475647551475</v>
      </c>
      <c r="BW25">
        <f>(Parameters!$B$18*'6states'!T25^+Parameters!$B$19*Parameters!$B$25^'6states'!T25)^((1-'6states'!T25)/'6states'!T25)*Parameters!$B$18*Parameters!$B$26^('6states'!T25-1)</f>
        <v>0.24995741126719956</v>
      </c>
      <c r="BX25">
        <f t="shared" si="15"/>
        <v>0.26195443031057419</v>
      </c>
      <c r="BY25">
        <f t="shared" si="20"/>
        <v>0.15004094835569459</v>
      </c>
      <c r="BZ25">
        <f t="shared" si="20"/>
        <v>0.15907876089901862</v>
      </c>
    </row>
    <row r="26" spans="1:78" x14ac:dyDescent="0.25">
      <c r="A26">
        <f>A25+Parameters!$B$65</f>
        <v>22</v>
      </c>
      <c r="B26">
        <v>2047</v>
      </c>
      <c r="C26" s="74">
        <v>1.0000000006230919E-3</v>
      </c>
      <c r="D26" s="69">
        <v>8.850150681021518E-2</v>
      </c>
      <c r="E26" s="75">
        <v>0.21366764002399902</v>
      </c>
      <c r="F26" s="7">
        <f>MAX((1-Parameters!$B$4)^Parameters!B$65*F25 + C25*Parameters!B$65 - IF(C25&gt;0,Parameters!$B$5,0)*C25^2/F25*Parameters!B$65, 0.0001)</f>
        <v>0.18699351968221395</v>
      </c>
      <c r="G26" s="7">
        <f>(1-Parameters!$B$4)^Parameters!B$65*G25+D25*Parameters!B$65-Parameters!$B$5*D25^2/G25*Parameters!B$65</f>
        <v>0.77083587688820121</v>
      </c>
      <c r="H26" s="7">
        <f>(1-Parameters!$B$4)^Parameters!B$65*H25+E25*Parameters!B$65-Parameters!$B$5*E25^2/H25*Parameters!B$65</f>
        <v>3.5168690372232505</v>
      </c>
      <c r="I26" s="9">
        <f>I25 *(1-Parameters!$B$4)-C25*(C25&lt;0)*Parameters!B$65</f>
        <v>9.7863276716126536E-3</v>
      </c>
      <c r="J26" s="23">
        <f>J25*(1+Parameters!$B$51)^Parameters!B$65</f>
        <v>8.6967712617582027</v>
      </c>
      <c r="K26" s="23">
        <f>K25*(1+Parameters!$B$53)^Parameters!B$65</f>
        <v>13.950187647846597</v>
      </c>
      <c r="L26" s="23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14.782074680283431</v>
      </c>
      <c r="M26" s="8">
        <f>M25+L26*Parameters!B$65</f>
        <v>2870.3164647232925</v>
      </c>
      <c r="N26" s="7">
        <f>M26*Parameters!$B$45</f>
        <v>1.7221898788339753</v>
      </c>
      <c r="O26" s="9">
        <f>EXP(-Parameters!$B$46/2*N26^2)</f>
        <v>0.9706321907977673</v>
      </c>
      <c r="P26" s="8">
        <f>MAX((Parameters!$B$62 + Parameters!$B$31*'6states'!A26 - '6states'!M26 + Parameters!$B$47/Parameters!$B$45)/Parameters!B$62,1)</f>
        <v>13.001670705534153</v>
      </c>
      <c r="Q26" s="7">
        <f>Parameters!B$61*EXP(-Parameters!B$60*A26)</f>
        <v>0.2760572021534653</v>
      </c>
      <c r="R26" s="7">
        <f>(1-Parameters!B$61)*P26^-Parameters!B$63</f>
        <v>0.38687448486927439</v>
      </c>
      <c r="S26" s="7">
        <f>Parameters!B$61*EXP(-Parameters!B$60*A26)+(1-Parameters!B$61)*P26^-Parameters!B$63</f>
        <v>0.66293168702273975</v>
      </c>
      <c r="T26" s="7">
        <f>1-S26/Parameters!$B$12</f>
        <v>0.66853415648863013</v>
      </c>
      <c r="U26" s="7">
        <f t="shared" si="0"/>
        <v>3.0169021019075175</v>
      </c>
      <c r="V26" s="7">
        <f>(Parameters!$B$19*(F26+Parameters!$B$20)^T26+Parameters!$B$18*G26^T26)^(1/T26)</f>
        <v>0.34432915071198528</v>
      </c>
      <c r="W26" s="7">
        <f>(Parameters!$B$10*H26^Parameters!$B$9+Parameters!$B$11*V26^Parameters!$B$9)^(Parameters!$B$7/Parameters!$B$9)*O26</f>
        <v>1.372333611781398</v>
      </c>
      <c r="X26" s="7">
        <f>W26 - D26 - E26 - LN(1+EXP(Parameters!$B$21*C26))/Parameters!$B$21 - IF(C26&gt;0, 0,Parameters!$B$6*C26^2/F26)</f>
        <v>1.0673166141319308</v>
      </c>
      <c r="Y26" s="7">
        <f>EXP(-Parameters!$B$55*A26)</f>
        <v>0.71734383973866223</v>
      </c>
      <c r="Z26" s="7">
        <f>IF(X26&gt;0,X26^(1-Parameters!$B$52)/(1-Parameters!$B$52)*Y26*Parameters!$B$65,-10+X26*1000)</f>
        <v>-2.0033493263211462</v>
      </c>
      <c r="AB26" s="9"/>
      <c r="AC26" s="23">
        <f t="shared" si="6"/>
        <v>1.1872928434798162</v>
      </c>
      <c r="AD26" s="23">
        <f t="shared" si="7"/>
        <v>22.68635132050607</v>
      </c>
      <c r="AE26" s="23">
        <f t="shared" si="8"/>
        <v>93.519035008566817</v>
      </c>
      <c r="AF26" s="23">
        <f t="shared" si="9"/>
        <v>41.774560403050081</v>
      </c>
      <c r="AG26" s="23">
        <f t="shared" si="10"/>
        <v>105.88257929000424</v>
      </c>
      <c r="AH26" s="23">
        <f t="shared" si="11"/>
        <v>166.49369720790943</v>
      </c>
      <c r="AI26" s="23">
        <f t="shared" si="12"/>
        <v>129.48854976129465</v>
      </c>
      <c r="AJ26" s="23"/>
      <c r="AK26" s="8">
        <f t="shared" si="1"/>
        <v>166.49369720790941</v>
      </c>
      <c r="AL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0.26263416255422573</v>
      </c>
      <c r="AM26" s="32">
        <f>((C27-C25)/2-(F27-F25)/F26/2*C26)/(F26/2/Parameters!$B$5-C26)-((D27-D25)/D26-(G27-G25)/G26)/(G26/2/Parameters!$B$5/D26-1)</f>
        <v>2.4174519701070967E-2</v>
      </c>
      <c r="AN26" s="32">
        <f>+Parameters!$B$5*C26^2/F26^2-Parameters!$B$5*D26^2/G26^2</f>
        <v>-1.3153285409637117E-2</v>
      </c>
      <c r="AO26" s="30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0.67940735085452064</v>
      </c>
      <c r="AP26" s="30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82.42678076445678</v>
      </c>
      <c r="AQ26" s="8">
        <f>1000*(AL26+AM26+AN26)/(EXP(-Parameters!$B$42*A26)*((C26&lt;0)*Parameters!$B$37*EXP(-Parameters!$B$38*AD26)+(C26&gt;=0)*Parameters!$B$41))</f>
        <v>363.4564796716698</v>
      </c>
      <c r="AR26" s="13">
        <f>1-W26/'6states,ExoDamages'!T26</f>
        <v>7.9693105056500402E-2</v>
      </c>
      <c r="AS26" s="21">
        <f>-Y26*W26*X26^(-Parameters!B$52)*Parameters!B$46*Parameters!B$45*N26</f>
        <v>-1.8724899681300121E-5</v>
      </c>
      <c r="AT26" s="7">
        <f>1000*EXP(-(Parameters!$B$54)*'6states'!A26)*AK26*Parameters!B$46*Parameters!B$45*N26</f>
        <v>1.5975848702804654</v>
      </c>
      <c r="AU26" s="7">
        <f>SUM(AT26:AT$204)*EXP(Parameters!$B$54*A26)</f>
        <v>278.48481795030682</v>
      </c>
      <c r="AV26" s="13">
        <f t="shared" si="23"/>
        <v>0.22091504881331273</v>
      </c>
      <c r="AW26" s="30"/>
      <c r="AX26" s="30"/>
      <c r="AY26" s="30"/>
      <c r="AZ26" s="5">
        <f t="shared" si="3"/>
        <v>-1.811982929055065E-3</v>
      </c>
      <c r="BA26" s="2">
        <f>AZ26/Parameters!$B$45</f>
        <v>-3.0199715484251088</v>
      </c>
      <c r="BB26" s="2">
        <f t="shared" si="18"/>
        <v>7.0233059305091494E-4</v>
      </c>
      <c r="BE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-0.5316288853275507</v>
      </c>
      <c r="BF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-64.498062206468077</v>
      </c>
      <c r="BG26" s="7">
        <f t="shared" si="4"/>
        <v>4.9732367430979953E-2</v>
      </c>
      <c r="BM26">
        <f>EXP(-Parameters!$B$56*A26)*AZ26*BF26</f>
        <v>2.1011228106278375E-2</v>
      </c>
      <c r="BN26">
        <f>-EXP((Parameters!$B$56)*F26)*SUM(BM26:BM34)</f>
        <v>-0.15790131749020217</v>
      </c>
      <c r="BO26">
        <f>X26^-Parameters!B$52/(1-2*Parameters!B$5*'6states'!D26/'6states'!G26)</f>
        <v>1.1887807866432769</v>
      </c>
      <c r="BP26">
        <f t="shared" si="14"/>
        <v>0.99236986393318827</v>
      </c>
      <c r="BQ26">
        <f>$X26^-Parameters!$B$52/(1-2*Parameters!$B$5*'6states'!$E26/'6states'!$H26)</f>
        <v>1.0424790526034793</v>
      </c>
      <c r="BR26">
        <f t="shared" si="21"/>
        <v>1.0073601417328102</v>
      </c>
      <c r="BS26" s="7">
        <f>($X26^-Parameters!$B$52*(1/(1+EXP(-C26)) + IF(C26&lt;0,2*Parameters!$B$6*C26/F26,0)) + BK26*(1/(1+EXP((C26-Parameters!$B$22)*Parameters!$B$21))))/(1-IF(C26&gt;0,2*Parameters!$B$5*C26/F26,0))</f>
        <v>0.46308554390393808</v>
      </c>
      <c r="BT26">
        <f t="shared" si="22"/>
        <v>1.0050976078841962</v>
      </c>
      <c r="BU26" s="7">
        <f t="shared" si="19"/>
        <v>2.3486559923580619E-3</v>
      </c>
      <c r="BV26">
        <f>(1/$T26-1/Parameters!$B$13) * LN(Parameters!$B$18) / LN(P26)</f>
        <v>0.23415704803080989</v>
      </c>
      <c r="BW26">
        <f>(Parameters!$B$18*'6states'!T26^+Parameters!$B$19*Parameters!$B$25^'6states'!T26)^((1-'6states'!T26)/'6states'!T26)*Parameters!$B$18*Parameters!$B$26^('6states'!T26-1)</f>
        <v>0.25270187631275115</v>
      </c>
      <c r="BX26">
        <f t="shared" si="15"/>
        <v>0.25999070973682176</v>
      </c>
      <c r="BY26">
        <f t="shared" si="20"/>
        <v>0.14981839353229576</v>
      </c>
      <c r="BZ26">
        <f t="shared" si="20"/>
        <v>0.16067694007941202</v>
      </c>
    </row>
    <row r="27" spans="1:78" x14ac:dyDescent="0.25">
      <c r="A27">
        <f>A26+Parameters!$B$65</f>
        <v>23</v>
      </c>
      <c r="B27">
        <v>2048</v>
      </c>
      <c r="C27" s="74">
        <v>1.0000000006230919E-3</v>
      </c>
      <c r="D27" s="69">
        <v>8.850150681021518E-2</v>
      </c>
      <c r="E27" s="75">
        <v>0.21366764002399902</v>
      </c>
      <c r="F27" s="7">
        <f>MAX((1-Parameters!$B$4)^Parameters!B$65*F26 + C26*Parameters!B$65 - IF(C26&gt;0,Parameters!$B$5,0)*C26^2/F26*Parameters!B$65, 0.0001)</f>
        <v>0.17622627951591374</v>
      </c>
      <c r="G27" s="7">
        <f>(1-Parameters!$B$4)^Parameters!B$65*G26+D26*Parameters!B$65-Parameters!$B$5*D26^2/G26*Parameters!B$65</f>
        <v>0.8006907378151974</v>
      </c>
      <c r="H27" s="7">
        <f>(1-Parameters!$B$4)^Parameters!B$65*H26+E26*Parameters!B$65-Parameters!$B$5*E26^2/H26*Parameters!B$65</f>
        <v>3.4963442214386209</v>
      </c>
      <c r="I27" s="9">
        <f>I26 *(1-Parameters!$B$4)-C26*(C26&lt;0)*Parameters!B$65</f>
        <v>9.1707676610682173E-3</v>
      </c>
      <c r="J27" s="23">
        <f>J26*(1+Parameters!$B$51)^Parameters!B$65</f>
        <v>8.7219918984173006</v>
      </c>
      <c r="K27" s="23">
        <f>K26*(1+Parameters!$B$53)^Parameters!B$65</f>
        <v>14.229191400803529</v>
      </c>
      <c r="L27" s="23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14.112360094661158</v>
      </c>
      <c r="M27" s="8">
        <f>M26+L27*Parameters!B$65</f>
        <v>2884.4288248179537</v>
      </c>
      <c r="N27" s="7">
        <f>M27*Parameters!$B$45</f>
        <v>1.7306572948907721</v>
      </c>
      <c r="O27" s="9">
        <f>EXP(-Parameters!$B$46/2*N27^2)</f>
        <v>0.97034703303018799</v>
      </c>
      <c r="P27" s="8">
        <f>MAX((Parameters!$B$62 + Parameters!$B$31*'6states'!A27 - '6states'!M27 + Parameters!$B$47/Parameters!$B$45)/Parameters!B$62,1)</f>
        <v>13.783423503640929</v>
      </c>
      <c r="Q27" s="7">
        <f>Parameters!B$61*EXP(-Parameters!B$60*A27)</f>
        <v>0.26870338101983182</v>
      </c>
      <c r="R27" s="7">
        <f>(1-Parameters!B$61)*P27^-Parameters!B$63</f>
        <v>0.38462215274853057</v>
      </c>
      <c r="S27" s="7">
        <f>Parameters!B$61*EXP(-Parameters!B$60*A27)+(1-Parameters!B$61)*P27^-Parameters!B$63</f>
        <v>0.65332553376836233</v>
      </c>
      <c r="T27" s="7">
        <f>1-S27/Parameters!$B$12</f>
        <v>0.67333723311581883</v>
      </c>
      <c r="U27" s="7">
        <f t="shared" si="0"/>
        <v>3.0612610354658254</v>
      </c>
      <c r="V27" s="7">
        <f>(Parameters!$B$19*(F27+Parameters!$B$20)^T27+Parameters!$B$18*G27^T27)^(1/T27)</f>
        <v>0.34255679772761399</v>
      </c>
      <c r="W27" s="7">
        <f>(Parameters!$B$10*H27^Parameters!$B$9+Parameters!$B$11*V27^Parameters!$B$9)^(Parameters!$B$7/Parameters!$B$9)*O27</f>
        <v>1.3696196454861285</v>
      </c>
      <c r="X27" s="7">
        <f>W27 - D27 - E27 - LN(1+EXP(Parameters!$B$21*C27))/Parameters!$B$21 - IF(C27&gt;0, 0,Parameters!$B$6*C27^2/F27)</f>
        <v>1.0646026478366613</v>
      </c>
      <c r="Y27" s="7">
        <f>EXP(-Parameters!$B$55*A27)</f>
        <v>0.70659331846233153</v>
      </c>
      <c r="Z27" s="7">
        <f>IF(X27&gt;0,X27^(1-Parameters!$B$52)/(1-Parameters!$B$52)*Y27*Parameters!$B$65,-10+X27*1000)</f>
        <v>-1.9750852349863495</v>
      </c>
      <c r="AB27" s="9"/>
      <c r="AC27" s="23">
        <f t="shared" si="6"/>
        <v>1.138155472759117</v>
      </c>
      <c r="AD27" s="23">
        <f t="shared" si="7"/>
        <v>21.870895860385609</v>
      </c>
      <c r="AE27" s="23">
        <f t="shared" si="8"/>
        <v>99.371239018583111</v>
      </c>
      <c r="AF27" s="23">
        <f t="shared" si="9"/>
        <v>42.51365954015543</v>
      </c>
      <c r="AG27" s="23">
        <f t="shared" si="10"/>
        <v>107.75591373643967</v>
      </c>
      <c r="AH27" s="23">
        <f t="shared" si="11"/>
        <v>169.97923758618739</v>
      </c>
      <c r="AI27" s="23">
        <f t="shared" si="12"/>
        <v>132.12452596449327</v>
      </c>
      <c r="AJ27" s="23"/>
      <c r="AK27" s="8">
        <f t="shared" si="1"/>
        <v>169.97923758618742</v>
      </c>
      <c r="AL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0.26743167636392901</v>
      </c>
      <c r="AM27" s="32">
        <f>((C28-C26)/2-(F28-F26)/F27/2*C27)/(F27/2/Parameters!$B$5-C27)-((D28-D26)/D27-(G28-G26)/G27)/(G27/2/Parameters!$B$5/D27-1)</f>
        <v>2.1342880379782471E-2</v>
      </c>
      <c r="AN27" s="32">
        <f>+Parameters!$B$5*C27^2/F27^2-Parameters!$B$5*D27^2/G27^2</f>
        <v>-1.2185000834558707E-2</v>
      </c>
      <c r="AO27" s="30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0.67297699589146098</v>
      </c>
      <c r="AP27" s="30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83.521083427560896</v>
      </c>
      <c r="AQ27" s="8">
        <f>1000*(AL27+AM27+AN27)/(EXP(-Parameters!$B$42*A27)*((C27&lt;0)*Parameters!$B$37*EXP(-Parameters!$B$38*AD27)+(C27&gt;=0)*Parameters!$B$41))</f>
        <v>371.04545844203602</v>
      </c>
      <c r="AR27" s="13">
        <f>1-W27/'6states,ExoDamages'!T27</f>
        <v>8.1179285732414841E-2</v>
      </c>
      <c r="AS27" s="21">
        <f>-Y27*W27*X27^(-Parameters!B$52)*Parameters!B$46*Parameters!B$45*N27</f>
        <v>-1.8561997363093535E-5</v>
      </c>
      <c r="AT27" s="7">
        <f>1000*EXP(-(Parameters!$B$54)*'6states'!A27)*AK27*Parameters!B$46*Parameters!B$45*N27</f>
        <v>1.582516791396156</v>
      </c>
      <c r="AU27" s="7">
        <f>SUM(AT27:AT$204)*EXP(Parameters!$B$54*A27)</f>
        <v>284.85166738618631</v>
      </c>
      <c r="AV27" s="13">
        <f t="shared" si="23"/>
        <v>0.22135280246161437</v>
      </c>
      <c r="AW27" s="30"/>
      <c r="AX27" s="30"/>
      <c r="AY27" s="30"/>
      <c r="AZ27" s="5">
        <f t="shared" si="3"/>
        <v>-1.8130512399633775E-3</v>
      </c>
      <c r="BA27" s="2">
        <f>AZ27/Parameters!$B$45</f>
        <v>-3.0217520666056292</v>
      </c>
      <c r="BB27" s="2">
        <f t="shared" si="18"/>
        <v>5.892337098722944E-4</v>
      </c>
      <c r="BE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-0.53265982849115534</v>
      </c>
      <c r="BF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-66.106755870590305</v>
      </c>
      <c r="BG27" s="7">
        <f t="shared" si="4"/>
        <v>4.9465554067394106E-2</v>
      </c>
      <c r="BM27">
        <f>EXP(-Parameters!$B$56*A27)*AZ27*BF27</f>
        <v>1.9931116273258363E-2</v>
      </c>
      <c r="BN27">
        <f>-EXP((Parameters!$B$56)*F27)*SUM(BM27:BM35)</f>
        <v>-0.15028477861993111</v>
      </c>
      <c r="BO27">
        <f>X27^-Parameters!B$52/(1-2*Parameters!B$5*'6states'!D27/'6states'!G27)</f>
        <v>1.1797620637440835</v>
      </c>
      <c r="BP27">
        <f t="shared" si="14"/>
        <v>0.9924134684876097</v>
      </c>
      <c r="BQ27">
        <f>$X27^-Parameters!$B$52/(1-2*Parameters!$B$5*'6states'!$E27/'6states'!$H27)</f>
        <v>1.0469184360552672</v>
      </c>
      <c r="BR27">
        <f t="shared" si="21"/>
        <v>1.0042584869601947</v>
      </c>
      <c r="BS27" s="7">
        <f>($X27^-Parameters!$B$52*(1/(1+EXP(-C27)) + IF(C27&lt;0,2*Parameters!$B$6*C27/F27,0)) + BK27*(1/(1+EXP((C27-Parameters!$B$22)*Parameters!$B$21))))/(1-IF(C27&gt;0,2*Parameters!$B$5*C27/F27,0))</f>
        <v>0.46498712237015449</v>
      </c>
      <c r="BT27">
        <f t="shared" si="22"/>
        <v>1.0041063222362452</v>
      </c>
      <c r="BU27" s="7">
        <f t="shared" ref="BU27:BU39" si="24">BS27-BS26</f>
        <v>1.9015784662164137E-3</v>
      </c>
      <c r="BV27">
        <f>(1/$T27-1/Parameters!$B$13) * LN(Parameters!$B$18) / LN(P27)</f>
        <v>0.23379064796772883</v>
      </c>
      <c r="BW27">
        <f>(Parameters!$B$18*'6states'!T27^+Parameters!$B$19*Parameters!$B$25^'6states'!T27)^((1-'6states'!T27)/'6states'!T27)*Parameters!$B$18*Parameters!$B$26^('6states'!T27-1)</f>
        <v>0.25529700187170529</v>
      </c>
      <c r="BX27">
        <f t="shared" si="15"/>
        <v>0.2580987829466202</v>
      </c>
      <c r="BY27">
        <f t="shared" si="20"/>
        <v>0.14960244619394991</v>
      </c>
      <c r="BZ27">
        <f t="shared" si="20"/>
        <v>0.16218536064382139</v>
      </c>
    </row>
    <row r="28" spans="1:78" x14ac:dyDescent="0.25">
      <c r="A28">
        <f>A27+Parameters!$B$65</f>
        <v>24</v>
      </c>
      <c r="B28">
        <v>2049</v>
      </c>
      <c r="C28" s="74">
        <v>1.0000000006017821E-3</v>
      </c>
      <c r="D28" s="69">
        <v>8.8491819786169157E-2</v>
      </c>
      <c r="E28" s="75">
        <v>0.21481499378909105</v>
      </c>
      <c r="F28" s="7">
        <f>MAX((1-Parameters!$B$4)^Parameters!B$65*F27 + C27*Parameters!B$65 - IF(C27&gt;0,Parameters!$B$5,0)*C27^2/F27*Parameters!B$65, 0.0001)</f>
        <v>0.16613597201241187</v>
      </c>
      <c r="G28" s="7">
        <f>(1-Parameters!$B$4)^Parameters!B$65*G27+D27*Parameters!B$65-Parameters!$B$5*D27^2/G27*Parameters!B$65</f>
        <v>0.8290465975013126</v>
      </c>
      <c r="H28" s="7">
        <f>(1-Parameters!$B$4)^Parameters!B$65*H27+E27*Parameters!B$65-Parameters!$B$5*E27^2/H27*Parameters!B$65</f>
        <v>3.4770342110531374</v>
      </c>
      <c r="I28" s="9">
        <f>I27 *(1-Parameters!$B$4)-C27*(C27&lt;0)*Parameters!B$65</f>
        <v>8.5939263751870273E-3</v>
      </c>
      <c r="J28" s="23">
        <f>J27*(1+Parameters!$B$51)^Parameters!B$65</f>
        <v>8.7472856749227095</v>
      </c>
      <c r="K28" s="23">
        <f>K27*(1+Parameters!$B$53)^Parameters!B$65</f>
        <v>14.5137752288196</v>
      </c>
      <c r="L28" s="23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13.47782659162112</v>
      </c>
      <c r="M28" s="8">
        <f>M27+L28*Parameters!B$65</f>
        <v>2897.9066514095748</v>
      </c>
      <c r="N28" s="7">
        <f>M28*Parameters!$B$45</f>
        <v>1.7387439908457447</v>
      </c>
      <c r="O28" s="9">
        <f>EXP(-Parameters!$B$46/2*N28^2)</f>
        <v>0.97007346989781351</v>
      </c>
      <c r="P28" s="8">
        <f>MAX((Parameters!$B$62 + Parameters!$B$31*'6states'!A28 - '6states'!M28 + Parameters!$B$47/Parameters!$B$45)/Parameters!B$62,1)</f>
        <v>14.577866971808508</v>
      </c>
      <c r="Q28" s="7">
        <f>Parameters!B$61*EXP(-Parameters!B$60*A28)</f>
        <v>0.26154545655125039</v>
      </c>
      <c r="R28" s="7">
        <f>(1-Parameters!B$61)*P28^-Parameters!B$63</f>
        <v>0.38247284476095733</v>
      </c>
      <c r="S28" s="7">
        <f>Parameters!B$61*EXP(-Parameters!B$60*A28)+(1-Parameters!B$61)*P28^-Parameters!B$63</f>
        <v>0.64401830131220772</v>
      </c>
      <c r="T28" s="7">
        <f>1-S28/Parameters!$B$12</f>
        <v>0.6779908493438962</v>
      </c>
      <c r="U28" s="7">
        <f t="shared" si="0"/>
        <v>3.1055018093817162</v>
      </c>
      <c r="V28" s="7">
        <f>(Parameters!$B$19*(F28+Parameters!$B$20)^T28+Parameters!$B$18*G28^T28)^(1/T28)</f>
        <v>0.34086730600954229</v>
      </c>
      <c r="W28" s="7">
        <f>(Parameters!$B$10*H28^Parameters!$B$9+Parameters!$B$11*V28^Parameters!$B$9)^(Parameters!$B$7/Parameters!$B$9)*O28</f>
        <v>1.3670426325480505</v>
      </c>
      <c r="X28" s="7">
        <f>W28 - D28 - E28 - LN(1+EXP(Parameters!$B$21*C28))/Parameters!$B$21 - IF(C28&gt;0, 0,Parameters!$B$6*C28^2/F28)</f>
        <v>1.0608879681575496</v>
      </c>
      <c r="Y28" s="7">
        <f>EXP(-Parameters!$B$55*A28)</f>
        <v>0.69600391058979738</v>
      </c>
      <c r="Z28" s="7">
        <f>IF(X28&gt;0,X28^(1-Parameters!$B$52)/(1-Parameters!$B$52)*Y28*Parameters!$B$65,-10+X28*1000)</f>
        <v>-1.9478670090079813</v>
      </c>
      <c r="AB28" s="9"/>
      <c r="AC28" s="23">
        <f t="shared" si="6"/>
        <v>1.0910517041228596</v>
      </c>
      <c r="AD28" s="23">
        <f t="shared" si="7"/>
        <v>21.091981414176928</v>
      </c>
      <c r="AE28" s="23">
        <f t="shared" si="8"/>
        <v>105.25255436359036</v>
      </c>
      <c r="AF28" s="23">
        <f t="shared" si="9"/>
        <v>43.275196791918731</v>
      </c>
      <c r="AG28" s="23">
        <f t="shared" si="10"/>
        <v>109.68612024643403</v>
      </c>
      <c r="AH28" s="23">
        <f t="shared" si="11"/>
        <v>173.55445331211499</v>
      </c>
      <c r="AI28" s="23">
        <f t="shared" si="12"/>
        <v>134.68623944506885</v>
      </c>
      <c r="AJ28" s="23"/>
      <c r="AK28" s="8">
        <f t="shared" si="1"/>
        <v>173.55445331211499</v>
      </c>
      <c r="AL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0.27215935752610881</v>
      </c>
      <c r="AM28" s="32">
        <f>((C29-C27)/2-(F29-F27)/F28/2*C28)/(F28/2/Parameters!$B$5-C28)-((D29-D27)/D28-(G29-G27)/G28)/(G28/2/Parameters!$B$5/D28-1)</f>
        <v>1.846940171617175E-2</v>
      </c>
      <c r="AN28" s="32">
        <f>+Parameters!$B$5*C28^2/F28^2-Parameters!$B$5*D28^2/G28^2</f>
        <v>-1.1357039127358082E-2</v>
      </c>
      <c r="AO28" s="30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0.66662752867359731</v>
      </c>
      <c r="AP28" s="30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84.632456623612882</v>
      </c>
      <c r="AQ28" s="8">
        <f>1000*(AL28+AM28+AN28)/(EXP(-Parameters!$B$42*A28)*((C28&lt;0)*Parameters!$B$37*EXP(-Parameters!$B$38*AD28)+(C28&gt;=0)*Parameters!$B$41))</f>
        <v>378.40881789247641</v>
      </c>
      <c r="AR28" s="13">
        <f>1-W28/'6states,ExoDamages'!T28</f>
        <v>8.259154794602408E-2</v>
      </c>
      <c r="AS28" s="21">
        <f>-Y28*W28*X28^(-Parameters!B$52)*Parameters!B$46*Parameters!B$45*N28</f>
        <v>-1.8421408401102232E-5</v>
      </c>
      <c r="AT28" s="7">
        <f>1000*EXP(-(Parameters!$B$54)*'6states'!A28)*AK28*Parameters!B$46*Parameters!B$45*N28</f>
        <v>1.5673610145428245</v>
      </c>
      <c r="AU28" s="7">
        <f>SUM(AT28:AT$204)*EXP(Parameters!$B$54*A28)</f>
        <v>291.35300424813704</v>
      </c>
      <c r="AV28" s="13">
        <f t="shared" si="23"/>
        <v>0.22260228491093956</v>
      </c>
      <c r="AW28" s="30"/>
      <c r="AX28" s="30"/>
      <c r="AY28" s="30"/>
      <c r="AZ28" s="5">
        <f t="shared" si="3"/>
        <v>-1.8139666683122536E-3</v>
      </c>
      <c r="BA28" s="2">
        <f>AZ28/Parameters!$B$45</f>
        <v>-3.0232777805204227</v>
      </c>
      <c r="BB28" s="2">
        <f t="shared" si="18"/>
        <v>5.0465555121137484E-4</v>
      </c>
      <c r="BE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-0.53404330073387429</v>
      </c>
      <c r="BF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-67.800075065037987</v>
      </c>
      <c r="BG28" s="7">
        <f t="shared" si="4"/>
        <v>4.9184063257012481E-2</v>
      </c>
      <c r="BM28">
        <f>EXP(-Parameters!$B$56*A28)*AZ28*BF28</f>
        <v>1.891734599982807E-2</v>
      </c>
      <c r="BN28">
        <f>-EXP((Parameters!$B$56)*F28)*SUM(BM28:BM36)</f>
        <v>-0.14323349877451455</v>
      </c>
      <c r="BO28">
        <f>X28^-Parameters!B$52/(1-2*Parameters!B$5*'6states'!D28/'6states'!G28)</f>
        <v>1.1739120325901029</v>
      </c>
      <c r="BP28">
        <f t="shared" si="14"/>
        <v>0.99504134661237109</v>
      </c>
      <c r="BQ28">
        <f>$X28^-Parameters!$B$52/(1-2*Parameters!$B$5*'6states'!$E28/'6states'!$H28)</f>
        <v>1.0534769587197106</v>
      </c>
      <c r="BR28">
        <f t="shared" si="21"/>
        <v>1.006264597545111</v>
      </c>
      <c r="BS28" s="7">
        <f>($X28^-Parameters!$B$52*(1/(1+EXP(-C28)) + IF(C28&lt;0,2*Parameters!$B$6*C28/F28,0)) + BK28*(1/(1+EXP((C28-Parameters!$B$22)*Parameters!$B$21))))/(1-IF(C28&gt;0,2*Parameters!$B$5*C28/F28,0))</f>
        <v>0.46751241179356073</v>
      </c>
      <c r="BT28">
        <f t="shared" si="22"/>
        <v>1.0054308803446732</v>
      </c>
      <c r="BU28" s="7">
        <f t="shared" si="24"/>
        <v>2.5252894234062406E-3</v>
      </c>
      <c r="BV28">
        <f>(1/$T28-1/Parameters!$B$13) * LN(Parameters!$B$18) / LN(P28)</f>
        <v>0.23343330683837388</v>
      </c>
      <c r="BW28">
        <f>(Parameters!$B$18*'6states'!T28^+Parameters!$B$19*Parameters!$B$25^'6states'!T28)^((1-'6states'!T28)/'6states'!T28)*Parameters!$B$18*Parameters!$B$26^('6states'!T28-1)</f>
        <v>0.25775216340375767</v>
      </c>
      <c r="BX28">
        <f t="shared" si="15"/>
        <v>0.25627294621593011</v>
      </c>
      <c r="BY28">
        <f t="shared" si="20"/>
        <v>0.14939178513874418</v>
      </c>
      <c r="BZ28">
        <f t="shared" si="20"/>
        <v>0.16360993128679158</v>
      </c>
    </row>
    <row r="29" spans="1:78" x14ac:dyDescent="0.25">
      <c r="A29">
        <f>A28+Parameters!$B$65</f>
        <v>25</v>
      </c>
      <c r="B29">
        <v>2050</v>
      </c>
      <c r="C29" s="74">
        <v>1.027336265637579E-3</v>
      </c>
      <c r="D29" s="69">
        <v>8.866578663160303E-2</v>
      </c>
      <c r="E29" s="75">
        <v>0.21500934810506828</v>
      </c>
      <c r="F29" s="7">
        <f>MAX((1-Parameters!$B$4)^Parameters!B$65*F28 + C28*Parameters!B$65 - IF(C28&gt;0,Parameters!$B$5,0)*C28^2/F28*Parameters!B$65, 0.0001)</f>
        <v>0.15668000020739026</v>
      </c>
      <c r="G29" s="7">
        <f>(1-Parameters!$B$4)^Parameters!B$65*G28+D28*Parameters!B$65-Parameters!$B$5*D28^2/G28*Parameters!B$65</f>
        <v>0.85594583500190058</v>
      </c>
      <c r="H29" s="7">
        <f>(1-Parameters!$B$4)^Parameters!B$65*H28+E28*Parameters!B$65-Parameters!$B$5*E28^2/H28*Parameters!B$65</f>
        <v>3.4598722466326755</v>
      </c>
      <c r="I29" s="9">
        <f>I28 *(1-Parameters!$B$4)-C28*(C28&lt;0)*Parameters!B$65</f>
        <v>8.053368406187764E-3</v>
      </c>
      <c r="J29" s="23">
        <f>J28*(1+Parameters!$B$51)^Parameters!B$65</f>
        <v>8.7726528033799838</v>
      </c>
      <c r="K29" s="23">
        <f>K28*(1+Parameters!$B$53)^Parameters!B$65</f>
        <v>14.804050733395993</v>
      </c>
      <c r="L29" s="23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12.876697626906463</v>
      </c>
      <c r="M29" s="8">
        <f>M28+L29*Parameters!B$65</f>
        <v>2910.7833490364815</v>
      </c>
      <c r="N29" s="7">
        <f>M29*Parameters!$B$45</f>
        <v>1.7464700094218888</v>
      </c>
      <c r="O29" s="9">
        <f>EXP(-Parameters!$B$46/2*N29^2)</f>
        <v>0.96981098934911403</v>
      </c>
      <c r="P29" s="8">
        <f>MAX((Parameters!$B$62 + Parameters!$B$31*'6states'!A29 - '6states'!M29 + Parameters!$B$47/Parameters!$B$45)/Parameters!B$62,1)</f>
        <v>15.38433301927037</v>
      </c>
      <c r="Q29" s="7">
        <f>Parameters!B$61*EXP(-Parameters!B$60*A29)</f>
        <v>0.25457821030377459</v>
      </c>
      <c r="R29" s="7">
        <f>(1-Parameters!B$61)*P29^-Parameters!B$63</f>
        <v>0.38041894524152642</v>
      </c>
      <c r="S29" s="7">
        <f>Parameters!B$61*EXP(-Parameters!B$60*A29)+(1-Parameters!B$61)*P29^-Parameters!B$63</f>
        <v>0.63499715554530101</v>
      </c>
      <c r="T29" s="7">
        <f>1-S29/Parameters!$B$12</f>
        <v>0.68250142222734955</v>
      </c>
      <c r="U29" s="7">
        <f t="shared" si="0"/>
        <v>3.149620407799322</v>
      </c>
      <c r="V29" s="7">
        <f>(Parameters!$B$19*(F29+Parameters!$B$20)^T29+Parameters!$B$18*G29^T29)^(1/T29)</f>
        <v>0.33926432476016816</v>
      </c>
      <c r="W29" s="7">
        <f>(Parameters!$B$10*H29^Parameters!$B$9+Parameters!$B$11*V29^Parameters!$B$9)^(Parameters!$B$7/Parameters!$B$9)*O29</f>
        <v>1.3646778593404414</v>
      </c>
      <c r="X29" s="7">
        <f>W29 - D29 - E29 - LN(1+EXP(Parameters!$B$21*C29))/Parameters!$B$21 - IF(C29&gt;0, 0,Parameters!$B$6*C29^2/F29)</f>
        <v>1.0581391432853595</v>
      </c>
      <c r="Y29" s="7">
        <f>EXP(-Parameters!$B$55*A29)</f>
        <v>0.68557320158429325</v>
      </c>
      <c r="Z29" s="7">
        <f>IF(X29&gt;0,X29^(1-Parameters!$B$52)/(1-Parameters!$B$52)*Y29*Parameters!$B$65,-10+X29*1000)</f>
        <v>-1.9204182107797469</v>
      </c>
      <c r="AB29" s="9"/>
      <c r="AC29" s="23">
        <f t="shared" si="6"/>
        <v>1.0458973747968217</v>
      </c>
      <c r="AD29" s="23">
        <f t="shared" si="7"/>
        <v>20.348156527170094</v>
      </c>
      <c r="AE29" s="23">
        <f t="shared" si="8"/>
        <v>111.16236792407446</v>
      </c>
      <c r="AF29" s="23">
        <f t="shared" si="9"/>
        <v>44.060528307166493</v>
      </c>
      <c r="AG29" s="23">
        <f t="shared" si="10"/>
        <v>111.67663614007557</v>
      </c>
      <c r="AH29" s="23">
        <f t="shared" si="11"/>
        <v>177.23180146966149</v>
      </c>
      <c r="AI29" s="23">
        <f t="shared" si="12"/>
        <v>137.42137405282298</v>
      </c>
      <c r="AJ29" s="23"/>
      <c r="AK29" s="8">
        <f t="shared" si="1"/>
        <v>177.23180146966149</v>
      </c>
      <c r="AL29" s="32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0.27693535874149899</v>
      </c>
      <c r="AM29" s="32">
        <f>((C30-C28)/2-(F30-F28)/F29/2*C29)/(F29/2/Parameters!$B$5-C29)-((D30-D28)/D29-(G30-G28)/G29)/(G29/2/Parameters!$B$5/D29-1)</f>
        <v>1.6181920260076043E-2</v>
      </c>
      <c r="AN29" s="32">
        <f>+Parameters!$B$5*C29^2/F29^2-Parameters!$B$5*D29^2/G29^2</f>
        <v>-1.0687497524344355E-2</v>
      </c>
      <c r="AO29" s="30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0.66035887467519816</v>
      </c>
      <c r="AP29" s="30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85.761333470837158</v>
      </c>
      <c r="AQ29" s="8">
        <f>1000*(AL29+AM29+AN29)/(EXP(-Parameters!$B$42*A29)*((C29&lt;0)*Parameters!$B$37*EXP(-Parameters!$B$38*AD29)+(C29&gt;=0)*Parameters!$B$41))</f>
        <v>386.53401945746401</v>
      </c>
      <c r="AR29" s="13">
        <f>1-W29/'6states,ExoDamages'!T29</f>
        <v>8.3878292492545525E-2</v>
      </c>
      <c r="AS29" s="21">
        <f>-Y29*W29*X29^(-Parameters!B$52)*Parameters!B$46*Parameters!B$45*N29</f>
        <v>-1.8258271690429496E-5</v>
      </c>
      <c r="AT29" s="7">
        <f>1000*EXP(-(Parameters!$B$54)*'6states'!A29)*AK29*Parameters!B$46*Parameters!B$45*N29</f>
        <v>1.5522321848612679</v>
      </c>
      <c r="AU29" s="7">
        <f>SUM(AT29:AT$204)*EXP(Parameters!$B$54*A29)</f>
        <v>297.99177288435106</v>
      </c>
      <c r="AV29" s="13">
        <f t="shared" si="23"/>
        <v>0.22327794718496702</v>
      </c>
      <c r="AW29" s="30"/>
      <c r="AX29" s="30"/>
      <c r="AY29" s="30"/>
      <c r="AZ29" s="5">
        <f t="shared" si="3"/>
        <v>-1.8146953287391672E-3</v>
      </c>
      <c r="BA29" s="2">
        <f>AZ29/Parameters!$B$45</f>
        <v>-3.0244922145652788</v>
      </c>
      <c r="BB29" s="2">
        <f t="shared" si="18"/>
        <v>4.0153320250180258E-4</v>
      </c>
      <c r="BE29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-0.53579646779324874</v>
      </c>
      <c r="BF29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-69.584314391950258</v>
      </c>
      <c r="BG29" s="7">
        <f t="shared" si="4"/>
        <v>4.8887292683723896E-2</v>
      </c>
      <c r="BM29">
        <f>EXP(-Parameters!$B$56*A29)*AZ29*BF29</f>
        <v>1.7965563105879684E-2</v>
      </c>
      <c r="BN29">
        <f>-EXP((Parameters!$B$56)*F29)*SUM(BM29:BM37)</f>
        <v>-0.13669438261289846</v>
      </c>
      <c r="BO29">
        <f>X29^-Parameters!B$52/(1-2*Parameters!B$5*'6states'!D29/'6states'!G29)</f>
        <v>1.168666370589126</v>
      </c>
      <c r="BP29">
        <f t="shared" si="14"/>
        <v>0.99553146926230673</v>
      </c>
      <c r="BQ29">
        <f>$X29^-Parameters!$B$52/(1-2*Parameters!$B$5*'6states'!$E29/'6states'!$H29)</f>
        <v>1.0580487353630179</v>
      </c>
      <c r="BR29">
        <f t="shared" si="21"/>
        <v>1.0043397025492264</v>
      </c>
      <c r="BS29" s="7">
        <f>($X29^-Parameters!$B$52*(1/(1+EXP(-C29)) + IF(C29&lt;0,2*Parameters!$B$6*C29/F29,0)) + BK29*(1/(1+EXP((C29-Parameters!$B$22)*Parameters!$B$21))))/(1-IF(C29&gt;0,2*Parameters!$B$5*C29/F29,0))</f>
        <v>0.46967041809559396</v>
      </c>
      <c r="BT29">
        <f t="shared" si="22"/>
        <v>1.0046159337112661</v>
      </c>
      <c r="BU29" s="7">
        <f>BS29-BS28</f>
        <v>2.1580063020332219E-3</v>
      </c>
      <c r="BV29">
        <f>(1/$T29-1/Parameters!$B$13) * LN(Parameters!$B$18) / LN(P29)</f>
        <v>0.23308319263343688</v>
      </c>
      <c r="BW29">
        <f>(Parameters!$B$18*'6states'!T29^+Parameters!$B$19*Parameters!$B$25^'6states'!T29)^((1-'6states'!T29)/'6states'!T29)*Parameters!$B$18*Parameters!$B$26^('6states'!T29-1)</f>
        <v>0.26007604816707297</v>
      </c>
      <c r="BX29">
        <f t="shared" si="15"/>
        <v>0.25450825696978985</v>
      </c>
      <c r="BY29">
        <f t="shared" si="20"/>
        <v>0.14918533391398159</v>
      </c>
      <c r="BZ29">
        <f t="shared" si="20"/>
        <v>0.16495609904403163</v>
      </c>
    </row>
    <row r="30" spans="1:78" x14ac:dyDescent="0.25">
      <c r="A30">
        <f>A29+Parameters!$B$65</f>
        <v>26</v>
      </c>
      <c r="B30">
        <v>2051</v>
      </c>
      <c r="C30" s="74">
        <v>1.0000000008626524E-3</v>
      </c>
      <c r="D30" s="69">
        <v>8.8707003582360736E-2</v>
      </c>
      <c r="E30" s="75">
        <v>0.21540722127360373</v>
      </c>
      <c r="F30" s="7">
        <f>MAX((1-Parameters!$B$4)^Parameters!B$65*F29 + C29*Parameters!B$65 - IF(C29&gt;0,Parameters!$B$5,0)*C29^2/F29*Parameters!B$65, 0.0001)</f>
        <v>0.14784542831113634</v>
      </c>
      <c r="G30" s="7">
        <f>(1-Parameters!$B$4)^Parameters!B$65*G29+D29*Parameters!B$65-Parameters!$B$5*D29^2/G29*Parameters!B$65</f>
        <v>0.88158790990946356</v>
      </c>
      <c r="H30" s="7">
        <f>(1-Parameters!$B$4)^Parameters!B$65*H29+E29*Parameters!B$65-Parameters!$B$5*E29^2/H29*Parameters!B$65</f>
        <v>3.4438941487058061</v>
      </c>
      <c r="I30" s="9">
        <f>I29 *(1-Parameters!$B$4)-C29*(C29&lt;0)*Parameters!B$65</f>
        <v>7.5468115334385542E-3</v>
      </c>
      <c r="J30" s="23">
        <f>J29*(1+Parameters!$B$51)^Parameters!B$65</f>
        <v>8.7980934965097841</v>
      </c>
      <c r="K30" s="23">
        <f>K29*(1+Parameters!$B$53)^Parameters!B$65</f>
        <v>15.100131748063912</v>
      </c>
      <c r="L30" s="23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12.309632448693355</v>
      </c>
      <c r="M30" s="8">
        <f>M29+L30*Parameters!B$65</f>
        <v>2923.0929814851747</v>
      </c>
      <c r="N30" s="7">
        <f>M30*Parameters!$B$45</f>
        <v>1.7538557888911046</v>
      </c>
      <c r="O30" s="9">
        <f>EXP(-Parameters!$B$46/2*N30^2)</f>
        <v>0.96955904678220328</v>
      </c>
      <c r="P30" s="8">
        <f>MAX((Parameters!$B$62 + Parameters!$B$31*'6states'!A30 - '6states'!M30 + Parameters!$B$47/Parameters!$B$45)/Parameters!B$62,1)</f>
        <v>16.202140370296505</v>
      </c>
      <c r="Q30" s="7">
        <f>Parameters!B$61*EXP(-Parameters!B$60*A30)</f>
        <v>0.24779656284632573</v>
      </c>
      <c r="R30" s="7">
        <f>(1-Parameters!B$61)*P30^-Parameters!B$63</f>
        <v>0.37845370850784493</v>
      </c>
      <c r="S30" s="7">
        <f>Parameters!B$61*EXP(-Parameters!B$60*A30)+(1-Parameters!B$61)*P30^-Parameters!B$63</f>
        <v>0.62625027135417066</v>
      </c>
      <c r="T30" s="7">
        <f>1-S30/Parameters!$B$12</f>
        <v>0.68687486432291467</v>
      </c>
      <c r="U30" s="7">
        <f t="shared" si="0"/>
        <v>3.1936113906590493</v>
      </c>
      <c r="V30" s="7">
        <f>(Parameters!$B$19*(F30+Parameters!$B$20)^T30+Parameters!$B$18*G30^T30)^(1/T30)</f>
        <v>0.33780828455866252</v>
      </c>
      <c r="W30" s="7">
        <f>(Parameters!$B$10*H30^Parameters!$B$9+Parameters!$B$11*V30^Parameters!$B$9)^(Parameters!$B$7/Parameters!$B$9)*O30</f>
        <v>1.3624751996859408</v>
      </c>
      <c r="X30" s="7">
        <f>W30 - D30 - E30 - LN(1+EXP(Parameters!$B$21*C30))/Parameters!$B$21 - IF(C30&gt;0, 0,Parameters!$B$6*C30^2/F30)</f>
        <v>1.0555131240145856</v>
      </c>
      <c r="Y30" s="7">
        <f>EXP(-Parameters!$B$55*A30)</f>
        <v>0.67529881309466844</v>
      </c>
      <c r="Z30" s="7">
        <f>IF(X30&gt;0,X30^(1-Parameters!$B$52)/(1-Parameters!$B$52)*Y30*Parameters!$B$65,-10+X30*1000)</f>
        <v>-1.8932835822566092</v>
      </c>
      <c r="AB30" s="9"/>
      <c r="AC30" s="23">
        <f t="shared" si="6"/>
        <v>1.0026118051722532</v>
      </c>
      <c r="AD30" s="23">
        <f t="shared" si="7"/>
        <v>19.64161568216009</v>
      </c>
      <c r="AE30" s="23">
        <f t="shared" si="8"/>
        <v>117.12104401388619</v>
      </c>
      <c r="AF30" s="23">
        <f t="shared" si="9"/>
        <v>44.878631523104325</v>
      </c>
      <c r="AG30" s="23">
        <f t="shared" si="10"/>
        <v>113.75021579700527</v>
      </c>
      <c r="AH30" s="23">
        <f t="shared" si="11"/>
        <v>181.00806061035169</v>
      </c>
      <c r="AI30" s="23">
        <f t="shared" si="12"/>
        <v>140.22742107209987</v>
      </c>
      <c r="AJ30" s="23"/>
      <c r="AK30" s="8">
        <f t="shared" si="1"/>
        <v>181.00806061035172</v>
      </c>
      <c r="AL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0.28166709188455591</v>
      </c>
      <c r="AM30" s="32">
        <f>((C31-C29)/2-(F31-F29)/F30/2*C30)/(F30/2/Parameters!$B$5-C30)-((D31-D29)/D30-(G31-G29)/G30)/(G30/2/Parameters!$B$5/D30-1)</f>
        <v>1.4771590021578922E-2</v>
      </c>
      <c r="AN30" s="32">
        <f>+Parameters!$B$5*C30^2/F30^2-Parameters!$B$5*D30^2/G30^2</f>
        <v>-1.0079006773327454E-2</v>
      </c>
      <c r="AO30" s="30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0.65418133749585006</v>
      </c>
      <c r="AP30" s="30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86.909541703881658</v>
      </c>
      <c r="AQ30" s="8">
        <f>1000*(AL30+AM30+AN30)/(EXP(-Parameters!$B$42*A30)*((C30&lt;0)*Parameters!$B$37*EXP(-Parameters!$B$38*AD30)+(C30&gt;=0)*Parameters!$B$41))</f>
        <v>395.85126646075997</v>
      </c>
      <c r="AR30" s="13">
        <f>1-W30/'6states,ExoDamages'!T30</f>
        <v>8.5040394482601589E-2</v>
      </c>
      <c r="AS30" s="21">
        <f>-Y30*W30*X30^(-Parameters!B$52)*Parameters!B$46*Parameters!B$45*N30</f>
        <v>-1.809213708796323E-5</v>
      </c>
      <c r="AT30" s="7">
        <f>1000*EXP(-(Parameters!$B$54)*'6states'!A30)*AK30*Parameters!B$46*Parameters!B$45*N30</f>
        <v>1.5370994224362871</v>
      </c>
      <c r="AU30" s="7">
        <f>SUM(AT30:AT$204)*EXP(Parameters!$B$54*A30)</f>
        <v>304.77073054023015</v>
      </c>
      <c r="AV30" s="13">
        <f t="shared" si="23"/>
        <v>0.22394112195741833</v>
      </c>
      <c r="AW30" s="30"/>
      <c r="AX30" s="30"/>
      <c r="AY30" s="30"/>
      <c r="AZ30" s="5">
        <f t="shared" si="3"/>
        <v>-1.8152678354574486E-3</v>
      </c>
      <c r="BA30" s="2">
        <f>AZ30/Parameters!$B$45</f>
        <v>-3.0254463924290813</v>
      </c>
      <c r="BB30" s="2">
        <f t="shared" si="18"/>
        <v>3.1538415824861055E-4</v>
      </c>
      <c r="BE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-0.53814045082872253</v>
      </c>
      <c r="BF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-71.493234785440848</v>
      </c>
      <c r="BG30" s="7">
        <f t="shared" si="4"/>
        <v>4.8566206015094204E-2</v>
      </c>
      <c r="BM30">
        <f>EXP(-Parameters!$B$56*A30)*AZ30*BF30</f>
        <v>1.7078764529620778E-2</v>
      </c>
      <c r="BN30">
        <f>-EXP((Parameters!$B$56)*F30)*SUM(BM30:BM38)</f>
        <v>-0.1306351784020362</v>
      </c>
      <c r="BO30">
        <f>X30^-Parameters!B$52/(1-2*Parameters!B$5*'6states'!D30/'6states'!G30)</f>
        <v>1.1638842444152606</v>
      </c>
      <c r="BP30">
        <f t="shared" si="14"/>
        <v>0.99590804844375325</v>
      </c>
      <c r="BQ30">
        <f>$X30^-Parameters!$B$52/(1-2*Parameters!$B$5*'6states'!$E30/'6states'!$H30)</f>
        <v>1.0625839785268814</v>
      </c>
      <c r="BR30">
        <f t="shared" si="21"/>
        <v>1.004286421799188</v>
      </c>
      <c r="BS30" s="7">
        <f>($X30^-Parameters!$B$52*(1/(1+EXP(-C30)) + IF(C30&lt;0,2*Parameters!$B$6*C30/F30,0)) + BK30*(1/(1+EXP((C30-Parameters!$B$22)*Parameters!$B$21))))/(1-IF(C30&gt;0,2*Parameters!$B$5*C30/F30,0))</f>
        <v>0.47143982415246199</v>
      </c>
      <c r="BT30">
        <f t="shared" si="22"/>
        <v>1.0037673355372105</v>
      </c>
      <c r="BU30" s="7">
        <f t="shared" si="24"/>
        <v>1.7694060568680392E-3</v>
      </c>
      <c r="BV30">
        <f>(1/$T30-1/Parameters!$B$13) * LN(Parameters!$B$18) / LN(P30)</f>
        <v>0.23273900279891443</v>
      </c>
      <c r="BW30">
        <f>(Parameters!$B$18*'6states'!T30^+Parameters!$B$19*Parameters!$B$25^'6states'!T30)^((1-'6states'!T30)/'6states'!T30)*Parameters!$B$18*Parameters!$B$26^('6states'!T30-1)</f>
        <v>0.26227668932482417</v>
      </c>
      <c r="BX30">
        <f t="shared" si="15"/>
        <v>0.25280062750495796</v>
      </c>
      <c r="BY30">
        <f t="shared" si="20"/>
        <v>0.14898232725917715</v>
      </c>
      <c r="BZ30">
        <f t="shared" si="20"/>
        <v>0.16622887749309623</v>
      </c>
    </row>
    <row r="31" spans="1:78" x14ac:dyDescent="0.25">
      <c r="A31">
        <f>A30+Parameters!$B$65</f>
        <v>27</v>
      </c>
      <c r="B31">
        <v>2052</v>
      </c>
      <c r="C31" s="74">
        <v>1.0000000008626524E-3</v>
      </c>
      <c r="D31" s="69">
        <v>8.8707003582360736E-2</v>
      </c>
      <c r="E31" s="75">
        <v>0.21540722127360373</v>
      </c>
      <c r="F31" s="7">
        <f>MAX((1-Parameters!$B$4)^Parameters!B$65*F30 + C30*Parameters!B$65 - IF(C30&gt;0,Parameters!$B$5,0)*C30^2/F30*Parameters!B$65, 0.0001)</f>
        <v>0.13953918705030319</v>
      </c>
      <c r="G31" s="7">
        <f>(1-Parameters!$B$4)^Parameters!B$65*G30+D30*Parameters!B$65-Parameters!$B$5*D30^2/G30*Parameters!B$65</f>
        <v>0.90591717143691408</v>
      </c>
      <c r="H31" s="7">
        <f>(1-Parameters!$B$4)^Parameters!B$65*H30+E30*Parameters!B$65-Parameters!$B$5*E30^2/H30*Parameters!B$65</f>
        <v>3.4292072290907512</v>
      </c>
      <c r="I31" s="9">
        <f>I30 *(1-Parameters!$B$4)-C30*(C30&lt;0)*Parameters!B$65</f>
        <v>7.0721170879852694E-3</v>
      </c>
      <c r="J31" s="23">
        <f>J30*(1+Parameters!$B$51)^Parameters!B$65</f>
        <v>8.8236079676496608</v>
      </c>
      <c r="K31" s="23">
        <f>K30*(1+Parameters!$B$53)^Parameters!B$65</f>
        <v>15.40213438302519</v>
      </c>
      <c r="L31" s="23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11.770223467560667</v>
      </c>
      <c r="M31" s="8">
        <f>M30+L31*Parameters!B$65</f>
        <v>2934.8632049527355</v>
      </c>
      <c r="N31" s="7">
        <f>M31*Parameters!$B$45</f>
        <v>1.7609179229716412</v>
      </c>
      <c r="O31" s="9">
        <f>EXP(-Parameters!$B$46/2*N31^2)</f>
        <v>0.96931721159860607</v>
      </c>
      <c r="P31" s="8">
        <f>MAX((Parameters!$B$62 + Parameters!$B$31*'6states'!A31 - '6states'!M31 + Parameters!$B$47/Parameters!$B$45)/Parameters!B$62,1)</f>
        <v>17.030735900945292</v>
      </c>
      <c r="Q31" s="7">
        <f>Parameters!B$61*EXP(-Parameters!B$60*A31)</f>
        <v>0.24119557005756295</v>
      </c>
      <c r="R31" s="7">
        <f>(1-Parameters!B$61)*P31^-Parameters!B$63</f>
        <v>0.37657081900730477</v>
      </c>
      <c r="S31" s="7">
        <f>Parameters!B$61*EXP(-Parameters!B$60*A31)+(1-Parameters!B$61)*P31^-Parameters!B$63</f>
        <v>0.61776638906486769</v>
      </c>
      <c r="T31" s="7">
        <f>1-S31/Parameters!$B$12</f>
        <v>0.69111680546756615</v>
      </c>
      <c r="U31" s="7">
        <f t="shared" si="0"/>
        <v>3.2374697545903439</v>
      </c>
      <c r="V31" s="7">
        <f>(Parameters!$B$19*(F31+Parameters!$B$20)^T31+Parameters!$B$18*G31^T31)^(1/T31)</f>
        <v>0.33642719138420857</v>
      </c>
      <c r="W31" s="7">
        <f>(Parameters!$B$10*H31^Parameters!$B$9+Parameters!$B$11*V31^Parameters!$B$9)^(Parameters!$B$7/Parameters!$B$9)*O31</f>
        <v>1.3604143519886993</v>
      </c>
      <c r="X31" s="7">
        <f>W31 - D31 - E31 - LN(1+EXP(Parameters!$B$21*C31))/Parameters!$B$21 - IF(C31&gt;0, 0,Parameters!$B$6*C31^2/F31)</f>
        <v>1.0534522763173442</v>
      </c>
      <c r="Y31" s="7">
        <f>EXP(-Parameters!$B$55*A31)</f>
        <v>0.66517840241309079</v>
      </c>
      <c r="Z31" s="7">
        <f>IF(X31&gt;0,X31^(1-Parameters!$B$52)/(1-Parameters!$B$52)*Y31*Parameters!$B$65,-10+X31*1000)</f>
        <v>-1.8661858506975937</v>
      </c>
      <c r="AB31" s="9"/>
      <c r="AC31" s="23">
        <f t="shared" si="6"/>
        <v>0.96111765465138699</v>
      </c>
      <c r="AD31" s="23">
        <f t="shared" si="7"/>
        <v>18.96370980870671</v>
      </c>
      <c r="AE31" s="23">
        <f t="shared" si="8"/>
        <v>123.11631386859739</v>
      </c>
      <c r="AF31" s="23">
        <f t="shared" si="9"/>
        <v>45.721261274572576</v>
      </c>
      <c r="AG31" s="23">
        <f t="shared" si="10"/>
        <v>115.88596086795613</v>
      </c>
      <c r="AH31" s="23">
        <f t="shared" si="11"/>
        <v>184.88356952669682</v>
      </c>
      <c r="AI31" s="23">
        <f t="shared" si="12"/>
        <v>143.16668806592583</v>
      </c>
      <c r="AJ31" s="23"/>
      <c r="AK31" s="8">
        <f t="shared" si="1"/>
        <v>184.88356952669682</v>
      </c>
      <c r="AL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0.28625208736984203</v>
      </c>
      <c r="AM31" s="32">
        <f>((C32-C30)/2-(F32-F30)/F31/2*C31)/(F31/2/Parameters!$B$5-C31)-((D32-D30)/D31-(G32-G30)/G31)/(G31/2/Parameters!$B$5/D31-1)</f>
        <v>1.7062068098735762E-2</v>
      </c>
      <c r="AN31" s="32">
        <f>+Parameters!$B$5*C31^2/F31^2-Parameters!$B$5*D31^2/G31^2</f>
        <v>-9.5368807218716121E-3</v>
      </c>
      <c r="AO31" s="30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0.64807397250785614</v>
      </c>
      <c r="AP31" s="30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88.074805429275656</v>
      </c>
      <c r="AQ31" s="8">
        <f>1000*(AL31+AM31+AN31)/(EXP(-Parameters!$B$42*A31)*((C31&lt;0)*Parameters!$B$37*EXP(-Parameters!$B$38*AD31)+(C31&gt;=0)*Parameters!$B$41))</f>
        <v>410.18645977280278</v>
      </c>
      <c r="AR31" s="13">
        <f>1-W31/'6states,ExoDamages'!T31</f>
        <v>8.6124247272346133E-2</v>
      </c>
      <c r="AS31" s="21">
        <f>-Y31*W31*X31^(-Parameters!B$52)*Parameters!B$46*Parameters!B$45*N31</f>
        <v>-1.7912891582383891E-5</v>
      </c>
      <c r="AT31" s="7">
        <f>1000*EXP(-(Parameters!$B$54)*'6states'!A31)*AK31*Parameters!B$46*Parameters!B$45*N31</f>
        <v>1.5219621729168897</v>
      </c>
      <c r="AU31" s="7">
        <f>SUM(AT31:AT$204)*EXP(Parameters!$B$54*A31)</f>
        <v>311.69277745352247</v>
      </c>
      <c r="AV31" s="13">
        <f t="shared" si="23"/>
        <v>0.22428036311936944</v>
      </c>
      <c r="AW31" s="30"/>
      <c r="AX31" s="30"/>
      <c r="AY31" s="30"/>
      <c r="AZ31" s="5">
        <f t="shared" si="3"/>
        <v>-1.8156874505605729E-3</v>
      </c>
      <c r="BA31" s="2">
        <f>AZ31/Parameters!$B$45</f>
        <v>-3.0261457509342882</v>
      </c>
      <c r="BB31" s="2">
        <f t="shared" si="18"/>
        <v>2.311053606690594E-4</v>
      </c>
      <c r="BE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-0.54068643848039433</v>
      </c>
      <c r="BF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-73.480582290830213</v>
      </c>
      <c r="BG31" s="7">
        <f t="shared" si="4"/>
        <v>4.8237188322904641E-2</v>
      </c>
      <c r="BM31">
        <f>EXP(-Parameters!$B$56*A31)*AZ31*BF31</f>
        <v>1.6240130029443543E-2</v>
      </c>
      <c r="BN31">
        <f>-EXP((Parameters!$B$56)*F31)*SUM(BM31:BM39)</f>
        <v>-0.1250156573013308</v>
      </c>
      <c r="BO31">
        <f>X31^-Parameters!B$52/(1-2*Parameters!B$5*'6states'!D31/'6states'!G31)</f>
        <v>1.1591162122446512</v>
      </c>
      <c r="BP31">
        <f t="shared" si="14"/>
        <v>0.99590334503324696</v>
      </c>
      <c r="BQ31">
        <f>$X31^-Parameters!$B$52/(1-2*Parameters!$B$5*'6states'!$E31/'6states'!$H31)</f>
        <v>1.0660440173127708</v>
      </c>
      <c r="BR31">
        <f t="shared" si="21"/>
        <v>1.0032562497231383</v>
      </c>
      <c r="BS31" s="7">
        <f>($X31^-Parameters!$B$52*(1/(1+EXP(-C31)) + IF(C31&lt;0,2*Parameters!$B$6*C31/F31,0)) + BK31*(1/(1+EXP((C31-Parameters!$B$22)*Parameters!$B$21))))/(1-IF(C31&gt;0,2*Parameters!$B$5*C31/F31,0))</f>
        <v>0.47307147692065632</v>
      </c>
      <c r="BT31">
        <f t="shared" si="22"/>
        <v>1.0034609990174836</v>
      </c>
      <c r="BU31" s="7">
        <f t="shared" si="24"/>
        <v>1.6316527681943249E-3</v>
      </c>
      <c r="BV31">
        <f>(1/$T31-1/Parameters!$B$13) * LN(Parameters!$B$18) / LN(P31)</f>
        <v>0.23239929092830802</v>
      </c>
      <c r="BW31">
        <f>(Parameters!$B$18*'6states'!T31^+Parameters!$B$19*Parameters!$B$25^'6states'!T31)^((1-'6states'!T31)/'6states'!T31)*Parameters!$B$18*Parameters!$B$26^('6states'!T31-1)</f>
        <v>0.26436160749682747</v>
      </c>
      <c r="BX31">
        <f t="shared" si="15"/>
        <v>0.25114600264433246</v>
      </c>
      <c r="BY31">
        <f t="shared" si="20"/>
        <v>0.1487819142561978</v>
      </c>
      <c r="BZ31">
        <f t="shared" si="20"/>
        <v>0.16743293589174157</v>
      </c>
    </row>
    <row r="32" spans="1:78" x14ac:dyDescent="0.25">
      <c r="A32">
        <f>A31+Parameters!$B$65</f>
        <v>28</v>
      </c>
      <c r="B32">
        <v>2053</v>
      </c>
      <c r="C32" s="74">
        <v>1.4056693958975572E-3</v>
      </c>
      <c r="D32" s="69">
        <v>8.8510101846313471E-2</v>
      </c>
      <c r="E32" s="75">
        <v>0.21617768386803607</v>
      </c>
      <c r="F32" s="7">
        <f>MAX((1-Parameters!$B$4)^Parameters!B$65*F31 + C31*Parameters!B$65 - IF(C31&gt;0,Parameters!$B$5,0)*C31^2/F31*Parameters!B$65, 0.0001)</f>
        <v>0.1317550057400397</v>
      </c>
      <c r="G32" s="7">
        <f>(1-Parameters!$B$4)^Parameters!B$65*G31+D31*Parameters!B$65-Parameters!$B$5*D31^2/G31*Parameters!B$65</f>
        <v>0.92895583488524347</v>
      </c>
      <c r="H32" s="7">
        <f>(1-Parameters!$B$4)^Parameters!B$65*H31+E31*Parameters!B$65-Parameters!$B$5*E31^2/H31*Parameters!B$65</f>
        <v>3.4153864124815945</v>
      </c>
      <c r="I32" s="9">
        <f>I31 *(1-Parameters!$B$4)-C31*(C31&lt;0)*Parameters!B$65</f>
        <v>6.6272809231509959E-3</v>
      </c>
      <c r="J32" s="23">
        <f>J31*(1+Parameters!$B$51)^Parameters!B$65</f>
        <v>8.8491964307558444</v>
      </c>
      <c r="K32" s="23">
        <f>K31*(1+Parameters!$B$53)^Parameters!B$65</f>
        <v>15.710177070685695</v>
      </c>
      <c r="L32" s="23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11.259421825858073</v>
      </c>
      <c r="M32" s="8">
        <f>M31+L32*Parameters!B$65</f>
        <v>2946.1226267785937</v>
      </c>
      <c r="N32" s="7">
        <f>M32*Parameters!$B$45</f>
        <v>1.767673576067156</v>
      </c>
      <c r="O32" s="9">
        <f>EXP(-Parameters!$B$46/2*N32^2)</f>
        <v>0.96908501883067955</v>
      </c>
      <c r="P32" s="8">
        <f>MAX((Parameters!$B$62 + Parameters!$B$31*'6states'!A32 - '6states'!M32 + Parameters!$B$47/Parameters!$B$45)/Parameters!B$62,1)</f>
        <v>17.869547464428127</v>
      </c>
      <c r="Q32" s="7">
        <f>Parameters!B$61*EXP(-Parameters!B$60*A32)</f>
        <v>0.23477041952139963</v>
      </c>
      <c r="R32" s="7">
        <f>(1-Parameters!B$61)*P32^-Parameters!B$63</f>
        <v>0.37476467584599094</v>
      </c>
      <c r="S32" s="7">
        <f>Parameters!B$61*EXP(-Parameters!B$60*A32)+(1-Parameters!B$61)*P32^-Parameters!B$63</f>
        <v>0.60953509536739059</v>
      </c>
      <c r="T32" s="7">
        <f>1-S32/Parameters!$B$12</f>
        <v>0.69523245231630471</v>
      </c>
      <c r="U32" s="7">
        <f t="shared" si="0"/>
        <v>3.2811892460343435</v>
      </c>
      <c r="V32" s="7">
        <f>(Parameters!$B$19*(F32+Parameters!$B$20)^T32+Parameters!$B$18*G32^T32)^(1/T32)</f>
        <v>0.33513961814556242</v>
      </c>
      <c r="W32" s="7">
        <f>(Parameters!$B$10*H32^Parameters!$B$9+Parameters!$B$11*V32^Parameters!$B$9)^(Parameters!$B$7/Parameters!$B$9)*O32</f>
        <v>1.3584696160617238</v>
      </c>
      <c r="X32" s="7">
        <f>W32 - D32 - E32 - LN(1+EXP(Parameters!$B$21*C32))/Parameters!$B$21 - IF(C32&gt;0, 0,Parameters!$B$6*C32^2/F32)</f>
        <v>1.0506949511622929</v>
      </c>
      <c r="Y32" s="7">
        <f>EXP(-Parameters!$B$55*A32)</f>
        <v>0.65520966194087471</v>
      </c>
      <c r="Z32" s="7">
        <f>IF(X32&gt;0,X32^(1-Parameters!$B$52)/(1-Parameters!$B$52)*Y32*Parameters!$B$65,-10+X32*1000)</f>
        <v>-1.8399050982965257</v>
      </c>
      <c r="AB32" s="9"/>
      <c r="AC32" s="23">
        <f t="shared" si="6"/>
        <v>0.92134078345893733</v>
      </c>
      <c r="AD32" s="23">
        <f t="shared" si="7"/>
        <v>18.316902757073482</v>
      </c>
      <c r="AE32" s="23">
        <f t="shared" si="8"/>
        <v>129.14570947521926</v>
      </c>
      <c r="AF32" s="23">
        <f t="shared" si="9"/>
        <v>46.591928413915873</v>
      </c>
      <c r="AG32" s="23">
        <f t="shared" si="10"/>
        <v>118.09277002470759</v>
      </c>
      <c r="AH32" s="23">
        <f t="shared" si="11"/>
        <v>188.8577645766041</v>
      </c>
      <c r="AI32" s="23">
        <f t="shared" si="12"/>
        <v>146.07017881172754</v>
      </c>
      <c r="AJ32" s="23"/>
      <c r="AK32" s="8">
        <f t="shared" si="1"/>
        <v>188.8577645766041</v>
      </c>
      <c r="AL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0.28833440506327762</v>
      </c>
      <c r="AM32" s="32">
        <f>((C33-C31)/2-(F33-F31)/F32/2*C32)/(F32/2/Parameters!$B$5-C32)-((D33-D31)/D32-(G33-G31)/G32)/(G32/2/Parameters!$B$5/D32-1)</f>
        <v>1.6208568407840268E-2</v>
      </c>
      <c r="AN32" s="32">
        <f>+Parameters!$B$5*C32^2/F32^2-Parameters!$B$5*D32^2/G32^2</f>
        <v>-8.9642886707145472E-3</v>
      </c>
      <c r="AO32" s="30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0.64204726309388704</v>
      </c>
      <c r="AP32" s="30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89.258978947180893</v>
      </c>
      <c r="AQ32" s="8">
        <f>1000*(AL32+AM32+AN32)/(EXP(-Parameters!$B$42*A32)*((C32&lt;0)*Parameters!$B$37*EXP(-Parameters!$B$38*AD32)+(C32&gt;=0)*Parameters!$B$41))</f>
        <v>416.84939901354227</v>
      </c>
      <c r="AR32" s="13">
        <f>1-W32/'6states,ExoDamages'!T32</f>
        <v>8.7146093642970435E-2</v>
      </c>
      <c r="AS32" s="21">
        <f>-Y32*W32*X32^(-Parameters!B$52)*Parameters!B$46*Parameters!B$45*N32</f>
        <v>-1.7749500215889942E-5</v>
      </c>
      <c r="AT32" s="7">
        <f>1000*EXP(-(Parameters!$B$54)*'6states'!A32)*AK32*Parameters!B$46*Parameters!B$45*N32</f>
        <v>1.5068138582381037</v>
      </c>
      <c r="AU32" s="7">
        <f>SUM(AT32:AT$204)*EXP(Parameters!$B$54*A32)</f>
        <v>318.76089246637582</v>
      </c>
      <c r="AV32" s="13">
        <f t="shared" si="23"/>
        <v>0.22532226815468162</v>
      </c>
      <c r="AW32" s="30"/>
      <c r="AX32" s="30"/>
      <c r="AY32" s="30"/>
      <c r="AZ32" s="5">
        <f t="shared" si="3"/>
        <v>-1.8159731993853993E-3</v>
      </c>
      <c r="BA32" s="2">
        <f>AZ32/Parameters!$B$45</f>
        <v>-3.0266219989756658</v>
      </c>
      <c r="BB32" s="2">
        <f t="shared" si="18"/>
        <v>1.5735299668695468E-4</v>
      </c>
      <c r="BE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-0.5436592699145959</v>
      </c>
      <c r="BF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-75.580839787258142</v>
      </c>
      <c r="BG32" s="7">
        <f t="shared" si="4"/>
        <v>4.7891107185424435E-2</v>
      </c>
      <c r="BM32">
        <f>EXP(-Parameters!$B$56*A32)*AZ32*BF32</f>
        <v>1.5453327172325929E-2</v>
      </c>
      <c r="BN32">
        <f>-EXP((Parameters!$B$56)*F32)*SUM(BM32:BM40)</f>
        <v>-0.11981421984677372</v>
      </c>
      <c r="BO32">
        <f>X32^-Parameters!B$52/(1-2*Parameters!B$5*'6states'!D32/'6states'!G32)</f>
        <v>1.1556356501258493</v>
      </c>
      <c r="BP32">
        <f t="shared" si="14"/>
        <v>0.99699722764461929</v>
      </c>
      <c r="BQ32">
        <f>$X32^-Parameters!$B$52/(1-2*Parameters!$B$5*'6states'!$E32/'6states'!$H32)</f>
        <v>1.0709978572292769</v>
      </c>
      <c r="BR32">
        <f t="shared" si="21"/>
        <v>1.0046469374960647</v>
      </c>
      <c r="BS32" s="7">
        <f>($X32^-Parameters!$B$52*(1/(1+EXP(-C32)) + IF(C32&lt;0,2*Parameters!$B$6*C32/F32,0)) + BK32*(1/(1+EXP((C32-Parameters!$B$22)*Parameters!$B$21))))/(1-IF(C32&gt;0,2*Parameters!$B$5*C32/F32,0))</f>
        <v>0.47824316364381569</v>
      </c>
      <c r="BT32">
        <f t="shared" si="22"/>
        <v>1.0109321465686818</v>
      </c>
      <c r="BU32" s="7">
        <f t="shared" si="24"/>
        <v>5.1716867231593744E-3</v>
      </c>
      <c r="BV32">
        <f>(1/$T32-1/Parameters!$B$13) * LN(Parameters!$B$18) / LN(P32)</f>
        <v>0.23206306527357479</v>
      </c>
      <c r="BW32">
        <f>(Parameters!$B$18*'6states'!T32^+Parameters!$B$19*Parameters!$B$25^'6states'!T32)^((1-'6states'!T32)/'6states'!T32)*Parameters!$B$18*Parameters!$B$26^('6states'!T32-1)</f>
        <v>0.26633776591506597</v>
      </c>
      <c r="BX32">
        <f t="shared" si="15"/>
        <v>0.24954104019449477</v>
      </c>
      <c r="BY32">
        <f t="shared" si="20"/>
        <v>0.14858351147331939</v>
      </c>
      <c r="BZ32">
        <f t="shared" si="20"/>
        <v>0.16857257944129056</v>
      </c>
    </row>
    <row r="33" spans="1:78" x14ac:dyDescent="0.25">
      <c r="A33">
        <f>A32+Parameters!$B$65</f>
        <v>29</v>
      </c>
      <c r="B33">
        <v>2054</v>
      </c>
      <c r="C33" s="74">
        <v>1.4056693958975572E-3</v>
      </c>
      <c r="D33" s="69">
        <v>8.8510101846313471E-2</v>
      </c>
      <c r="E33" s="75">
        <v>0.21617768386803607</v>
      </c>
      <c r="F33" s="7">
        <f>MAX((1-Parameters!$B$4)^Parameters!B$65*F32 + C32*Parameters!B$65 - IF(C32&gt;0,Parameters!$B$5,0)*C32^2/F32*Parameters!B$65, 0.0001)</f>
        <v>0.12485828845226739</v>
      </c>
      <c r="G33" s="7">
        <f>(1-Parameters!$B$4)^Parameters!B$65*G32+D32*Parameters!B$65-Parameters!$B$5*D32^2/G32*Parameters!B$65</f>
        <v>0.95060144939912783</v>
      </c>
      <c r="H33" s="7">
        <f>(1-Parameters!$B$4)^Parameters!B$65*H32+E32*Parameters!B$65-Parameters!$B$5*E32^2/H32*Parameters!B$65</f>
        <v>3.4030532738115897</v>
      </c>
      <c r="I33" s="9">
        <f>I32 *(1-Parameters!$B$4)-C32*(C32&lt;0)*Parameters!B$65</f>
        <v>6.2104249530847986E-3</v>
      </c>
      <c r="J33" s="23">
        <f>J32*(1+Parameters!$B$51)^Parameters!B$65</f>
        <v>8.8748591004050361</v>
      </c>
      <c r="K33" s="23">
        <f>K32*(1+Parameters!$B$53)^Parameters!B$65</f>
        <v>16.02438061209941</v>
      </c>
      <c r="L33" s="23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10.811819865079872</v>
      </c>
      <c r="M33" s="8">
        <f>M32+L33*Parameters!B$65</f>
        <v>2956.9344466436737</v>
      </c>
      <c r="N33" s="7">
        <f>M33*Parameters!$B$45</f>
        <v>1.7741606679862041</v>
      </c>
      <c r="O33" s="9">
        <f>EXP(-Parameters!$B$46/2*N33^2)</f>
        <v>0.96886127241584419</v>
      </c>
      <c r="P33" s="8">
        <f>MAX((Parameters!$B$62 + Parameters!$B$31*'6states'!A33 - '6states'!M33 + Parameters!$B$47/Parameters!$B$45)/Parameters!B$62,1)</f>
        <v>18.717311067126531</v>
      </c>
      <c r="Q33" s="7">
        <f>Parameters!B$61*EXP(-Parameters!B$60*A33)</f>
        <v>0.22851642701853894</v>
      </c>
      <c r="R33" s="7">
        <f>(1-Parameters!B$61)*P33^-Parameters!B$63</f>
        <v>0.37303163049628729</v>
      </c>
      <c r="S33" s="7">
        <f>Parameters!B$61*EXP(-Parameters!B$60*A33)+(1-Parameters!B$61)*P33^-Parameters!B$63</f>
        <v>0.60154805751482621</v>
      </c>
      <c r="T33" s="7">
        <f>1-S33/Parameters!$B$12</f>
        <v>0.6992259712425869</v>
      </c>
      <c r="U33" s="7">
        <f t="shared" si="0"/>
        <v>3.3247551463512233</v>
      </c>
      <c r="V33" s="7">
        <f>(Parameters!$B$19*(F33+Parameters!$B$20)^T33+Parameters!$B$18*G33^T33)^(1/T33)</f>
        <v>0.334274750604311</v>
      </c>
      <c r="W33" s="7">
        <f>(Parameters!$B$10*H33^Parameters!$B$9+Parameters!$B$11*V33^Parameters!$B$9)^(Parameters!$B$7/Parameters!$B$9)*O33</f>
        <v>1.356824027353823</v>
      </c>
      <c r="X33" s="7">
        <f>W33 - D33 - E33 - LN(1+EXP(Parameters!$B$21*C33))/Parameters!$B$21 - IF(C33&gt;0, 0,Parameters!$B$6*C33^2/F33)</f>
        <v>1.0490493624543922</v>
      </c>
      <c r="Y33" s="7">
        <f>EXP(-Parameters!$B$55*A33)</f>
        <v>0.64539031866231678</v>
      </c>
      <c r="Z33" s="7">
        <f>IF(X33&gt;0,X33^(1-Parameters!$B$52)/(1-Parameters!$B$52)*Y33*Parameters!$B$65,-10+X33*1000)</f>
        <v>-1.8133257491812673</v>
      </c>
      <c r="AB33" s="9"/>
      <c r="AC33" s="23">
        <f t="shared" si="6"/>
        <v>0.88321012017267209</v>
      </c>
      <c r="AD33" s="23">
        <f t="shared" si="7"/>
        <v>17.75661162988624</v>
      </c>
      <c r="AE33" s="23">
        <f t="shared" si="8"/>
        <v>135.18894869554609</v>
      </c>
      <c r="AF33" s="23">
        <f t="shared" si="9"/>
        <v>47.538589530057287</v>
      </c>
      <c r="AG33" s="23">
        <f t="shared" si="10"/>
        <v>120.49219493124205</v>
      </c>
      <c r="AH33" s="23">
        <f t="shared" si="11"/>
        <v>192.95953518560717</v>
      </c>
      <c r="AI33" s="23">
        <f t="shared" si="12"/>
        <v>149.18963202674061</v>
      </c>
      <c r="AJ33" s="23"/>
      <c r="AK33" s="8">
        <f t="shared" si="1"/>
        <v>192.95953518560719</v>
      </c>
      <c r="AL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0.29129325201380241</v>
      </c>
      <c r="AM33" s="32">
        <f>((C34-C32)/2-(F34-F32)/F33/2*C33)/(F33/2/Parameters!$B$5-C33)-((D34-D32)/D33-(G34-G32)/G33)/(G33/2/Parameters!$B$5/D33-1)</f>
        <v>1.0272018085475097E-2</v>
      </c>
      <c r="AN33" s="32">
        <f>+Parameters!$B$5*C33^2/F33^2-Parameters!$B$5*D33^2/G33^2</f>
        <v>-8.5426486861143597E-3</v>
      </c>
      <c r="AO33" s="30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0.63627782999000448</v>
      </c>
      <c r="AP33" s="30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90.487691733484766</v>
      </c>
      <c r="AQ33" s="8">
        <f>1000*(AL33+AM33+AN33)/(EXP(-Parameters!$B$42*A33)*((C33&lt;0)*Parameters!$B$37*EXP(-Parameters!$B$38*AD33)+(C33&gt;=0)*Parameters!$B$41))</f>
        <v>417.39780551831967</v>
      </c>
      <c r="AR33" s="13">
        <f>1-W33/'6states,ExoDamages'!T33</f>
        <v>8.7981239683010304E-2</v>
      </c>
      <c r="AS33" s="21">
        <f>-Y33*W33*X33^(-Parameters!B$52)*Parameters!B$46*Parameters!B$45*N33</f>
        <v>-1.7563526860233315E-5</v>
      </c>
      <c r="AT33" s="7">
        <f>1000*EXP(-(Parameters!$B$54)*'6states'!A33)*AK33*Parameters!B$46*Parameters!B$45*N33</f>
        <v>1.4918946136064914</v>
      </c>
      <c r="AU33" s="7">
        <f>SUM(AT33:AT$204)*EXP(Parameters!$B$54*A33)</f>
        <v>325.97815352556785</v>
      </c>
      <c r="AV33" s="13">
        <f t="shared" si="23"/>
        <v>0.22559554440321405</v>
      </c>
      <c r="AW33" s="30"/>
      <c r="AX33" s="30"/>
      <c r="AY33" s="30"/>
      <c r="AZ33" s="5">
        <f t="shared" si="3"/>
        <v>-1.8161005084124495E-3</v>
      </c>
      <c r="BA33" s="2">
        <f>AZ33/Parameters!$B$45</f>
        <v>-3.0268341806874162</v>
      </c>
      <c r="BB33" s="2">
        <f t="shared" si="18"/>
        <v>7.0100210016188491E-5</v>
      </c>
      <c r="BE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-0.55062599448514526</v>
      </c>
      <c r="BF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-78.306791311899119</v>
      </c>
      <c r="BG33" s="7">
        <f t="shared" si="4"/>
        <v>4.7382970288859155E-2</v>
      </c>
      <c r="BM33">
        <f>EXP(-Parameters!$B$56*A33)*AZ33*BF33</f>
        <v>1.4810345523589168E-2</v>
      </c>
      <c r="BN33">
        <f>-EXP((Parameters!$B$56)*F33)*SUM(BM33:BM41)</f>
        <v>-0.11501270619543211</v>
      </c>
      <c r="BO33">
        <f>X33^-Parameters!B$52/(1-2*Parameters!B$5*'6states'!D33/'6states'!G33)</f>
        <v>1.1519086568568031</v>
      </c>
      <c r="BP33">
        <f t="shared" si="14"/>
        <v>0.99677494090058538</v>
      </c>
      <c r="BQ33">
        <f>$X33^-Parameters!$B$52/(1-2*Parameters!$B$5*'6states'!$E33/'6states'!$H33)</f>
        <v>1.0738305620667243</v>
      </c>
      <c r="BR33">
        <f t="shared" si="21"/>
        <v>1.0026449211063557</v>
      </c>
      <c r="BS33" s="7">
        <f>($X33^-Parameters!$B$52*(1/(1+EXP(-C33)) + IF(C33&lt;0,2*Parameters!$B$6*C33/F33,0)) + BK33*(1/(1+EXP((C33-Parameters!$B$22)*Parameters!$B$21))))/(1-IF(C33&gt;0,2*Parameters!$B$5*C33/F33,0))</f>
        <v>0.47983407363883873</v>
      </c>
      <c r="BT33">
        <f t="shared" si="22"/>
        <v>1.0033265713259791</v>
      </c>
      <c r="BU33" s="7">
        <f t="shared" si="24"/>
        <v>1.5909099950230376E-3</v>
      </c>
      <c r="BV33">
        <f>(1/$T33-1/Parameters!$B$13) * LN(Parameters!$B$18) / LN(P33)</f>
        <v>0.23173196452856484</v>
      </c>
      <c r="BW33">
        <f>(Parameters!$B$18*'6states'!T33^+Parameters!$B$19*Parameters!$B$25^'6states'!T33)^((1-'6states'!T33)/'6states'!T33)*Parameters!$B$18*Parameters!$B$26^('6states'!T33-1)</f>
        <v>0.26821131458987468</v>
      </c>
      <c r="BX33">
        <f t="shared" si="15"/>
        <v>0.24798560298298486</v>
      </c>
      <c r="BY33">
        <f t="shared" si="20"/>
        <v>0.14838808764713018</v>
      </c>
      <c r="BZ33">
        <f t="shared" si="20"/>
        <v>0.16965160769958887</v>
      </c>
    </row>
    <row r="34" spans="1:78" s="53" customFormat="1" x14ac:dyDescent="0.25">
      <c r="A34" s="53">
        <f>A33+Parameters!$B$65</f>
        <v>30</v>
      </c>
      <c r="B34" s="53">
        <v>2055</v>
      </c>
      <c r="C34" s="76">
        <v>1.3559866267420909E-3</v>
      </c>
      <c r="D34" s="77">
        <v>8.8778155517430207E-2</v>
      </c>
      <c r="E34" s="78">
        <v>0.2165136941116296</v>
      </c>
      <c r="F34" s="54">
        <f>MAX((1-Parameters!$B$4)^Parameters!B$65*F33 + C33*Parameters!B$65 - IF(C33&gt;0,Parameters!$B$5,0)*C33^2/F33*Parameters!B$65, 0.0001)</f>
        <v>0.11839454631201264</v>
      </c>
      <c r="G34" s="54">
        <f>(1-Parameters!$B$4)^Parameters!B$65*G33+D33*Parameters!B$65-Parameters!$B$5*D33^2/G33*Parameters!B$65</f>
        <v>0.97107758165603342</v>
      </c>
      <c r="H34" s="54">
        <f>(1-Parameters!$B$4)^Parameters!B$65*H33+E33*Parameters!B$65-Parameters!$B$5*E33^2/H33*Parameters!B$65</f>
        <v>3.3914463004053443</v>
      </c>
      <c r="I34" s="55">
        <f>I33 *(1-Parameters!$B$4)-C33*(C33&lt;0)*Parameters!B$65</f>
        <v>5.8197892235357651E-3</v>
      </c>
      <c r="J34" s="56">
        <f>J33*(1+Parameters!$B$51)^Parameters!B$65</f>
        <v>8.9005961917962093</v>
      </c>
      <c r="K34" s="56">
        <f>K33*(1+Parameters!$B$53)^Parameters!B$65</f>
        <v>16.344868224341397</v>
      </c>
      <c r="L34" s="56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10.388670645150881</v>
      </c>
      <c r="M34" s="57">
        <f>M33+L34*Parameters!B$65</f>
        <v>2967.3231172888245</v>
      </c>
      <c r="N34" s="54">
        <f>M34*Parameters!$B$45</f>
        <v>1.7803938703732944</v>
      </c>
      <c r="O34" s="55">
        <f>EXP(-Parameters!$B$46/2*N34^2)</f>
        <v>0.96864555971457766</v>
      </c>
      <c r="P34" s="57">
        <f>MAX((Parameters!$B$62 + Parameters!$B$31*'6states'!A34 - '6states'!M34 + Parameters!$B$47/Parameters!$B$45)/Parameters!B$62,1)</f>
        <v>19.573537654223511</v>
      </c>
      <c r="Q34" s="54">
        <f>Parameters!B$61*EXP(-Parameters!B$60*A34)</f>
        <v>0.22242903311147058</v>
      </c>
      <c r="R34" s="54">
        <f>(1-Parameters!B$61)*P34^-Parameters!B$63</f>
        <v>0.37136679686520835</v>
      </c>
      <c r="S34" s="54">
        <f>Parameters!B$61*EXP(-Parameters!B$60*A34)+(1-Parameters!B$61)*P34^-Parameters!B$63</f>
        <v>0.5937958299766789</v>
      </c>
      <c r="T34" s="54">
        <f>1-S34/Parameters!$B$12</f>
        <v>0.70310208501166049</v>
      </c>
      <c r="U34" s="54">
        <f t="shared" si="0"/>
        <v>3.3681610732742073</v>
      </c>
      <c r="V34" s="54">
        <f>(Parameters!$B$19*(F34+Parameters!$B$20)^T34+Parameters!$B$18*G34^T34)^(1/T34)</f>
        <v>0.33348915675929958</v>
      </c>
      <c r="W34" s="54">
        <f>(Parameters!$B$10*H34^Parameters!$B$9+Parameters!$B$11*V34^Parameters!$B$9)^(Parameters!$B$7/Parameters!$B$9)*O34</f>
        <v>1.3552770177869435</v>
      </c>
      <c r="X34" s="54">
        <f>W34 - D34 - E34 - LN(1+EXP(Parameters!$B$21*C34))/Parameters!$B$21 - IF(C34&gt;0, 0,Parameters!$B$6*C34^2/F34)</f>
        <v>1.0469282032500404</v>
      </c>
      <c r="Y34" s="54">
        <f>EXP(-Parameters!$B$55*A34)</f>
        <v>0.63571813362641427</v>
      </c>
      <c r="Z34" s="54">
        <f>IF(X34&gt;0,X34^(1-Parameters!$B$52)/(1-Parameters!$B$52)*Y34*Parameters!$B$65,-10+X34*1000)</f>
        <v>-1.7874159973360901</v>
      </c>
      <c r="AB34" s="55"/>
      <c r="AC34" s="56">
        <f t="shared" si="6"/>
        <v>0.84665753473637684</v>
      </c>
      <c r="AD34" s="56">
        <f t="shared" si="7"/>
        <v>17.223928712294608</v>
      </c>
      <c r="AE34" s="56">
        <f t="shared" si="8"/>
        <v>141.27146529598147</v>
      </c>
      <c r="AF34" s="56">
        <f t="shared" si="9"/>
        <v>48.515693005046941</v>
      </c>
      <c r="AG34" s="56">
        <f t="shared" si="10"/>
        <v>122.96877960782378</v>
      </c>
      <c r="AH34" s="56">
        <f t="shared" si="11"/>
        <v>197.16444267843005</v>
      </c>
      <c r="AI34" s="56">
        <f t="shared" si="12"/>
        <v>152.30614332646655</v>
      </c>
      <c r="AJ34" s="56"/>
      <c r="AK34" s="57">
        <f t="shared" si="1"/>
        <v>197.16444267843005</v>
      </c>
      <c r="AL34" s="58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0.29438665131747094</v>
      </c>
      <c r="AM34" s="58">
        <f>((C35-C33)/2-(F35-F33)/F34/2*C34)/(F34/2/Parameters!$B$5-C34)-((D35-D33)/D34-(G35-G33)/G34)/(G34/2/Parameters!$B$5/D34-1)</f>
        <v>9.3694924821362668E-3</v>
      </c>
      <c r="AN34" s="58">
        <f>+Parameters!$B$5*C34^2/F34^2-Parameters!$B$5*D34^2/G34^2</f>
        <v>-8.226864834650946E-3</v>
      </c>
      <c r="AO34" s="59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0.63059375305777898</v>
      </c>
      <c r="AP34" s="59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91.738193923747289</v>
      </c>
      <c r="AQ34" s="57">
        <f>1000*(AL34+AM34+AN34)/(EXP(-Parameters!$B$42*A34)*((C34&lt;0)*Parameters!$B$37*EXP(-Parameters!$B$38*AD34)+(C34&gt;=0)*Parameters!$B$41))</f>
        <v>425.19923173363276</v>
      </c>
      <c r="AR34" s="60">
        <f>1-W34/'6states,ExoDamages'!T34</f>
        <v>8.8763545422795409E-2</v>
      </c>
      <c r="AS34" s="61">
        <f>-Y34*W34*X34^(-Parameters!B$52)*Parameters!B$46*Parameters!B$45*N34</f>
        <v>-1.7388745749540581E-5</v>
      </c>
      <c r="AT34" s="54">
        <f>1000*EXP(-(Parameters!$B$54)*'6states'!A34)*AK34*Parameters!B$46*Parameters!B$45*N34</f>
        <v>1.4769979898541556</v>
      </c>
      <c r="AU34" s="54">
        <f>SUM(AT34:AT$204)*EXP(Parameters!$B$54*A34)</f>
        <v>333.34703759958302</v>
      </c>
      <c r="AV34" s="60">
        <f t="shared" si="23"/>
        <v>0.22626210894989771</v>
      </c>
      <c r="AW34" s="59"/>
      <c r="AX34" s="59"/>
      <c r="AY34" s="59"/>
      <c r="AZ34" s="62">
        <f t="shared" si="3"/>
        <v>-1.8161038641464071E-3</v>
      </c>
      <c r="BA34" s="63">
        <f>AZ34/Parameters!$B$45</f>
        <v>-3.0268397735773456</v>
      </c>
      <c r="BB34" s="63">
        <f t="shared" si="18"/>
        <v>1.8477654410986588E-6</v>
      </c>
      <c r="BE34" s="53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-0.55823185236492989</v>
      </c>
      <c r="BF34" s="53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-81.211051771986561</v>
      </c>
      <c r="BG34" s="54">
        <f t="shared" si="4"/>
        <v>4.6852798418506397E-2</v>
      </c>
      <c r="BM34" s="53">
        <f>EXP(-Parameters!$B$56*A34)*AZ34*BF34</f>
        <v>1.4207142284376095E-2</v>
      </c>
      <c r="BN34" s="53">
        <f>-EXP((Parameters!$B$56)*F34)*SUM(BM34:BM42)</f>
        <v>-0.11048493866342675</v>
      </c>
      <c r="BO34" s="53">
        <f>X34^-Parameters!B$52/(1-2*Parameters!B$5*'6states'!D34/'6states'!G34)</f>
        <v>1.1502905215055013</v>
      </c>
      <c r="BP34" s="53">
        <f t="shared" si="14"/>
        <v>0.99859525723531128</v>
      </c>
      <c r="BQ34" s="53">
        <f>$X34^-Parameters!$B$52/(1-2*Parameters!$B$5*'6states'!$E34/'6states'!$H34)</f>
        <v>1.0775500726906324</v>
      </c>
      <c r="BR34" s="53">
        <f t="shared" si="21"/>
        <v>1.0034637779509175</v>
      </c>
      <c r="BS34" s="54">
        <f>($X34^-Parameters!$B$52*(1/(1+EXP(-C34)) + IF(C34&lt;0,2*Parameters!$B$6*C34/F34,0)) + BK34*(1/(1+EXP((C34-Parameters!$B$22)*Parameters!$B$21))))/(1-IF(C34&gt;0,2*Parameters!$B$5*C34/F34,0))</f>
        <v>0.4813270806698674</v>
      </c>
      <c r="BT34" s="53">
        <f t="shared" si="22"/>
        <v>1.0031115069000964</v>
      </c>
      <c r="BU34" s="54">
        <f t="shared" si="24"/>
        <v>1.4930070310286703E-3</v>
      </c>
      <c r="BV34" s="53">
        <f>(1/$T34-1/Parameters!$B$13) * LN(Parameters!$B$18) / LN(P34)</f>
        <v>0.23140482907827678</v>
      </c>
      <c r="BW34" s="53">
        <f>(Parameters!$B$18*'6states'!T34^+Parameters!$B$19*Parameters!$B$25^'6states'!T34)^((1-'6states'!T34)/'6states'!T34)*Parameters!$B$18*Parameters!$B$26^('6states'!T34-1)</f>
        <v>0.26998837645312596</v>
      </c>
      <c r="BX34" s="53">
        <f t="shared" si="15"/>
        <v>0.24647642186475213</v>
      </c>
      <c r="BY34" s="53">
        <f t="shared" si="20"/>
        <v>0.14819496018308032</v>
      </c>
      <c r="BZ34" s="53">
        <f t="shared" si="20"/>
        <v>0.17067377247308713</v>
      </c>
    </row>
    <row r="35" spans="1:78" x14ac:dyDescent="0.25">
      <c r="A35">
        <f>A34+Parameters!$B$65</f>
        <v>31</v>
      </c>
      <c r="B35">
        <v>2056</v>
      </c>
      <c r="C35" s="74">
        <v>1.3559866267420909E-3</v>
      </c>
      <c r="D35" s="69">
        <v>8.8778155517430207E-2</v>
      </c>
      <c r="E35" s="75">
        <v>0.2165136941116296</v>
      </c>
      <c r="F35" s="7">
        <f>MAX((1-Parameters!$B$4)^Parameters!B$65*F34 + C34*Parameters!B$65 - IF(C34&gt;0,Parameters!$B$5,0)*C34^2/F34*Parameters!B$65, 0.0001)</f>
        <v>0.11228798570183411</v>
      </c>
      <c r="G35" s="7">
        <f>(1-Parameters!$B$4)^Parameters!B$65*G34+D34*Parameters!B$65-Parameters!$B$5*D34^2/G34*Parameters!B$65</f>
        <v>0.99065865324943214</v>
      </c>
      <c r="H35" s="7">
        <f>(1-Parameters!$B$4)^Parameters!B$65*H34+E34*Parameters!B$65-Parameters!$B$5*E34^2/H34*Parameters!B$65</f>
        <v>3.3808155478003843</v>
      </c>
      <c r="I35" s="9">
        <f>I34 *(1-Parameters!$B$4)-C34*(C34&lt;0)*Parameters!B$65</f>
        <v>5.4537244813753659E-3</v>
      </c>
      <c r="J35" s="23">
        <f>J34*(1+Parameters!$B$51)^Parameters!B$65</f>
        <v>8.9264079207524176</v>
      </c>
      <c r="K35" s="23">
        <f>K34*(1+Parameters!$B$53)^Parameters!B$65</f>
        <v>16.671765588828226</v>
      </c>
      <c r="L35" s="23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9.9842412611866056</v>
      </c>
      <c r="M35" s="8">
        <f>M34+L35*Parameters!B$65</f>
        <v>2977.307358550011</v>
      </c>
      <c r="N35" s="7">
        <f>M35*Parameters!$B$45</f>
        <v>1.7863844151300066</v>
      </c>
      <c r="O35" s="9">
        <f>EXP(-Parameters!$B$46/2*N35^2)</f>
        <v>0.96843757723284041</v>
      </c>
      <c r="P35" s="8">
        <f>MAX((Parameters!$B$62 + Parameters!$B$31*'6states'!A35 - '6states'!M35 + Parameters!$B$47/Parameters!$B$45)/Parameters!B$62,1)</f>
        <v>20.43785282899978</v>
      </c>
      <c r="Q35" s="7">
        <f>Parameters!B$61*EXP(-Parameters!B$60*A35)</f>
        <v>0.21650379982043882</v>
      </c>
      <c r="R35" s="7">
        <f>(1-Parameters!B$61)*P35^-Parameters!B$63</f>
        <v>0.36976557626868123</v>
      </c>
      <c r="S35" s="7">
        <f>Parameters!B$61*EXP(-Parameters!B$60*A35)+(1-Parameters!B$61)*P35^-Parameters!B$63</f>
        <v>0.58626937608912</v>
      </c>
      <c r="T35" s="7">
        <f>1-S35/Parameters!$B$12</f>
        <v>0.70686531195544</v>
      </c>
      <c r="U35" s="7">
        <f t="shared" si="0"/>
        <v>3.4114011094039745</v>
      </c>
      <c r="V35" s="7">
        <f>(Parameters!$B$19*(F35+Parameters!$B$20)^T35+Parameters!$B$18*G35^T35)^(1/T35)</f>
        <v>0.33278489291177799</v>
      </c>
      <c r="W35" s="7">
        <f>(Parameters!$B$10*H35^Parameters!$B$9+Parameters!$B$11*V35^Parameters!$B$9)^(Parameters!$B$7/Parameters!$B$9)*O35</f>
        <v>1.3538494620977644</v>
      </c>
      <c r="X35" s="7">
        <f>W35 - D35 - E35 - LN(1+EXP(Parameters!$B$21*C35))/Parameters!$B$21 - IF(C35&gt;0, 0,Parameters!$B$6*C35^2/F35)</f>
        <v>1.0455006475608613</v>
      </c>
      <c r="Y35" s="7">
        <f>EXP(-Parameters!$B$55*A35)</f>
        <v>0.62619090143635336</v>
      </c>
      <c r="Z35" s="7">
        <f>IF(X35&gt;0,X35^(1-Parameters!$B$52)/(1-Parameters!$B$52)*Y35*Parameters!$B$65,-10+X35*1000)</f>
        <v>-1.7614697992649606</v>
      </c>
      <c r="AB35" s="9"/>
      <c r="AC35" s="23">
        <f t="shared" si="6"/>
        <v>0.81161771672830862</v>
      </c>
      <c r="AD35" s="23">
        <f t="shared" si="7"/>
        <v>16.710583543883097</v>
      </c>
      <c r="AE35" s="23">
        <f t="shared" si="8"/>
        <v>147.42881070601439</v>
      </c>
      <c r="AF35" s="23">
        <f t="shared" si="9"/>
        <v>49.524708457332508</v>
      </c>
      <c r="AG35" s="23">
        <f t="shared" si="10"/>
        <v>125.52624897675734</v>
      </c>
      <c r="AH35" s="23">
        <f t="shared" si="11"/>
        <v>201.47849657130638</v>
      </c>
      <c r="AI35" s="23">
        <f t="shared" si="12"/>
        <v>155.5903403828205</v>
      </c>
      <c r="AJ35" s="23"/>
      <c r="AK35" s="8">
        <f t="shared" si="1"/>
        <v>201.47849657130638</v>
      </c>
      <c r="AL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0.29699679803779988</v>
      </c>
      <c r="AM35" s="32">
        <f>((C36-C34)/2-(F36-F34)/F35/2*C35)/(F35/2/Parameters!$B$5-C35)-((D36-D34)/D35-(G36-G34)/G35)/(G35/2/Parameters!$B$5/D35-1)</f>
        <v>8.9158206950375376E-3</v>
      </c>
      <c r="AN35" s="32">
        <f>+Parameters!$B$5*C35^2/F35^2-Parameters!$B$5*D35^2/G35^2</f>
        <v>-7.8850698264632986E-3</v>
      </c>
      <c r="AO35" s="30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0.62497139766403842</v>
      </c>
      <c r="AP35" s="30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93.007606182677421</v>
      </c>
      <c r="AQ35" s="8">
        <f>1000*(AL35+AM35+AN35)/(EXP(-Parameters!$B$42*A35)*((C35&lt;0)*Parameters!$B$37*EXP(-Parameters!$B$38*AD35)+(C35&gt;=0)*Parameters!$B$41))</f>
        <v>433.10312045683486</v>
      </c>
      <c r="AR35" s="13">
        <f>1-W35/'6states,ExoDamages'!T35</f>
        <v>8.9442976670906504E-2</v>
      </c>
      <c r="AS35" s="21">
        <f>-Y35*W35*X35^(-Parameters!B$52)*Parameters!B$46*Parameters!B$45*N35</f>
        <v>-1.7199330640184722E-5</v>
      </c>
      <c r="AT35" s="7">
        <f>1000*EXP(-(Parameters!$B$54)*'6states'!A35)*AK35*Parameters!B$46*Parameters!B$45*N35</f>
        <v>1.4621606932188227</v>
      </c>
      <c r="AU35" s="7">
        <f>SUM(AT35:AT$204)*EXP(Parameters!$B$54*A35)</f>
        <v>340.87062775363898</v>
      </c>
      <c r="AV35" s="13">
        <f t="shared" si="23"/>
        <v>0.22650068921300659</v>
      </c>
      <c r="AW35" s="30"/>
      <c r="AX35" s="30"/>
      <c r="AY35" s="30"/>
      <c r="AZ35" s="5">
        <f t="shared" si="3"/>
        <v>-1.8159660426699969E-3</v>
      </c>
      <c r="BA35" s="2">
        <f>AZ35/Parameters!$B$45</f>
        <v>-3.0266100711166617</v>
      </c>
      <c r="BB35" s="2">
        <f t="shared" si="18"/>
        <v>-7.5894302631107635E-5</v>
      </c>
      <c r="BE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-0.56602447500475173</v>
      </c>
      <c r="BF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-84.2351852545074</v>
      </c>
      <c r="BG35" s="7">
        <f t="shared" si="4"/>
        <v>4.6319392447155848E-2</v>
      </c>
      <c r="BM35">
        <f>EXP(-Parameters!$B$56*A35)*AZ35*BF35</f>
        <v>1.3629414555270409E-2</v>
      </c>
      <c r="BN35">
        <f>-EXP((Parameters!$B$56)*F35)*SUM(BM35:BM43)</f>
        <v>-0.10619878940336423</v>
      </c>
      <c r="BO35">
        <f>X35^-Parameters!B$52/(1-2*Parameters!B$5*'6states'!D35/'6states'!G35)</f>
        <v>1.1473370338167261</v>
      </c>
      <c r="BP35">
        <f t="shared" si="14"/>
        <v>0.99743239848233334</v>
      </c>
      <c r="BQ35">
        <f>$X35^-Parameters!$B$52/(1-2*Parameters!$B$5*'6states'!$E35/'6states'!$H35)</f>
        <v>1.0800339156242829</v>
      </c>
      <c r="BR35">
        <f t="shared" si="21"/>
        <v>1.0023050835377407</v>
      </c>
      <c r="BS35" s="7">
        <f>($X35^-Parameters!$B$52*(1/(1+EXP(-C35)) + IF(C35&lt;0,2*Parameters!$B$6*C35/F35,0)) + BK35*(1/(1+EXP((C35-Parameters!$B$22)*Parameters!$B$21))))/(1-IF(C35&gt;0,2*Parameters!$B$5*C35/F35,0))</f>
        <v>0.48283010288845102</v>
      </c>
      <c r="BT35">
        <f t="shared" si="22"/>
        <v>1.0031226629020995</v>
      </c>
      <c r="BU35" s="7">
        <f t="shared" si="24"/>
        <v>1.5030222185836162E-3</v>
      </c>
      <c r="BV35">
        <f>(1/$T35-1/Parameters!$B$13) * LN(Parameters!$B$18) / LN(P35)</f>
        <v>0.23108044632378147</v>
      </c>
      <c r="BW35">
        <f>(Parameters!$B$18*'6states'!T35^+Parameters!$B$19*Parameters!$B$25^'6states'!T35)^((1-'6states'!T35)/'6states'!T35)*Parameters!$B$18*Parameters!$B$26^('6states'!T35-1)</f>
        <v>0.27167468782728832</v>
      </c>
      <c r="BX35">
        <f t="shared" si="15"/>
        <v>0.24501030380776698</v>
      </c>
      <c r="BY35">
        <f t="shared" si="20"/>
        <v>0.14800341455274113</v>
      </c>
      <c r="BZ35">
        <f t="shared" si="20"/>
        <v>0.17164257405697037</v>
      </c>
    </row>
    <row r="36" spans="1:78" x14ac:dyDescent="0.25">
      <c r="A36">
        <f>A35+Parameters!$B$65</f>
        <v>32</v>
      </c>
      <c r="B36">
        <v>2057</v>
      </c>
      <c r="C36" s="74">
        <v>1.2862215410892617E-3</v>
      </c>
      <c r="D36" s="69">
        <v>8.8838134092647889E-2</v>
      </c>
      <c r="E36" s="75">
        <v>0.21774587811024029</v>
      </c>
      <c r="F36" s="7">
        <f>MAX((1-Parameters!$B$4)^Parameters!B$65*F35 + C35*Parameters!B$65 - IF(C35&gt;0,Parameters!$B$5,0)*C35^2/F35*Parameters!B$65, 0.0001)</f>
        <v>0.10656468317072408</v>
      </c>
      <c r="G36" s="7">
        <f>(1-Parameters!$B$4)^Parameters!B$65*G35+D35*Parameters!B$65-Parameters!$B$5*D35^2/G35*Parameters!B$65</f>
        <v>1.009168499951034</v>
      </c>
      <c r="H36" s="7">
        <f>(1-Parameters!$B$4)^Parameters!B$65*H35+E35*Parameters!B$65-Parameters!$B$5*E35^2/H35*Parameters!B$65</f>
        <v>3.3708100056706369</v>
      </c>
      <c r="I36" s="9">
        <f>I35 *(1-Parameters!$B$4)-C35*(C35&lt;0)*Parameters!B$65</f>
        <v>5.1106852114968558E-3</v>
      </c>
      <c r="J36" s="23">
        <f>J35*(1+Parameters!$B$51)^Parameters!B$65</f>
        <v>8.9522945037225981</v>
      </c>
      <c r="K36" s="23">
        <f>K35*(1+Parameters!$B$53)^Parameters!B$65</f>
        <v>17.005200900604791</v>
      </c>
      <c r="L36" s="23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9.6020553721367126</v>
      </c>
      <c r="M36" s="8">
        <f>M35+L36*Parameters!B$65</f>
        <v>2986.9094139221479</v>
      </c>
      <c r="N36" s="7">
        <f>M36*Parameters!$B$45</f>
        <v>1.7921456483532885</v>
      </c>
      <c r="O36" s="9">
        <f>EXP(-Parameters!$B$46/2*N36^2)</f>
        <v>0.96823693939957878</v>
      </c>
      <c r="P36" s="8">
        <f>MAX((Parameters!$B$62 + Parameters!$B$31*'6states'!A36 - '6states'!M36 + Parameters!$B$47/Parameters!$B$45)/Parameters!B$62,1)</f>
        <v>21.309811721557043</v>
      </c>
      <c r="Q36" s="7">
        <f>Parameters!B$61*EXP(-Parameters!B$60*A36)</f>
        <v>0.21073640738795882</v>
      </c>
      <c r="R36" s="7">
        <f>(1-Parameters!B$61)*P36^-Parameters!B$63</f>
        <v>0.36822395901503141</v>
      </c>
      <c r="S36" s="7">
        <f>Parameters!B$61*EXP(-Parameters!B$60*A36)+(1-Parameters!B$61)*P36^-Parameters!B$63</f>
        <v>0.5789603664029902</v>
      </c>
      <c r="T36" s="7">
        <f>1-S36/Parameters!$B$12</f>
        <v>0.71051981679850496</v>
      </c>
      <c r="U36" s="7">
        <f t="shared" si="0"/>
        <v>3.454467898080408</v>
      </c>
      <c r="V36" s="7">
        <f>(Parameters!$B$19*(F36+Parameters!$B$20)^T36+Parameters!$B$18*G36^T36)^(1/T36)</f>
        <v>0.33215676061405836</v>
      </c>
      <c r="W36" s="7">
        <f>(Parameters!$B$10*H36^Parameters!$B$9+Parameters!$B$11*V36^Parameters!$B$9)^(Parameters!$B$7/Parameters!$B$9)*O36</f>
        <v>1.3525111076664487</v>
      </c>
      <c r="X36" s="7">
        <f>W36 - D36 - E36 - LN(1+EXP(Parameters!$B$21*C36))/Parameters!$B$21 - IF(C36&gt;0, 0,Parameters!$B$6*C36^2/F36)</f>
        <v>1.0429118364742012</v>
      </c>
      <c r="Y36" s="7">
        <f>EXP(-Parameters!$B$55*A36)</f>
        <v>0.61680644974664667</v>
      </c>
      <c r="Z36" s="7">
        <f>IF(X36&gt;0,X36^(1-Parameters!$B$52)/(1-Parameters!$B$52)*Y36*Parameters!$B$65,-10+X36*1000)</f>
        <v>-1.736577633732814</v>
      </c>
      <c r="AB36" s="9"/>
      <c r="AC36" s="23">
        <f t="shared" si="6"/>
        <v>0.77802805866763969</v>
      </c>
      <c r="AD36" s="23">
        <f t="shared" si="7"/>
        <v>16.222934917481869</v>
      </c>
      <c r="AE36" s="23">
        <f t="shared" si="8"/>
        <v>153.63133834170799</v>
      </c>
      <c r="AF36" s="23">
        <f t="shared" si="9"/>
        <v>50.566072637879728</v>
      </c>
      <c r="AG36" s="23">
        <f t="shared" si="10"/>
        <v>128.16571003517964</v>
      </c>
      <c r="AH36" s="23">
        <f t="shared" si="11"/>
        <v>205.90029475048473</v>
      </c>
      <c r="AI36" s="23">
        <f t="shared" si="12"/>
        <v>158.76827429484206</v>
      </c>
      <c r="AJ36" s="23"/>
      <c r="AK36" s="8">
        <f t="shared" si="1"/>
        <v>205.90029475048473</v>
      </c>
      <c r="AL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0.2998703304043755</v>
      </c>
      <c r="AM36" s="32">
        <f>((C37-C35)/2-(F37-F35)/F36/2*C36)/(F36/2/Parameters!$B$5-C36)-((D37-D35)/D36-(G37-G35)/G36)/(G36/2/Parameters!$B$5/D36-1)</f>
        <v>8.1131027761462485E-3</v>
      </c>
      <c r="AN36" s="32">
        <f>+Parameters!$B$5*C36^2/F36^2-Parameters!$B$5*D36^2/G36^2</f>
        <v>-7.6037790903452258E-3</v>
      </c>
      <c r="AO36" s="30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0.61943352719242173</v>
      </c>
      <c r="AP36" s="30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94.299813956652443</v>
      </c>
      <c r="AQ36" s="8">
        <f>1000*(AL36+AM36+AN36)/(EXP(-Parameters!$B$42*A36)*((C36&lt;0)*Parameters!$B$37*EXP(-Parameters!$B$38*AD36)+(C36&gt;=0)*Parameters!$B$41))</f>
        <v>440.90838632409066</v>
      </c>
      <c r="AR36" s="13">
        <f>1-W36/'6states,ExoDamages'!T36</f>
        <v>9.007651290617591E-2</v>
      </c>
      <c r="AS36" s="21">
        <f>-Y36*W36*X36^(-Parameters!B$52)*Parameters!B$46*Parameters!B$45*N36</f>
        <v>-1.7036332255151934E-5</v>
      </c>
      <c r="AT36" s="7">
        <f>1000*EXP(-(Parameters!$B$54)*'6states'!A36)*AK36*Parameters!B$46*Parameters!B$45*N36</f>
        <v>1.4473648324501547</v>
      </c>
      <c r="AU36" s="7">
        <f>SUM(AT36:AT$204)*EXP(Parameters!$B$54*A36)</f>
        <v>348.55197074650641</v>
      </c>
      <c r="AV36" s="13">
        <f t="shared" si="23"/>
        <v>0.22762861761273109</v>
      </c>
      <c r="AW36" s="30"/>
      <c r="AX36" s="30"/>
      <c r="AY36" s="30"/>
      <c r="AZ36" s="5">
        <f t="shared" ref="AZ36:AZ55" si="25">SUM(AS36:AS234)/Y36</f>
        <v>-1.8157107193953047E-3</v>
      </c>
      <c r="BA36" s="2">
        <f>AZ36/Parameters!$B$45</f>
        <v>-3.0261845323255083</v>
      </c>
      <c r="BB36" s="2">
        <f t="shared" si="18"/>
        <v>-1.4061891685979155E-4</v>
      </c>
      <c r="BE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-0.57449653676708745</v>
      </c>
      <c r="BF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-87.458805759876995</v>
      </c>
      <c r="BG36" s="7">
        <f t="shared" ref="BG36:BG67" si="26">I36/(F36+I36)</f>
        <v>4.5763764073783818E-2</v>
      </c>
      <c r="BM36">
        <f>EXP(-Parameters!$B$56*A36)*AZ36*BF36</f>
        <v>1.3087333619634191E-2</v>
      </c>
      <c r="BN36">
        <f>-EXP((Parameters!$B$56)*F36)*SUM(BM36:BM44)</f>
        <v>-0.10215021715893652</v>
      </c>
      <c r="BO36">
        <f>X36^-Parameters!B$52/(1-2*Parameters!B$5*'6states'!D36/'6states'!G36)</f>
        <v>1.1467565637877386</v>
      </c>
      <c r="BP36">
        <f t="shared" si="14"/>
        <v>0.99949407191446049</v>
      </c>
      <c r="BQ36">
        <f>$X36^-Parameters!$B$52/(1-2*Parameters!$B$5*'6states'!$E36/'6states'!$H36)</f>
        <v>1.0850376907282593</v>
      </c>
      <c r="BR36">
        <f t="shared" si="21"/>
        <v>1.0046329796051674</v>
      </c>
      <c r="BS36" s="7">
        <f>($X36^-Parameters!$B$52*(1/(1+EXP(-C36)) + IF(C36&lt;0,2*Parameters!$B$6*C36/F36,0)) + BK36*(1/(1+EXP((C36-Parameters!$B$22)*Parameters!$B$21))))/(1-IF(C36&gt;0,2*Parameters!$B$5*C36/F36,0))</f>
        <v>0.48442586496503287</v>
      </c>
      <c r="BT36">
        <f t="shared" si="22"/>
        <v>1.0033050177837617</v>
      </c>
      <c r="BU36" s="7">
        <f t="shared" si="24"/>
        <v>1.5957620765818525E-3</v>
      </c>
      <c r="BV36">
        <f>(1/$T36-1/Parameters!$B$13) * LN(Parameters!$B$18) / LN(P36)</f>
        <v>0.23075810954178397</v>
      </c>
      <c r="BW36">
        <f>(Parameters!$B$18*'6states'!T36^+Parameters!$B$19*Parameters!$B$25^'6states'!T36)^((1-'6states'!T36)/'6states'!T36)*Parameters!$B$18*Parameters!$B$26^('6states'!T36-1)</f>
        <v>0.27327555273814524</v>
      </c>
      <c r="BX36">
        <f t="shared" si="15"/>
        <v>0.24358476122925263</v>
      </c>
      <c r="BY36">
        <f t="shared" si="20"/>
        <v>0.14781303438786653</v>
      </c>
      <c r="BZ36">
        <f t="shared" si="20"/>
        <v>0.17256123866336248</v>
      </c>
    </row>
    <row r="37" spans="1:78" x14ac:dyDescent="0.25">
      <c r="A37">
        <f>A36+Parameters!$B$65</f>
        <v>33</v>
      </c>
      <c r="B37">
        <v>2058</v>
      </c>
      <c r="C37" s="74">
        <v>1.2862215410892617E-3</v>
      </c>
      <c r="D37" s="69">
        <v>8.8838134092647889E-2</v>
      </c>
      <c r="E37" s="75">
        <v>0.21774587811024029</v>
      </c>
      <c r="F37" s="7">
        <f>MAX((1-Parameters!$B$4)^Parameters!B$65*F36 + C36*Parameters!B$65 - IF(C36&gt;0,Parameters!$B$5,0)*C36^2/F36*Parameters!B$65, 0.0001)</f>
        <v>0.10113246161758228</v>
      </c>
      <c r="G37" s="7">
        <f>(1-Parameters!$B$4)^Parameters!B$65*G36+D36*Parameters!B$65-Parameters!$B$5*D36^2/G36*Parameters!B$65</f>
        <v>1.0267094236889092</v>
      </c>
      <c r="H37" s="7">
        <f>(1-Parameters!$B$4)^Parameters!B$65*H36+E36*Parameters!B$65-Parameters!$B$5*E36^2/H36*Parameters!B$65</f>
        <v>3.3624660964344422</v>
      </c>
      <c r="I37" s="9">
        <f>I36 *(1-Parameters!$B$4)-C36*(C36&lt;0)*Parameters!B$65</f>
        <v>4.7892231116937042E-3</v>
      </c>
      <c r="J37" s="23">
        <f>J36*(1+Parameters!$B$51)^Parameters!B$65</f>
        <v>8.9782561577833935</v>
      </c>
      <c r="K37" s="23">
        <f>K36*(1+Parameters!$B$53)^Parameters!B$65</f>
        <v>17.345304918616886</v>
      </c>
      <c r="L37" s="23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9.2345008343236987</v>
      </c>
      <c r="M37" s="8">
        <f>M36+L37*Parameters!B$65</f>
        <v>2996.1439147564715</v>
      </c>
      <c r="N37" s="7">
        <f>M37*Parameters!$B$45</f>
        <v>1.7976863488538828</v>
      </c>
      <c r="O37" s="9">
        <f>EXP(-Parameters!$B$46/2*N37^2)</f>
        <v>0.96804341171416064</v>
      </c>
      <c r="P37" s="8">
        <f>MAX((Parameters!$B$62 + Parameters!$B$31*'6states'!A37 - '6states'!M37 + Parameters!$B$47/Parameters!$B$45)/Parameters!B$62,1)</f>
        <v>22.189121704870573</v>
      </c>
      <c r="Q37" s="7">
        <f>Parameters!B$61*EXP(-Parameters!B$60*A37)</f>
        <v>0.20512265112952199</v>
      </c>
      <c r="R37" s="7">
        <f>(1-Parameters!B$61)*P37^-Parameters!B$63</f>
        <v>0.36673806829467925</v>
      </c>
      <c r="S37" s="7">
        <f>Parameters!B$61*EXP(-Parameters!B$60*A37)+(1-Parameters!B$61)*P37^-Parameters!B$63</f>
        <v>0.57186071942420125</v>
      </c>
      <c r="T37" s="7">
        <f>1-S37/Parameters!$B$12</f>
        <v>0.71406964028789943</v>
      </c>
      <c r="U37" s="7">
        <f t="shared" si="0"/>
        <v>3.4973550937608953</v>
      </c>
      <c r="V37" s="7">
        <f>(Parameters!$B$19*(F37+Parameters!$B$20)^T37+Parameters!$B$18*G37^T37)^(1/T37)</f>
        <v>0.33154898693506846</v>
      </c>
      <c r="W37" s="7">
        <f>(Parameters!$B$10*H37^Parameters!$B$9+Parameters!$B$11*V37^Parameters!$B$9)^(Parameters!$B$7/Parameters!$B$9)*O37</f>
        <v>1.3513228326366209</v>
      </c>
      <c r="X37" s="7">
        <f>W37 - D37 - E37 - LN(1+EXP(Parameters!$B$21*C37))/Parameters!$B$21 - IF(C37&gt;0, 0,Parameters!$B$6*C37^2/F37)</f>
        <v>1.0417235614443734</v>
      </c>
      <c r="Y37" s="7">
        <f>EXP(-Parameters!$B$55*A37)</f>
        <v>0.60756263876780681</v>
      </c>
      <c r="Z37" s="7">
        <f>IF(X37&gt;0,X37^(1-Parameters!$B$52)/(1-Parameters!$B$52)*Y37*Parameters!$B$65,-10+X37*1000)</f>
        <v>-1.7112349627524046</v>
      </c>
      <c r="AB37" s="9"/>
      <c r="AC37" s="23">
        <f t="shared" si="6"/>
        <v>0.7458285441503878</v>
      </c>
      <c r="AD37" s="23">
        <f t="shared" si="7"/>
        <v>15.749417986064865</v>
      </c>
      <c r="AE37" s="23">
        <f t="shared" si="8"/>
        <v>159.8900650223782</v>
      </c>
      <c r="AF37" s="23">
        <f t="shared" si="9"/>
        <v>51.632319579462688</v>
      </c>
      <c r="AG37" s="23">
        <f t="shared" si="10"/>
        <v>130.8682394034274</v>
      </c>
      <c r="AH37" s="23">
        <f t="shared" si="11"/>
        <v>210.44230294506409</v>
      </c>
      <c r="AI37" s="23">
        <f t="shared" si="12"/>
        <v>162.22822556380078</v>
      </c>
      <c r="AJ37" s="23"/>
      <c r="AK37" s="8">
        <f t="shared" si="1"/>
        <v>210.44230294506411</v>
      </c>
      <c r="AL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0.30250661164998982</v>
      </c>
      <c r="AM37" s="32">
        <f>((C38-C36)/2-(F38-F36)/F37/2*C37)/(F37/2/Parameters!$B$5-C37)-((D38-D36)/D37-(G38-G36)/G37)/(G37/2/Parameters!$B$5/D37-1)</f>
        <v>7.7156482225875277E-3</v>
      </c>
      <c r="AN37" s="32">
        <f>+Parameters!$B$5*C37^2/F37^2-Parameters!$B$5*D37^2/G37^2</f>
        <v>-7.3251775077999015E-3</v>
      </c>
      <c r="AO37" s="30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0.61394402705003615</v>
      </c>
      <c r="AP37" s="30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95.609865985679647</v>
      </c>
      <c r="AQ37" s="8">
        <f>1000*(AL37+AM37+AN37)/(EXP(-Parameters!$B$42*A37)*((C37&lt;0)*Parameters!$B$37*EXP(-Parameters!$B$38*AD37)+(C37&gt;=0)*Parameters!$B$41))</f>
        <v>449.07190089701959</v>
      </c>
      <c r="AR37" s="13">
        <f>1-W37/'6states,ExoDamages'!T37</f>
        <v>9.0622447896264058E-2</v>
      </c>
      <c r="AS37" s="21">
        <f>-Y37*W37*X37^(-Parameters!B$52)*Parameters!B$46*Parameters!B$45*N37</f>
        <v>-1.684401212531536E-5</v>
      </c>
      <c r="AT37" s="7">
        <f>1000*EXP(-(Parameters!$B$54)*'6states'!A37)*AK37*Parameters!B$46*Parameters!B$45*N37</f>
        <v>1.4326858636856461</v>
      </c>
      <c r="AU37" s="7">
        <f>SUM(AT37:AT$204)*EXP(Parameters!$B$54*A37)</f>
        <v>356.39423396578877</v>
      </c>
      <c r="AV37" s="13">
        <f t="shared" si="23"/>
        <v>0.22782878103471343</v>
      </c>
      <c r="AW37" s="30"/>
      <c r="AX37" s="30"/>
      <c r="AY37" s="30"/>
      <c r="AZ37" s="5">
        <f t="shared" si="25"/>
        <v>-1.8152955431538561E-3</v>
      </c>
      <c r="BA37" s="2">
        <f>AZ37/Parameters!$B$45</f>
        <v>-3.0254925719230936</v>
      </c>
      <c r="BB37" s="2">
        <f t="shared" si="18"/>
        <v>-2.2870999877389053E-4</v>
      </c>
      <c r="BE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-0.58292253782066406</v>
      </c>
      <c r="BF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-90.778871143775689</v>
      </c>
      <c r="BG37" s="7">
        <f t="shared" si="26"/>
        <v>4.5214755825820033E-2</v>
      </c>
      <c r="BM37">
        <f>EXP(-Parameters!$B$56*A37)*AZ37*BF37</f>
        <v>1.2561980729868723E-2</v>
      </c>
      <c r="BN37">
        <f>-EXP((Parameters!$B$56)*F37)*SUM(BM37:BM45)</f>
        <v>-9.8285374286580393E-2</v>
      </c>
      <c r="BO37">
        <f>X37^-Parameters!B$52/(1-2*Parameters!B$5*'6states'!D37/'6states'!G37)</f>
        <v>1.1443451691046536</v>
      </c>
      <c r="BP37">
        <f t="shared" ref="BP37:BP68" si="27">BO37/BO36</f>
        <v>0.99789720437690788</v>
      </c>
      <c r="BQ37">
        <f>$X37^-Parameters!$B$52/(1-2*Parameters!$B$5*'6states'!$E37/'6states'!$H37)</f>
        <v>1.0871091256935415</v>
      </c>
      <c r="BR37">
        <f t="shared" si="21"/>
        <v>1.0019090903320527</v>
      </c>
      <c r="BS37" s="7">
        <f>($X37^-Parameters!$B$52*(1/(1+EXP(-C37)) + IF(C37&lt;0,2*Parameters!$B$6*C37/F37,0)) + BK37*(1/(1+EXP((C37-Parameters!$B$22)*Parameters!$B$21))))/(1-IF(C37&gt;0,2*Parameters!$B$5*C37/F37,0))</f>
        <v>0.48581750393222239</v>
      </c>
      <c r="BT37">
        <f t="shared" si="22"/>
        <v>1.0028727594206597</v>
      </c>
      <c r="BU37" s="7">
        <f t="shared" si="24"/>
        <v>1.3916389671895235E-3</v>
      </c>
      <c r="BV37">
        <f>(1/$T37-1/Parameters!$B$13) * LN(Parameters!$B$18) / LN(P37)</f>
        <v>0.23043689402442485</v>
      </c>
      <c r="BW37">
        <f>(Parameters!$B$18*'6states'!T37^+Parameters!$B$19*Parameters!$B$25^'6states'!T37)^((1-'6states'!T37)/'6states'!T37)*Parameters!$B$18*Parameters!$B$26^('6states'!T37-1)</f>
        <v>0.27479596612495177</v>
      </c>
      <c r="BX37">
        <f t="shared" ref="BX37:BX68" si="28">(LN(BW37)-LN(BW$4))/ LN(P37)</f>
        <v>0.24219716547401218</v>
      </c>
      <c r="BY37">
        <f t="shared" si="20"/>
        <v>0.14762327415086429</v>
      </c>
      <c r="BZ37">
        <f t="shared" si="20"/>
        <v>0.17343279242661946</v>
      </c>
    </row>
    <row r="38" spans="1:78" x14ac:dyDescent="0.25">
      <c r="A38">
        <f>A37+Parameters!$B$65</f>
        <v>34</v>
      </c>
      <c r="B38">
        <v>2059</v>
      </c>
      <c r="C38" s="74">
        <v>1.2777394256786449E-3</v>
      </c>
      <c r="D38" s="69">
        <v>8.9054279984927417E-2</v>
      </c>
      <c r="E38" s="75">
        <v>0.21878390702580958</v>
      </c>
      <c r="F38" s="7">
        <f>MAX((1-Parameters!$B$4)^Parameters!B$65*F37 + C37*Parameters!B$65 - IF(C37&gt;0,Parameters!$B$5,0)*C37^2/F37*Parameters!B$65, 0.0001)</f>
        <v>9.6041092917065612E-2</v>
      </c>
      <c r="G38" s="7">
        <f>(1-Parameters!$B$4)^Parameters!B$65*G37+D37*Parameters!B$65-Parameters!$B$5*D37^2/G37*Parameters!B$65</f>
        <v>1.0432806336678389</v>
      </c>
      <c r="H38" s="7">
        <f>(1-Parameters!$B$4)^Parameters!B$65*H37+E37*Parameters!B$65-Parameters!$B$5*E37^2/H37*Parameters!B$65</f>
        <v>3.3546121149229902</v>
      </c>
      <c r="I38" s="9">
        <f>I37 *(1-Parameters!$B$4)-C37*(C37&lt;0)*Parameters!B$65</f>
        <v>4.4879809779681708E-3</v>
      </c>
      <c r="J38" s="23">
        <f>J37*(1+Parameters!$B$51)^Parameters!B$65</f>
        <v>9.0042931006409646</v>
      </c>
      <c r="K38" s="23">
        <f>K37*(1+Parameters!$B$53)^Parameters!B$65</f>
        <v>17.692211016989223</v>
      </c>
      <c r="L38" s="23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8.8872734086654877</v>
      </c>
      <c r="M38" s="8">
        <f>M37+L38*Parameters!B$65</f>
        <v>3005.0311881651369</v>
      </c>
      <c r="N38" s="7">
        <f>M38*Parameters!$B$45</f>
        <v>1.803018712899082</v>
      </c>
      <c r="O38" s="9">
        <f>EXP(-Parameters!$B$46/2*N38^2)</f>
        <v>0.96785663344982054</v>
      </c>
      <c r="P38" s="8">
        <f>MAX((Parameters!$B$62 + Parameters!$B$31*'6states'!A38 - '6states'!M38 + Parameters!$B$47/Parameters!$B$45)/Parameters!B$62,1)</f>
        <v>23.075376236697267</v>
      </c>
      <c r="Q38" s="7">
        <f>Parameters!B$61*EXP(-Parameters!B$60*A38)</f>
        <v>0.19965843836819494</v>
      </c>
      <c r="R38" s="7">
        <f>(1-Parameters!B$61)*P38^-Parameters!B$63</f>
        <v>0.36530458677229383</v>
      </c>
      <c r="S38" s="7">
        <f>Parameters!B$61*EXP(-Parameters!B$60*A38)+(1-Parameters!B$61)*P38^-Parameters!B$63</f>
        <v>0.56496302514048879</v>
      </c>
      <c r="T38" s="7">
        <f>1-S38/Parameters!$B$12</f>
        <v>0.71751848742975555</v>
      </c>
      <c r="U38" s="7">
        <f t="shared" si="0"/>
        <v>3.5400546779192523</v>
      </c>
      <c r="V38" s="7">
        <f>(Parameters!$B$19*(F38+Parameters!$B$20)^T38+Parameters!$B$18*G38^T38)^(1/T38)</f>
        <v>0.33101557445847368</v>
      </c>
      <c r="W38" s="7">
        <f>(Parameters!$B$10*H38^Parameters!$B$9+Parameters!$B$11*V38^Parameters!$B$9)^(Parameters!$B$7/Parameters!$B$9)*O38</f>
        <v>1.3502124022717017</v>
      </c>
      <c r="X38" s="7">
        <f>W38 - D38 - E38 - LN(1+EXP(Parameters!$B$21*C38))/Parameters!$B$21 - IF(C38&gt;0, 0,Parameters!$B$6*C38^2/F38)</f>
        <v>1.0393640029662552</v>
      </c>
      <c r="Y38" s="7">
        <f>EXP(-Parameters!$B$55*A38)</f>
        <v>0.59845736077844469</v>
      </c>
      <c r="Z38" s="7">
        <f>IF(X38&gt;0,X38^(1-Parameters!$B$52)/(1-Parameters!$B$52)*Y38*Parameters!$B$65,-10+X38*1000)</f>
        <v>-1.6869277545353152</v>
      </c>
      <c r="AB38" s="9"/>
      <c r="AC38" s="23">
        <f t="shared" si="6"/>
        <v>0.71496164061495859</v>
      </c>
      <c r="AD38" s="23">
        <f t="shared" si="7"/>
        <v>15.299908287384433</v>
      </c>
      <c r="AE38" s="23">
        <f t="shared" si="8"/>
        <v>166.20071188596324</v>
      </c>
      <c r="AF38" s="23">
        <f t="shared" si="9"/>
        <v>52.732718642465635</v>
      </c>
      <c r="AG38" s="23">
        <f t="shared" si="10"/>
        <v>133.65733137507024</v>
      </c>
      <c r="AH38" s="23">
        <f t="shared" si="11"/>
        <v>215.09673927893519</v>
      </c>
      <c r="AI38" s="23">
        <f t="shared" si="12"/>
        <v>165.5767696888297</v>
      </c>
      <c r="AJ38" s="23"/>
      <c r="AK38" s="8">
        <f t="shared" si="1"/>
        <v>215.09673927893522</v>
      </c>
      <c r="AL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0.30497835478100216</v>
      </c>
      <c r="AM38" s="32">
        <f>((C39-C37)/2-(F39-F37)/F38/2*C38)/(F38/2/Parameters!$B$5-C38)-((D39-D37)/D38-(G39-G37)/G38)/(G38/2/Parameters!$B$5/D38-1)</f>
        <v>7.2080613240679834E-3</v>
      </c>
      <c r="AN38" s="32">
        <f>+Parameters!$B$5*C38^2/F38^2-Parameters!$B$5*D38^2/G38^2</f>
        <v>-7.1093054183432114E-3</v>
      </c>
      <c r="AO38" s="30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0.60853777148614185</v>
      </c>
      <c r="AP38" s="30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96.943629131618039</v>
      </c>
      <c r="AQ38" s="8">
        <f>1000*(AL38+AM38+AN38)/(EXP(-Parameters!$B$42*A38)*((C38&lt;0)*Parameters!$B$37*EXP(-Parameters!$B$38*AD38)+(C38&gt;=0)*Parameters!$B$41))</f>
        <v>456.84971768220998</v>
      </c>
      <c r="AR38" s="13">
        <f>1-W38/'6states,ExoDamages'!T38</f>
        <v>9.1128546439052216E-2</v>
      </c>
      <c r="AS38" s="21">
        <f>-Y38*W38*X38^(-Parameters!B$52)*Parameters!B$46*Parameters!B$45*N38</f>
        <v>-1.6678096841114665E-5</v>
      </c>
      <c r="AT38" s="7">
        <f>1000*EXP(-(Parameters!$B$54)*'6states'!A38)*AK38*Parameters!B$46*Parameters!B$45*N38</f>
        <v>1.4180591094225115</v>
      </c>
      <c r="AU38" s="7">
        <f>SUM(AT38:AT$204)*EXP(Parameters!$B$54*A38)</f>
        <v>364.40040969650266</v>
      </c>
      <c r="AV38" s="13">
        <f t="shared" si="23"/>
        <v>0.22893874024289443</v>
      </c>
      <c r="AW38" s="30"/>
      <c r="AX38" s="30"/>
      <c r="AY38" s="30"/>
      <c r="AZ38" s="5">
        <f t="shared" si="25"/>
        <v>-1.8147687862072309E-3</v>
      </c>
      <c r="BA38" s="2">
        <f>AZ38/Parameters!$B$45</f>
        <v>-3.0246146436787185</v>
      </c>
      <c r="BB38" s="2">
        <f t="shared" si="18"/>
        <v>-2.9026118954034175E-4</v>
      </c>
      <c r="BE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-0.59205789574626166</v>
      </c>
      <c r="BF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-94.318288459730951</v>
      </c>
      <c r="BG38" s="7">
        <f t="shared" si="26"/>
        <v>4.4643612082353824E-2</v>
      </c>
      <c r="BM38">
        <f>EXP(-Parameters!$B$56*A38)*AZ38*BF38</f>
        <v>1.2068915486037097E-2</v>
      </c>
      <c r="BN38">
        <f>-EXP((Parameters!$B$56)*F38)*SUM(BM38:BM46)</f>
        <v>-9.4609067285242543E-2</v>
      </c>
      <c r="BO38">
        <f>X38^-Parameters!B$52/(1-2*Parameters!B$5*'6states'!D38/'6states'!G38)</f>
        <v>1.1446225469072795</v>
      </c>
      <c r="BP38">
        <f t="shared" si="27"/>
        <v>1.0002423899799768</v>
      </c>
      <c r="BQ38">
        <f>$X38^-Parameters!$B$52/(1-2*Parameters!$B$5*'6states'!$E38/'6states'!$H38)</f>
        <v>1.09159849883649</v>
      </c>
      <c r="BR38">
        <f t="shared" si="21"/>
        <v>1.0041296435075775</v>
      </c>
      <c r="BS38" s="7">
        <f>($X38^-Parameters!$B$52*(1/(1+EXP(-C38)) + IF(C38&lt;0,2*Parameters!$B$6*C38/F38,0)) + BK38*(1/(1+EXP((C38-Parameters!$B$22)*Parameters!$B$21))))/(1-IF(C38&gt;0,2*Parameters!$B$5*C38/F38,0))</f>
        <v>0.48789158232937535</v>
      </c>
      <c r="BT38">
        <f t="shared" si="22"/>
        <v>1.0042692541548324</v>
      </c>
      <c r="BU38" s="7">
        <f t="shared" si="24"/>
        <v>2.0740783971529564E-3</v>
      </c>
      <c r="BV38">
        <f>(1/$T38-1/Parameters!$B$13) * LN(Parameters!$B$18) / LN(P38)</f>
        <v>0.23011640700202907</v>
      </c>
      <c r="BW38">
        <f>(Parameters!$B$18*'6states'!T38^+Parameters!$B$19*Parameters!$B$25^'6states'!T38)^((1-'6states'!T38)/'6states'!T38)*Parameters!$B$18*Parameters!$B$26^('6states'!T38-1)</f>
        <v>0.27624054044430596</v>
      </c>
      <c r="BX38">
        <f t="shared" si="28"/>
        <v>0.24084559480294379</v>
      </c>
      <c r="BY38">
        <f t="shared" si="20"/>
        <v>0.14743390216607744</v>
      </c>
      <c r="BZ38">
        <f t="shared" si="20"/>
        <v>0.17426002211159364</v>
      </c>
    </row>
    <row r="39" spans="1:78" x14ac:dyDescent="0.25">
      <c r="A39">
        <f>A38+Parameters!$B$65</f>
        <v>35</v>
      </c>
      <c r="B39">
        <v>2060</v>
      </c>
      <c r="C39" s="74">
        <v>1.2777394256786449E-3</v>
      </c>
      <c r="D39" s="69">
        <v>8.9054279984927417E-2</v>
      </c>
      <c r="E39" s="75">
        <v>0.21878390702580958</v>
      </c>
      <c r="F39" s="7">
        <f>MAX((1-Parameters!$B$4)^Parameters!B$65*F38 + C38*Parameters!B$65 - IF(C38&gt;0,Parameters!$B$5,0)*C38^2/F38*Parameters!B$65, 0.0001)</f>
        <v>9.1260848436856626E-2</v>
      </c>
      <c r="G39" s="7">
        <f>(1-Parameters!$B$4)^Parameters!B$65*G38+D38*Parameters!B$65-Parameters!$B$5*D38^2/G38*Parameters!B$65</f>
        <v>1.0591109016782101</v>
      </c>
      <c r="H39" s="7">
        <f>(1-Parameters!$B$4)^Parameters!B$65*H38+E38*Parameters!B$65-Parameters!$B$5*E38^2/H38*Parameters!B$65</f>
        <v>3.3481220875384374</v>
      </c>
      <c r="I39" s="9">
        <f>I38 *(1-Parameters!$B$4)-C38*(C38&lt;0)*Parameters!B$65</f>
        <v>4.2056869744539734E-3</v>
      </c>
      <c r="J39" s="23">
        <f>J38*(1+Parameters!$B$51)^Parameters!B$65</f>
        <v>9.0304055506328229</v>
      </c>
      <c r="K39" s="23">
        <f>K38*(1+Parameters!$B$53)^Parameters!B$65</f>
        <v>18.046055237329007</v>
      </c>
      <c r="L39" s="23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8.558551606700135</v>
      </c>
      <c r="M39" s="8">
        <f>M38+L39*Parameters!B$65</f>
        <v>3013.5897397718372</v>
      </c>
      <c r="N39" s="7">
        <f>M39*Parameters!$B$45</f>
        <v>1.8081538438631022</v>
      </c>
      <c r="O39" s="9">
        <f>EXP(-Parameters!$B$46/2*N39^2)</f>
        <v>0.96767627504315201</v>
      </c>
      <c r="P39" s="8">
        <f>MAX((Parameters!$B$62 + Parameters!$B$31*'6states'!A39 - '6states'!M39 + Parameters!$B$47/Parameters!$B$45)/Parameters!B$62,1)</f>
        <v>23.968205204563255</v>
      </c>
      <c r="Q39" s="7">
        <f>Parameters!B$61*EXP(-Parameters!B$60*A39)</f>
        <v>0.19433978545087652</v>
      </c>
      <c r="R39" s="7">
        <f>(1-Parameters!B$61)*P39^-Parameters!B$63</f>
        <v>0.36392044335311258</v>
      </c>
      <c r="S39" s="7">
        <f>Parameters!B$61*EXP(-Parameters!B$60*A39)+(1-Parameters!B$61)*P39^-Parameters!B$63</f>
        <v>0.55826022880398907</v>
      </c>
      <c r="T39" s="7">
        <f>1-S39/Parameters!$B$12</f>
        <v>0.72086988559800547</v>
      </c>
      <c r="U39" s="7">
        <f t="shared" si="0"/>
        <v>3.5825586291267415</v>
      </c>
      <c r="V39" s="7">
        <f>(Parameters!$B$19*(F39+Parameters!$B$20)^T39+Parameters!$B$18*G39^T39)^(1/T39)</f>
        <v>0.33058523411059099</v>
      </c>
      <c r="W39" s="7">
        <f>(Parameters!$B$10*H39^Parameters!$B$9+Parameters!$B$11*V39^Parameters!$B$9)^(Parameters!$B$7/Parameters!$B$9)*O39</f>
        <v>1.3492618881720091</v>
      </c>
      <c r="X39" s="7">
        <f>W39 - D39 - E39 - LN(1+EXP(Parameters!$B$21*C39))/Parameters!$B$21 - IF(C39&gt;0, 0,Parameters!$B$6*C39^2/F39)</f>
        <v>1.0384134888665626</v>
      </c>
      <c r="Y39" s="7">
        <f>EXP(-Parameters!$B$55*A39)</f>
        <v>0.58948853964467807</v>
      </c>
      <c r="Z39" s="7">
        <f>IF(X39&gt;0,X39^(1-Parameters!$B$52)/(1-Parameters!$B$52)*Y39*Parameters!$B$65,-10+X39*1000)</f>
        <v>-1.6621786881324208</v>
      </c>
      <c r="AB39" s="9"/>
      <c r="AC39" s="23">
        <f t="shared" si="6"/>
        <v>0.68537219654570036</v>
      </c>
      <c r="AD39" s="23">
        <f t="shared" si="7"/>
        <v>14.872159657082722</v>
      </c>
      <c r="AE39" s="23">
        <f t="shared" si="8"/>
        <v>172.59609891982848</v>
      </c>
      <c r="AF39" s="23">
        <f t="shared" si="9"/>
        <v>53.873226758005828</v>
      </c>
      <c r="AG39" s="23">
        <f t="shared" si="10"/>
        <v>136.54808449872874</v>
      </c>
      <c r="AH39" s="23">
        <f t="shared" si="11"/>
        <v>219.88003140245823</v>
      </c>
      <c r="AI39" s="23">
        <f t="shared" si="12"/>
        <v>169.22318235050307</v>
      </c>
      <c r="AJ39" s="23"/>
      <c r="AK39" s="8">
        <f t="shared" si="1"/>
        <v>219.8800314024582</v>
      </c>
      <c r="AL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0.30722680547768216</v>
      </c>
      <c r="AM39" s="32">
        <f>((C40-C38)/2-(F40-F38)/F39/2*C39)/(F39/2/Parameters!$B$5-C39)-((D40-D38)/D39-(G40-G38)/G39)/(G39/2/Parameters!$B$5/D39-1)</f>
        <v>6.9184184179458125E-3</v>
      </c>
      <c r="AN39" s="32">
        <f>+Parameters!$B$5*C39^2/F39^2-Parameters!$B$5*D39^2/G39^2</f>
        <v>-6.8740920241833411E-3</v>
      </c>
      <c r="AO39" s="30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0.60320967097042333</v>
      </c>
      <c r="AP39" s="30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98.300976673206463</v>
      </c>
      <c r="AQ39" s="8">
        <f>1000*(AL39+AM39+AN39)/(EXP(-Parameters!$B$42*A39)*((C39&lt;0)*Parameters!$B$37*EXP(-Parameters!$B$38*AD39)+(C39&gt;=0)*Parameters!$B$41))</f>
        <v>464.75967704654965</v>
      </c>
      <c r="AR39" s="13">
        <f>1-W39/'6states,ExoDamages'!T39</f>
        <v>9.1538789343285742E-2</v>
      </c>
      <c r="AS39" s="21">
        <f>-Y39*W39*X39^(-Parameters!B$52)*Parameters!B$46*Parameters!B$45*N39</f>
        <v>-1.6483687521915584E-5</v>
      </c>
      <c r="AT39" s="7">
        <f>1000*EXP(-(Parameters!$B$54)*'6states'!A39)*AK39*Parameters!B$46*Parameters!B$45*N39</f>
        <v>1.4035817285889023</v>
      </c>
      <c r="AU39" s="7">
        <f>SUM(AT39:AT$204)*EXP(Parameters!$B$54*A39)</f>
        <v>372.57375218192436</v>
      </c>
      <c r="AV39" s="13">
        <f t="shared" si="23"/>
        <v>0.22910002064551632</v>
      </c>
      <c r="AW39" s="30"/>
      <c r="AX39" s="30"/>
      <c r="AY39" s="30"/>
      <c r="AZ39" s="5">
        <f t="shared" si="25"/>
        <v>-1.8140872459032897E-3</v>
      </c>
      <c r="BA39" s="2">
        <f>AZ39/Parameters!$B$45</f>
        <v>-3.0234787431721499</v>
      </c>
      <c r="BB39" s="2">
        <f t="shared" si="18"/>
        <v>-3.7569323387298681E-4</v>
      </c>
      <c r="BE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-0.60183201003374065</v>
      </c>
      <c r="BF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-98.076468642056085</v>
      </c>
      <c r="BG39" s="7">
        <f t="shared" si="26"/>
        <v>4.4054044240047864E-2</v>
      </c>
      <c r="BM39">
        <f>EXP(-Parameters!$B$56*A39)*AZ39*BF39</f>
        <v>1.1603768465507468E-2</v>
      </c>
      <c r="BN39">
        <f>-EXP((Parameters!$B$56)*F39)*SUM(BM39:BM47)</f>
        <v>-9.1108309194728773E-2</v>
      </c>
      <c r="BO39">
        <f>X39^-Parameters!B$52/(1-2*Parameters!B$5*'6states'!D39/'6states'!G39)</f>
        <v>1.1425216603481541</v>
      </c>
      <c r="BP39">
        <f t="shared" si="27"/>
        <v>0.99816455951806826</v>
      </c>
      <c r="BQ39">
        <f>$X39^-Parameters!$B$52/(1-2*Parameters!$B$5*'6states'!$E39/'6states'!$H39)</f>
        <v>1.0932655183245612</v>
      </c>
      <c r="BR39">
        <f t="shared" si="21"/>
        <v>1.001527136112635</v>
      </c>
      <c r="BS39" s="7">
        <f>($X39^-Parameters!$B$52*(1/(1+EXP(-C39)) + IF(C39&lt;0,2*Parameters!$B$6*C39/F39,0)) + BK39*(1/(1+EXP((C39-Parameters!$B$22)*Parameters!$B$21))))/(1-IF(C39&gt;0,2*Parameters!$B$5*C39/F39,0))</f>
        <v>0.48919502574270873</v>
      </c>
      <c r="BT39">
        <f t="shared" si="22"/>
        <v>1.0026715841398826</v>
      </c>
      <c r="BU39" s="7">
        <f t="shared" si="24"/>
        <v>1.3034434133333828E-3</v>
      </c>
      <c r="BV39">
        <f>(1/$T39-1/Parameters!$B$13) * LN(Parameters!$B$18) / LN(P39)</f>
        <v>0.22979629675366275</v>
      </c>
      <c r="BW39">
        <f>(Parameters!$B$18*'6states'!T39^+Parameters!$B$19*Parameters!$B$25^'6states'!T39)^((1-'6states'!T39)/'6states'!T39)*Parameters!$B$18*Parameters!$B$26^('6states'!T39-1)</f>
        <v>0.27761359351955261</v>
      </c>
      <c r="BX39">
        <f t="shared" si="28"/>
        <v>0.23952825996270907</v>
      </c>
      <c r="BY39">
        <f t="shared" si="20"/>
        <v>0.14724471081411739</v>
      </c>
      <c r="BZ39">
        <f t="shared" si="20"/>
        <v>0.1750455280069444</v>
      </c>
    </row>
    <row r="40" spans="1:78" x14ac:dyDescent="0.25">
      <c r="A40">
        <f>A39+Parameters!$B$65</f>
        <v>36</v>
      </c>
      <c r="B40">
        <v>2061</v>
      </c>
      <c r="C40" s="74">
        <v>1.3024108559814829E-3</v>
      </c>
      <c r="D40" s="69">
        <v>8.9361068860545206E-2</v>
      </c>
      <c r="E40" s="75">
        <v>0.21943176880845566</v>
      </c>
      <c r="F40" s="7">
        <f>MAX((1-Parameters!$B$4)^Parameters!B$65*F39 + C39*Parameters!B$65 - IF(C39&gt;0,Parameters!$B$5,0)*C39^2/F39*Parameters!B$65, 0.0001)</f>
        <v>8.678039091814764E-2</v>
      </c>
      <c r="G40" s="7">
        <f>(1-Parameters!$B$4)^Parameters!B$65*G39+D39*Parameters!B$65-Parameters!$B$5*D39^2/G39*Parameters!B$65</f>
        <v>1.0740590659594453</v>
      </c>
      <c r="H40" s="7">
        <f>(1-Parameters!$B$4)^Parameters!B$65*H39+E39*Parameters!B$65-Parameters!$B$5*E39^2/H39*Parameters!B$65</f>
        <v>3.3420126240543584</v>
      </c>
      <c r="I40" s="9">
        <f>I39 *(1-Parameters!$B$4)-C39*(C39&lt;0)*Parameters!B$65</f>
        <v>3.9411492637608184E-3</v>
      </c>
      <c r="J40" s="23">
        <f>J39*(1+Parameters!$B$51)^Parameters!B$65</f>
        <v>9.0565937267296572</v>
      </c>
      <c r="K40" s="23">
        <f>K39*(1+Parameters!$B$53)^Parameters!B$65</f>
        <v>18.406976342075588</v>
      </c>
      <c r="L40" s="23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8.248219025643527</v>
      </c>
      <c r="M40" s="8">
        <f>M39+L40*Parameters!B$65</f>
        <v>3021.837958797481</v>
      </c>
      <c r="N40" s="7">
        <f>M40*Parameters!$B$45</f>
        <v>1.8131027752784885</v>
      </c>
      <c r="O40" s="9">
        <f>EXP(-Parameters!$B$46/2*N40^2)</f>
        <v>0.96750200297599998</v>
      </c>
      <c r="P40" s="8">
        <f>MAX((Parameters!$B$62 + Parameters!$B$31*'6states'!A40 - '6states'!M40 + Parameters!$B$47/Parameters!$B$45)/Parameters!B$62,1)</f>
        <v>24.867240824050381</v>
      </c>
      <c r="Q40" s="7">
        <f>Parameters!B$61*EXP(-Parameters!B$60*A40)</f>
        <v>0.18916281484403841</v>
      </c>
      <c r="R40" s="7">
        <f>(1-Parameters!B$61)*P40^-Parameters!B$63</f>
        <v>0.36258283830521076</v>
      </c>
      <c r="S40" s="7">
        <f>Parameters!B$61*EXP(-Parameters!B$60*A40)+(1-Parameters!B$61)*P40^-Parameters!B$63</f>
        <v>0.55174565314924917</v>
      </c>
      <c r="T40" s="7">
        <f>1-S40/Parameters!$B$12</f>
        <v>0.72412717342537536</v>
      </c>
      <c r="U40" s="7">
        <f t="shared" si="0"/>
        <v>3.6248586438051964</v>
      </c>
      <c r="V40" s="7">
        <f>(Parameters!$B$19*(F40+Parameters!$B$20)^T40+Parameters!$B$18*G40^T40)^(1/T40)</f>
        <v>0.33022199972009586</v>
      </c>
      <c r="W40" s="7">
        <f>(Parameters!$B$10*H40^Parameters!$B$9+Parameters!$B$11*V40^Parameters!$B$9)^(Parameters!$B$7/Parameters!$B$9)*O40</f>
        <v>1.3483770831855701</v>
      </c>
      <c r="X40" s="7">
        <f>W40 - D40 - E40 - LN(1+EXP(Parameters!$B$21*C40))/Parameters!$B$21 - IF(C40&gt;0, 0,Parameters!$B$6*C40^2/F40)</f>
        <v>1.0365593397660056</v>
      </c>
      <c r="Y40" s="7">
        <f>EXP(-Parameters!$B$55*A40)</f>
        <v>0.58065413034674362</v>
      </c>
      <c r="Z40" s="7">
        <f>IF(X40&gt;0,X40^(1-Parameters!$B$52)/(1-Parameters!$B$52)*Y40*Parameters!$B$65,-10+X40*1000)</f>
        <v>-1.638292775387743</v>
      </c>
      <c r="AB40" s="9"/>
      <c r="AC40" s="23">
        <f t="shared" si="6"/>
        <v>0.6570073429307981</v>
      </c>
      <c r="AD40" s="23">
        <f t="shared" si="7"/>
        <v>14.466682239084136</v>
      </c>
      <c r="AE40" s="23">
        <f t="shared" si="8"/>
        <v>179.0504865079314</v>
      </c>
      <c r="AF40" s="23">
        <f t="shared" si="9"/>
        <v>55.049495488116534</v>
      </c>
      <c r="AG40" s="23">
        <f t="shared" si="10"/>
        <v>139.52947714249683</v>
      </c>
      <c r="AH40" s="23">
        <f t="shared" si="11"/>
        <v>224.78053618481135</v>
      </c>
      <c r="AI40" s="23">
        <f t="shared" si="12"/>
        <v>172.79911316017999</v>
      </c>
      <c r="AJ40" s="23"/>
      <c r="AK40" s="8">
        <f t="shared" si="1"/>
        <v>224.78053618481135</v>
      </c>
      <c r="AL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0.30902319304657733</v>
      </c>
      <c r="AM40" s="32">
        <f>((C41-C39)/2-(F41-F39)/F40/2*C40)/(F40/2/Parameters!$B$5-C40)-((D41-D39)/D40-(G41-G39)/G40)/(G40/2/Parameters!$B$5/D40-1)</f>
        <v>6.5995480948110516E-3</v>
      </c>
      <c r="AN40" s="32">
        <f>+Parameters!$B$5*C40^2/F40^2-Parameters!$B$5*D40^2/G40^2</f>
        <v>-6.6968962247416939E-3</v>
      </c>
      <c r="AO40" s="30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0.59796392793853814</v>
      </c>
      <c r="AP40" s="30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99.683281492483104</v>
      </c>
      <c r="AQ40" s="8">
        <f>1000*(AL40+AM40+AN40)/(EXP(-Parameters!$B$42*A40)*((C40&lt;0)*Parameters!$B$37*EXP(-Parameters!$B$38*AD40)+(C40&gt;=0)*Parameters!$B$41))</f>
        <v>471.9585617881354</v>
      </c>
      <c r="AR40" s="13">
        <f>1-W40/'6states,ExoDamages'!T40</f>
        <v>9.191584519599072E-2</v>
      </c>
      <c r="AS40" s="21">
        <f>-Y40*W40*X40^(-Parameters!B$52)*Parameters!B$46*Parameters!B$45*N40</f>
        <v>-1.6309719219087758E-5</v>
      </c>
      <c r="AT40" s="7">
        <f>1000*EXP(-(Parameters!$B$54)*'6states'!A40)*AK40*Parameters!B$46*Parameters!B$45*N40</f>
        <v>1.3891652982483325</v>
      </c>
      <c r="AU40" s="7">
        <f>SUM(AT40:AT$204)*EXP(Parameters!$B$54*A40)</f>
        <v>380.91724427232259</v>
      </c>
      <c r="AV40" s="13">
        <f t="shared" si="23"/>
        <v>0.22997665296444791</v>
      </c>
      <c r="AW40" s="30"/>
      <c r="AX40" s="30"/>
      <c r="AY40" s="30"/>
      <c r="AZ40" s="5">
        <f t="shared" si="25"/>
        <v>-1.8132996887921917E-3</v>
      </c>
      <c r="BA40" s="2">
        <f>AZ40/Parameters!$B$45</f>
        <v>-3.0221661479869866</v>
      </c>
      <c r="BB40" s="2">
        <f t="shared" si="18"/>
        <v>-4.3432264173759449E-4</v>
      </c>
      <c r="BE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-0.61237536323895481</v>
      </c>
      <c r="BF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-102.08573270173029</v>
      </c>
      <c r="BG40" s="7">
        <f t="shared" si="26"/>
        <v>4.3442265815354354E-2</v>
      </c>
      <c r="BM40">
        <f>EXP(-Parameters!$B$56*A40)*AZ40*BF40</f>
        <v>1.1166979838230045E-2</v>
      </c>
      <c r="BN40">
        <f>-EXP((Parameters!$B$56)*F40)*SUM(BM40:BM48)</f>
        <v>-8.773553201257589E-2</v>
      </c>
      <c r="BO40">
        <f>X40^-Parameters!B$52/(1-2*Parameters!B$5*'6states'!D40/'6states'!G40)</f>
        <v>1.1428508077052906</v>
      </c>
      <c r="BP40">
        <f t="shared" si="27"/>
        <v>1.0002880885050671</v>
      </c>
      <c r="BQ40">
        <f>$X40^-Parameters!$B$52/(1-2*Parameters!$B$5*'6states'!$E40/'6states'!$H40)</f>
        <v>1.0966969075143052</v>
      </c>
      <c r="BR40">
        <f t="shared" si="21"/>
        <v>1.003138660400634</v>
      </c>
      <c r="BS40" s="7">
        <f>($X40^-Parameters!$B$52*(1/(1+EXP(-C40)) + IF(C40&lt;0,2*Parameters!$B$6*C40/F40,0)) + BK40*(1/(1+EXP((C40-Parameters!$B$22)*Parameters!$B$21))))/(1-IF(C40&gt;0,2*Parameters!$B$5*C40/F40,0))</f>
        <v>0.49140111681282667</v>
      </c>
      <c r="BT40">
        <f t="shared" si="22"/>
        <v>1.0045096351230649</v>
      </c>
      <c r="BU40" s="7">
        <f t="shared" ref="BU40:BU52" si="29">BS40-BS39</f>
        <v>2.2060910701179326E-3</v>
      </c>
      <c r="BV40">
        <f>(1/$T40-1/Parameters!$B$13) * LN(Parameters!$B$18) / LN(P40)</f>
        <v>0.22947632566473056</v>
      </c>
      <c r="BW40">
        <f>(Parameters!$B$18*'6states'!T40^+Parameters!$B$19*Parameters!$B$25^'6states'!T40)^((1-'6states'!T40)/'6states'!T40)*Parameters!$B$18*Parameters!$B$26^('6states'!T40-1)</f>
        <v>0.2789191599236161</v>
      </c>
      <c r="BX40">
        <f t="shared" si="28"/>
        <v>0.23824357926034273</v>
      </c>
      <c r="BY40">
        <f t="shared" si="20"/>
        <v>0.14705555975235018</v>
      </c>
      <c r="BZ40">
        <f t="shared" si="20"/>
        <v>0.17579173259607461</v>
      </c>
    </row>
    <row r="41" spans="1:78" x14ac:dyDescent="0.25">
      <c r="A41">
        <f>A40+Parameters!$B$65</f>
        <v>37</v>
      </c>
      <c r="B41">
        <v>2062</v>
      </c>
      <c r="C41" s="74">
        <v>1.3024108559814829E-3</v>
      </c>
      <c r="D41" s="69">
        <v>8.9361068860545206E-2</v>
      </c>
      <c r="E41" s="75">
        <v>0.21943176880845566</v>
      </c>
      <c r="F41" s="7">
        <f>MAX((1-Parameters!$B$4)^Parameters!B$65*F40 + C40*Parameters!B$65 - IF(C40&gt;0,Parameters!$B$5,0)*C40^2/F40*Parameters!B$65, 0.0001)</f>
        <v>8.2604768441927531E-2</v>
      </c>
      <c r="G41" s="7">
        <f>(1-Parameters!$B$4)^Parameters!B$65*G40+D40*Parameters!B$65-Parameters!$B$5*D40^2/G40*Parameters!B$65</f>
        <v>1.088427032341106</v>
      </c>
      <c r="H41" s="7">
        <f>(1-Parameters!$B$4)^Parameters!B$65*H40+E40*Parameters!B$65-Parameters!$B$5*E40^2/H40*Parameters!B$65</f>
        <v>3.3368242227235041</v>
      </c>
      <c r="I41" s="9">
        <f>I40 *(1-Parameters!$B$4)-C40*(C40&lt;0)*Parameters!B$65</f>
        <v>3.6932509750702632E-3</v>
      </c>
      <c r="J41" s="23">
        <f>J40*(1+Parameters!$B$51)^Parameters!B$65</f>
        <v>9.0828578485371718</v>
      </c>
      <c r="K41" s="23">
        <f>K40*(1+Parameters!$B$53)^Parameters!B$65</f>
        <v>18.775115868917101</v>
      </c>
      <c r="L41" s="23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7.9577853697519343</v>
      </c>
      <c r="M41" s="8">
        <f>M40+L41*Parameters!B$65</f>
        <v>3029.7957441672329</v>
      </c>
      <c r="N41" s="7">
        <f>M41*Parameters!$B$45</f>
        <v>1.8178774465003396</v>
      </c>
      <c r="O41" s="9">
        <f>EXP(-Parameters!$B$46/2*N41^2)</f>
        <v>0.96733344571874846</v>
      </c>
      <c r="P41" s="8">
        <f>MAX((Parameters!$B$62 + Parameters!$B$31*'6states'!A41 - '6states'!M41 + Parameters!$B$47/Parameters!$B$45)/Parameters!B$62,1)</f>
        <v>25.772085116655344</v>
      </c>
      <c r="Q41" s="7">
        <f>Parameters!B$61*EXP(-Parameters!B$60*A41)</f>
        <v>0.18412375230683145</v>
      </c>
      <c r="R41" s="7">
        <f>(1-Parameters!B$61)*P41^-Parameters!B$63</f>
        <v>0.36128925758111941</v>
      </c>
      <c r="S41" s="7">
        <f>Parameters!B$61*EXP(-Parameters!B$60*A41)+(1-Parameters!B$61)*P41^-Parameters!B$63</f>
        <v>0.54541300988795083</v>
      </c>
      <c r="T41" s="7">
        <f>1-S41/Parameters!$B$12</f>
        <v>0.72729349505602459</v>
      </c>
      <c r="U41" s="7">
        <f t="shared" si="0"/>
        <v>3.6669458992385939</v>
      </c>
      <c r="V41" s="7">
        <f>(Parameters!$B$19*(F41+Parameters!$B$20)^T41+Parameters!$B$18*G41^T41)^(1/T41)</f>
        <v>0.33000263524544871</v>
      </c>
      <c r="W41" s="7">
        <f>(Parameters!$B$10*H41^Parameters!$B$9+Parameters!$B$11*V41^Parameters!$B$9)^(Parameters!$B$7/Parameters!$B$9)*O41</f>
        <v>1.3476324236012061</v>
      </c>
      <c r="X41" s="7">
        <f>W41 - D41 - E41 - LN(1+EXP(Parameters!$B$21*C41))/Parameters!$B$21 - IF(C41&gt;0, 0,Parameters!$B$6*C41^2/F41)</f>
        <v>1.0358146801816415</v>
      </c>
      <c r="Y41" s="7">
        <f>EXP(-Parameters!$B$55*A41)</f>
        <v>0.571952118512703</v>
      </c>
      <c r="Z41" s="7">
        <f>IF(X41&gt;0,X41^(1-Parameters!$B$52)/(1-Parameters!$B$52)*Y41*Parameters!$B$65,-10+X41*1000)</f>
        <v>-1.6141463447135718</v>
      </c>
      <c r="AB41" s="9"/>
      <c r="AC41" s="23">
        <f t="shared" si="6"/>
        <v>0.62981639879843687</v>
      </c>
      <c r="AD41" s="23">
        <f t="shared" si="7"/>
        <v>14.086732294894684</v>
      </c>
      <c r="AE41" s="23">
        <f t="shared" si="8"/>
        <v>185.61132143230628</v>
      </c>
      <c r="AF41" s="23">
        <f t="shared" si="9"/>
        <v>56.275913206880965</v>
      </c>
      <c r="AG41" s="23">
        <f t="shared" si="10"/>
        <v>142.63797834746129</v>
      </c>
      <c r="AH41" s="23">
        <f t="shared" si="11"/>
        <v>229.8140596633495</v>
      </c>
      <c r="AI41" s="23">
        <f t="shared" si="12"/>
        <v>176.63924712891867</v>
      </c>
      <c r="AJ41" s="23"/>
      <c r="AK41" s="8">
        <f t="shared" si="1"/>
        <v>229.8140596633495</v>
      </c>
      <c r="AL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0.31058383248829335</v>
      </c>
      <c r="AM41" s="32">
        <f>((C42-C40)/2-(F42-F40)/F41/2*C41)/(F41/2/Parameters!$B$5-C41)-((D42-D40)/D41-(G42-G40)/G41)/(G41/2/Parameters!$B$5/D41-1)</f>
        <v>4.4039356970908237E-3</v>
      </c>
      <c r="AN41" s="32">
        <f>+Parameters!$B$5*C41^2/F41^2-Parameters!$B$5*D41^2/G41^2</f>
        <v>-6.4920012510438574E-3</v>
      </c>
      <c r="AO41" s="30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0.59281480825217536</v>
      </c>
      <c r="AP41" s="30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101.0937220914611</v>
      </c>
      <c r="AQ41" s="8">
        <f>1000*(AL41+AM41+AN41)/(EXP(-Parameters!$B$42*A41)*((C41&lt;0)*Parameters!$B$37*EXP(-Parameters!$B$38*AD41)+(C41&gt;=0)*Parameters!$B$41))</f>
        <v>476.03817314945957</v>
      </c>
      <c r="AR41" s="13">
        <f>1-W41/'6states,ExoDamages'!T41</f>
        <v>9.220883337016883E-2</v>
      </c>
      <c r="AS41" s="21">
        <f>-Y41*W41*X41^(-Parameters!B$52)*Parameters!B$46*Parameters!B$45*N41</f>
        <v>-1.6114329895298249E-5</v>
      </c>
      <c r="AT41" s="7">
        <f>1000*EXP(-(Parameters!$B$54)*'6states'!A41)*AK41*Parameters!B$46*Parameters!B$45*N41</f>
        <v>1.3748973040286725</v>
      </c>
      <c r="AU41" s="7">
        <f>SUM(AT41:AT$204)*EXP(Parameters!$B$54*A41)</f>
        <v>389.43421863563549</v>
      </c>
      <c r="AV41" s="13">
        <f t="shared" si="23"/>
        <v>0.2301037308796203</v>
      </c>
      <c r="AW41" s="30"/>
      <c r="AX41" s="30"/>
      <c r="AY41" s="30"/>
      <c r="AZ41" s="5">
        <f t="shared" si="25"/>
        <v>-1.8123724016095954E-3</v>
      </c>
      <c r="BA41" s="2">
        <f>AZ41/Parameters!$B$45</f>
        <v>-3.0206206693493258</v>
      </c>
      <c r="BB41" s="2">
        <f t="shared" si="18"/>
        <v>-5.1164274062709403E-4</v>
      </c>
      <c r="BE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-0.62405192258509312</v>
      </c>
      <c r="BF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-106.4206405681127</v>
      </c>
      <c r="BG41" s="7">
        <f t="shared" si="26"/>
        <v>4.2796474357357235E-2</v>
      </c>
      <c r="BM41">
        <f>EXP(-Parameters!$B$56*A41)*AZ41*BF41</f>
        <v>1.076215974677174E-2</v>
      </c>
      <c r="BN41">
        <f>-EXP((Parameters!$B$56)*F41)*SUM(BM41:BM49)</f>
        <v>-8.4482190169819962E-2</v>
      </c>
      <c r="BO41">
        <f>X41^-Parameters!B$52/(1-2*Parameters!B$5*'6states'!D41/'6states'!G41)</f>
        <v>1.1409536567181615</v>
      </c>
      <c r="BP41">
        <f t="shared" si="27"/>
        <v>0.99833998368436361</v>
      </c>
      <c r="BQ41">
        <f>$X41^-Parameters!$B$52/(1-2*Parameters!$B$5*'6states'!$E41/'6states'!$H41)</f>
        <v>1.098019509508591</v>
      </c>
      <c r="BR41">
        <f t="shared" si="21"/>
        <v>1.001205986800203</v>
      </c>
      <c r="BS41" s="7">
        <f>($X41^-Parameters!$B$52*(1/(1+EXP(-C41)) + IF(C41&lt;0,2*Parameters!$B$6*C41/F41,0)) + BK41*(1/(1+EXP((C41-Parameters!$B$22)*Parameters!$B$21))))/(1-IF(C41&gt;0,2*Parameters!$B$5*C41/F41,0))</f>
        <v>0.49264872602466148</v>
      </c>
      <c r="BT41">
        <f t="shared" si="22"/>
        <v>1.0025388815148135</v>
      </c>
      <c r="BU41" s="7">
        <f t="shared" si="29"/>
        <v>1.2476092118348103E-3</v>
      </c>
      <c r="BV41">
        <f>(1/$T41-1/Parameters!$B$13) * LN(Parameters!$B$18) / LN(P41)</f>
        <v>0.22915641939066531</v>
      </c>
      <c r="BW41">
        <f>(Parameters!$B$18*'6states'!T41^+Parameters!$B$19*Parameters!$B$25^'6states'!T41)^((1-'6states'!T41)/'6states'!T41)*Parameters!$B$18*Parameters!$B$26^('6states'!T41-1)</f>
        <v>0.28016100451644482</v>
      </c>
      <c r="BX41">
        <f t="shared" si="28"/>
        <v>0.2369902258468799</v>
      </c>
      <c r="BY41">
        <f t="shared" si="20"/>
        <v>0.14686640506276027</v>
      </c>
      <c r="BZ41">
        <f t="shared" si="20"/>
        <v>0.17650089021864379</v>
      </c>
    </row>
    <row r="42" spans="1:78" x14ac:dyDescent="0.25">
      <c r="A42">
        <f>A41+Parameters!$B$65</f>
        <v>38</v>
      </c>
      <c r="B42">
        <v>2063</v>
      </c>
      <c r="C42" s="74">
        <v>1.2458185618825412E-3</v>
      </c>
      <c r="D42" s="69">
        <v>9.0054461761986254E-2</v>
      </c>
      <c r="E42" s="75">
        <v>0.21974006779701546</v>
      </c>
      <c r="F42" s="7">
        <f>MAX((1-Parameters!$B$4)^Parameters!B$65*F41 + C41*Parameters!B$65 - IF(C41&gt;0,Parameters!$B$5,0)*C41^2/F41*Parameters!B$65, 0.0001)</f>
        <v>7.8690804543073006E-2</v>
      </c>
      <c r="G42" s="7">
        <f>(1-Parameters!$B$4)^Parameters!B$65*G41+D41*Parameters!B$65-Parameters!$B$5*D41^2/G41*Parameters!B$65</f>
        <v>1.1019893978122124</v>
      </c>
      <c r="H42" s="7">
        <f>(1-Parameters!$B$4)^Parameters!B$65*H41+E41*Parameters!B$65-Parameters!$B$5*E41^2/H41*Parameters!B$65</f>
        <v>3.3319397696113855</v>
      </c>
      <c r="I42" s="9">
        <f>I41 *(1-Parameters!$B$4)-C41*(C41&lt;0)*Parameters!B$65</f>
        <v>3.4609454887383436E-3</v>
      </c>
      <c r="J42" s="23">
        <f>J41*(1+Parameters!$B$51)^Parameters!B$65</f>
        <v>9.1091981362979286</v>
      </c>
      <c r="K42" s="23">
        <f>K41*(1+Parameters!$B$53)^Parameters!B$65</f>
        <v>19.150618186295443</v>
      </c>
      <c r="L42" s="23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7.6838785772568681</v>
      </c>
      <c r="M42" s="8">
        <f>M41+L42*Parameters!B$65</f>
        <v>3037.4796227444899</v>
      </c>
      <c r="N42" s="7">
        <f>M42*Parameters!$B$45</f>
        <v>1.8224877736466938</v>
      </c>
      <c r="O42" s="9">
        <f>EXP(-Parameters!$B$46/2*N42^2)</f>
        <v>0.96717029749878936</v>
      </c>
      <c r="P42" s="8">
        <f>MAX((Parameters!$B$62 + Parameters!$B$31*'6states'!A42 - '6states'!M42 + Parameters!$B$47/Parameters!$B$45)/Parameters!B$62,1)</f>
        <v>26.682407545110209</v>
      </c>
      <c r="Q42" s="7">
        <f>Parameters!B$61*EXP(-Parameters!B$60*A42)</f>
        <v>0.17921892413949694</v>
      </c>
      <c r="R42" s="7">
        <f>(1-Parameters!B$61)*P42^-Parameters!B$63</f>
        <v>0.36003730566997177</v>
      </c>
      <c r="S42" s="7">
        <f>Parameters!B$61*EXP(-Parameters!B$60*A42)+(1-Parameters!B$61)*P42^-Parameters!B$63</f>
        <v>0.53925622980946875</v>
      </c>
      <c r="T42" s="7">
        <f>1-S42/Parameters!$B$12</f>
        <v>0.73037188509526563</v>
      </c>
      <c r="U42" s="7">
        <f t="shared" si="0"/>
        <v>3.7088120441494845</v>
      </c>
      <c r="V42" s="7">
        <f>(Parameters!$B$19*(F42+Parameters!$B$20)^T42+Parameters!$B$18*G42^T42)^(1/T42)</f>
        <v>0.32984023342495156</v>
      </c>
      <c r="W42" s="7">
        <f>(Parameters!$B$10*H42^Parameters!$B$9+Parameters!$B$11*V42^Parameters!$B$9)^(Parameters!$B$7/Parameters!$B$9)*O42</f>
        <v>1.3469423454944887</v>
      </c>
      <c r="X42" s="7">
        <f>W42 - D42 - E42 - LN(1+EXP(Parameters!$B$21*C42))/Parameters!$B$21 - IF(C42&gt;0, 0,Parameters!$B$6*C42^2/F42)</f>
        <v>1.0341565492872056</v>
      </c>
      <c r="Y42" s="7">
        <f>EXP(-Parameters!$B$55*A42)</f>
        <v>0.56338051995913718</v>
      </c>
      <c r="Z42" s="7">
        <f>IF(X42&gt;0,X42^(1-Parameters!$B$52)/(1-Parameters!$B$52)*Y42*Parameters!$B$65,-10+X42*1000)</f>
        <v>-1.5908476164698448</v>
      </c>
      <c r="AB42" s="9"/>
      <c r="AC42" s="23">
        <f t="shared" si="6"/>
        <v>0.60375078066245025</v>
      </c>
      <c r="AD42" s="23">
        <f t="shared" si="7"/>
        <v>13.727357113375346</v>
      </c>
      <c r="AE42" s="23">
        <f t="shared" si="8"/>
        <v>192.23849707422164</v>
      </c>
      <c r="AF42" s="23">
        <f t="shared" si="9"/>
        <v>57.539565148364844</v>
      </c>
      <c r="AG42" s="23">
        <f t="shared" si="10"/>
        <v>145.84085410721113</v>
      </c>
      <c r="AH42" s="23">
        <f t="shared" si="11"/>
        <v>234.96974894454647</v>
      </c>
      <c r="AI42" s="23">
        <f t="shared" si="12"/>
        <v>180.40527537662706</v>
      </c>
      <c r="AJ42" s="23"/>
      <c r="AK42" s="8">
        <f t="shared" si="1"/>
        <v>234.96974894454647</v>
      </c>
      <c r="AL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0.31255921578235013</v>
      </c>
      <c r="AM42" s="32">
        <f>((C43-C41)/2-(F43-F41)/F42/2*C42)/(F42/2/Parameters!$B$5-C42)-((D43-D41)/D42-(G43-G41)/G42)/(G42/2/Parameters!$B$5/D42-1)</f>
        <v>4.1164651349084713E-3</v>
      </c>
      <c r="AN42" s="32">
        <f>+Parameters!$B$5*C42^2/F42^2-Parameters!$B$5*D42^2/G42^2</f>
        <v>-6.4274953267374289E-3</v>
      </c>
      <c r="AO42" s="30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0.58774695349852801</v>
      </c>
      <c r="AP42" s="30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102.53056084280352</v>
      </c>
      <c r="AQ42" s="8">
        <f>1000*(AL42+AM42+AN42)/(EXP(-Parameters!$B$42*A42)*((C42&lt;0)*Parameters!$B$37*EXP(-Parameters!$B$38*AD42)+(C42&gt;=0)*Parameters!$B$41))</f>
        <v>483.55376135110015</v>
      </c>
      <c r="AR42" s="13">
        <f>1-W42/'6states,ExoDamages'!T42</f>
        <v>9.2474717821791508E-2</v>
      </c>
      <c r="AS42" s="21">
        <f>-Y42*W42*X42^(-Parameters!B$52)*Parameters!B$46*Parameters!B$45*N42</f>
        <v>-1.5939374592990291E-5</v>
      </c>
      <c r="AT42" s="7">
        <f>1000*EXP(-(Parameters!$B$54)*'6states'!A42)*AK42*Parameters!B$46*Parameters!B$45*N42</f>
        <v>1.3606984942248772</v>
      </c>
      <c r="AU42" s="7">
        <f>SUM(AT42:AT$204)*EXP(Parameters!$B$54*A42)</f>
        <v>398.1277462746076</v>
      </c>
      <c r="AV42" s="13">
        <f t="shared" si="23"/>
        <v>0.23092328276804996</v>
      </c>
      <c r="AW42" s="30"/>
      <c r="AX42" s="30"/>
      <c r="AY42" s="30"/>
      <c r="AZ42" s="5">
        <f t="shared" si="25"/>
        <v>-1.8113439648450775E-3</v>
      </c>
      <c r="BA42" s="2">
        <f>AZ42/Parameters!$B$45</f>
        <v>-3.0189066080751297</v>
      </c>
      <c r="BB42" s="2">
        <f t="shared" si="18"/>
        <v>-5.6777552164466449E-4</v>
      </c>
      <c r="BE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-0.63657680954737039</v>
      </c>
      <c r="BF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-111.0487717782409</v>
      </c>
      <c r="BG42" s="7">
        <f t="shared" si="26"/>
        <v>4.2128688523350666E-2</v>
      </c>
      <c r="BM42">
        <f>EXP(-Parameters!$B$56*A42)*AZ42*BF42</f>
        <v>1.038163709890094E-2</v>
      </c>
      <c r="BN42">
        <f>-EXP((Parameters!$B$56)*F42)*SUM(BM42:BM50)</f>
        <v>-8.133441344228387E-2</v>
      </c>
      <c r="BO42">
        <f>X42^-Parameters!B$52/(1-2*Parameters!B$5*'6states'!D42/'6states'!G42)</f>
        <v>1.142381897711469</v>
      </c>
      <c r="BP42">
        <f t="shared" si="27"/>
        <v>1.0012517957981009</v>
      </c>
      <c r="BQ42">
        <f>$X42^-Parameters!$B$52/(1-2*Parameters!$B$5*'6states'!$E42/'6states'!$H42)</f>
        <v>1.1008758593544079</v>
      </c>
      <c r="BR42">
        <f t="shared" si="21"/>
        <v>1.0026013652954995</v>
      </c>
      <c r="BS42" s="7">
        <f>($X42^-Parameters!$B$52*(1/(1+EXP(-C42)) + IF(C42&lt;0,2*Parameters!$B$6*C42/F42,0)) + BK42*(1/(1+EXP((C42-Parameters!$B$22)*Parameters!$B$21))))/(1-IF(C42&gt;0,2*Parameters!$B$5*C42/F42,0))</f>
        <v>0.49376774735247281</v>
      </c>
      <c r="BT42">
        <f t="shared" si="22"/>
        <v>1.0022714385904152</v>
      </c>
      <c r="BU42" s="7">
        <f t="shared" si="29"/>
        <v>1.1190213278113315E-3</v>
      </c>
      <c r="BV42">
        <f>(1/$T42-1/Parameters!$B$13) * LN(Parameters!$B$18) / LN(P42)</f>
        <v>0.22883642164632556</v>
      </c>
      <c r="BW42">
        <f>(Parameters!$B$18*'6states'!T42^+Parameters!$B$19*Parameters!$B$25^'6states'!T42)^((1-'6states'!T42)/'6states'!T42)*Parameters!$B$18*Parameters!$B$26^('6states'!T42-1)</f>
        <v>0.28134267011431485</v>
      </c>
      <c r="BX42">
        <f t="shared" si="28"/>
        <v>0.23576684467775647</v>
      </c>
      <c r="BY42">
        <f t="shared" si="20"/>
        <v>0.1466771543222728</v>
      </c>
      <c r="BZ42">
        <f t="shared" si="20"/>
        <v>0.17717511597756341</v>
      </c>
    </row>
    <row r="43" spans="1:78" x14ac:dyDescent="0.25">
      <c r="A43">
        <f>A42+Parameters!$B$65</f>
        <v>39</v>
      </c>
      <c r="B43">
        <v>2064</v>
      </c>
      <c r="C43" s="74">
        <v>1.2458185618825412E-3</v>
      </c>
      <c r="D43" s="69">
        <v>9.0054461761986254E-2</v>
      </c>
      <c r="E43" s="75">
        <v>0.21974006779701546</v>
      </c>
      <c r="F43" s="7">
        <f>MAX((1-Parameters!$B$4)^Parameters!B$65*F42 + C42*Parameters!B$65 - IF(C42&gt;0,Parameters!$B$5,0)*C42^2/F42*Parameters!B$65, 0.0001)</f>
        <v>7.4967247925417299E-2</v>
      </c>
      <c r="G43" s="7">
        <f>(1-Parameters!$B$4)^Parameters!B$65*G42+D42*Parameters!B$65-Parameters!$B$5*D42^2/G42*Parameters!B$65</f>
        <v>1.1153694849751308</v>
      </c>
      <c r="H43" s="7">
        <f>(1-Parameters!$B$4)^Parameters!B$65*H42+E42*Parameters!B$65-Parameters!$B$5*E42^2/H42*Parameters!B$65</f>
        <v>3.3276090581206605</v>
      </c>
      <c r="I43" s="9">
        <f>I42 *(1-Parameters!$B$4)-C42*(C42&lt;0)*Parameters!B$65</f>
        <v>3.2432520174967019E-3</v>
      </c>
      <c r="J43" s="23">
        <f>J42*(1+Parameters!$B$51)^Parameters!B$65</f>
        <v>9.1356148108931912</v>
      </c>
      <c r="K43" s="23">
        <f>K42*(1+Parameters!$B$53)^Parameters!B$65</f>
        <v>19.533630550021353</v>
      </c>
      <c r="L43" s="23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7.4199906568424439</v>
      </c>
      <c r="M43" s="8">
        <f>M42+L43*Parameters!B$65</f>
        <v>3044.8996134013323</v>
      </c>
      <c r="N43" s="7">
        <f>M43*Parameters!$B$45</f>
        <v>1.8269397680407993</v>
      </c>
      <c r="O43" s="9">
        <f>EXP(-Parameters!$B$46/2*N43^2)</f>
        <v>0.96701238630743391</v>
      </c>
      <c r="P43" s="8">
        <f>MAX((Parameters!$B$62 + Parameters!$B$31*'6states'!A43 - '6states'!M43 + Parameters!$B$47/Parameters!$B$45)/Parameters!B$62,1)</f>
        <v>27.598007731973357</v>
      </c>
      <c r="Q43" s="7">
        <f>Parameters!B$61*EXP(-Parameters!B$60*A43)</f>
        <v>0.17444475450507668</v>
      </c>
      <c r="R43" s="7">
        <f>(1-Parameters!B$61)*P43^-Parameters!B$63</f>
        <v>0.35882461796474779</v>
      </c>
      <c r="S43" s="7">
        <f>Parameters!B$61*EXP(-Parameters!B$60*A43)+(1-Parameters!B$61)*P43^-Parameters!B$63</f>
        <v>0.53326937246982453</v>
      </c>
      <c r="T43" s="7">
        <f>1-S43/Parameters!$B$12</f>
        <v>0.73336531376508773</v>
      </c>
      <c r="U43" s="7">
        <f t="shared" si="0"/>
        <v>3.7504497787619924</v>
      </c>
      <c r="V43" s="7">
        <f>(Parameters!$B$19*(F43+Parameters!$B$20)^T43+Parameters!$B$18*G43^T43)^(1/T43)</f>
        <v>0.32980463144140537</v>
      </c>
      <c r="W43" s="7">
        <f>(Parameters!$B$10*H43^Parameters!$B$9+Parameters!$B$11*V43^Parameters!$B$9)^(Parameters!$B$7/Parameters!$B$9)*O43</f>
        <v>1.3463549804113637</v>
      </c>
      <c r="X43" s="7">
        <f>W43 - D43 - E43 - LN(1+EXP(Parameters!$B$21*C43))/Parameters!$B$21 - IF(C43&gt;0, 0,Parameters!$B$6*C43^2/F43)</f>
        <v>1.0335691842040806</v>
      </c>
      <c r="Y43" s="7">
        <f>EXP(-Parameters!$B$55*A43)</f>
        <v>0.5549373802387243</v>
      </c>
      <c r="Z43" s="7">
        <f>IF(X43&gt;0,X43^(1-Parameters!$B$52)/(1-Parameters!$B$52)*Y43*Parameters!$B$65,-10+X43*1000)</f>
        <v>-1.5673178939279928</v>
      </c>
      <c r="AB43" s="9"/>
      <c r="AC43" s="23">
        <f t="shared" si="6"/>
        <v>0.57876391571565855</v>
      </c>
      <c r="AD43" s="23">
        <f t="shared" si="7"/>
        <v>13.378034678054499</v>
      </c>
      <c r="AE43" s="23">
        <f t="shared" si="8"/>
        <v>199.03960811908155</v>
      </c>
      <c r="AF43" s="23">
        <f t="shared" si="9"/>
        <v>58.854205249679303</v>
      </c>
      <c r="AG43" s="23">
        <f t="shared" si="10"/>
        <v>149.17296540706059</v>
      </c>
      <c r="AH43" s="23">
        <f t="shared" si="11"/>
        <v>240.25936812878342</v>
      </c>
      <c r="AI43" s="23">
        <f t="shared" si="12"/>
        <v>184.44220337669177</v>
      </c>
      <c r="AJ43" s="23"/>
      <c r="AK43" s="8">
        <f t="shared" si="1"/>
        <v>240.25936812878342</v>
      </c>
      <c r="AL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0.31351614323178062</v>
      </c>
      <c r="AM43" s="32">
        <f>((C44-C42)/2-(F44-F42)/F43/2*C43)/(F43/2/Parameters!$B$5-C43)-((D44-D42)/D43-(G44-G42)/G43)/(G43/2/Parameters!$B$5/D43-1)</f>
        <v>2.3602857614920553E-3</v>
      </c>
      <c r="AN43" s="32">
        <f>+Parameters!$B$5*C43^2/F43^2-Parameters!$B$5*D43^2/G43^2</f>
        <v>-6.2427158743818094E-3</v>
      </c>
      <c r="AO43" s="30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0.58272305338911246</v>
      </c>
      <c r="AP43" s="30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103.98793382007368</v>
      </c>
      <c r="AQ43" s="8">
        <f>1000*(AL43+AM43+AN43)/(EXP(-Parameters!$B$42*A43)*((C43&lt;0)*Parameters!$B$37*EXP(-Parameters!$B$38*AD43)+(C43&gt;=0)*Parameters!$B$41))</f>
        <v>487.44621355973317</v>
      </c>
      <c r="AR43" s="13">
        <f>1-W43/'6states,ExoDamages'!T43</f>
        <v>9.2680563536261418E-2</v>
      </c>
      <c r="AS43" s="21">
        <f>-Y43*W43*X43^(-Parameters!B$52)*Parameters!B$46*Parameters!B$45*N43</f>
        <v>-1.5744058773736963E-5</v>
      </c>
      <c r="AT43" s="7">
        <f>1000*EXP(-(Parameters!$B$54)*'6states'!A43)*AK43*Parameters!B$46*Parameters!B$45*N43</f>
        <v>1.3466233835055323</v>
      </c>
      <c r="AU43" s="7">
        <f>SUM(AT43:AT$204)*EXP(Parameters!$B$54*A43)</f>
        <v>407.00123492192557</v>
      </c>
      <c r="AV43" s="13">
        <f t="shared" si="23"/>
        <v>0.23102402608994649</v>
      </c>
      <c r="AW43" s="30"/>
      <c r="AX43" s="30"/>
      <c r="AY43" s="30"/>
      <c r="AZ43" s="5">
        <f t="shared" si="25"/>
        <v>-1.8101799697006183E-3</v>
      </c>
      <c r="BA43" s="2">
        <f>AZ43/Parameters!$B$45</f>
        <v>-3.0169666161676973</v>
      </c>
      <c r="BB43" s="2">
        <f t="shared" si="18"/>
        <v>-6.4302730333043456E-4</v>
      </c>
      <c r="BE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-0.64913956951573937</v>
      </c>
      <c r="BF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-115.84007566235587</v>
      </c>
      <c r="BG43" s="7">
        <f t="shared" si="26"/>
        <v>4.1468243009109493E-2</v>
      </c>
      <c r="BM43">
        <f>EXP(-Parameters!$B$56*A43)*AZ43*BF43</f>
        <v>1.0010523132078139E-2</v>
      </c>
      <c r="BN43">
        <f>-EXP((Parameters!$B$56)*F43)*SUM(BM43:BM51)</f>
        <v>-7.8223402260015146E-2</v>
      </c>
      <c r="BO43">
        <f>X43^-Parameters!B$52/(1-2*Parameters!B$5*'6states'!D43/'6states'!G43)</f>
        <v>1.1405852255644915</v>
      </c>
      <c r="BP43">
        <f t="shared" si="27"/>
        <v>0.99842725786308695</v>
      </c>
      <c r="BQ43">
        <f>$X43^-Parameters!$B$52/(1-2*Parameters!$B$5*'6states'!$E43/'6states'!$H43)</f>
        <v>1.1019384226329285</v>
      </c>
      <c r="BR43">
        <f t="shared" si="21"/>
        <v>1.0009651980915848</v>
      </c>
      <c r="BS43" s="7">
        <f>($X43^-Parameters!$B$52*(1/(1+EXP(-C43)) + IF(C43&lt;0,2*Parameters!$B$6*C43/F43,0)) + BK43*(1/(1+EXP((C43-Parameters!$B$22)*Parameters!$B$21))))/(1-IF(C43&gt;0,2*Parameters!$B$5*C43/F43,0))</f>
        <v>0.49495046239613222</v>
      </c>
      <c r="BT43">
        <f t="shared" si="22"/>
        <v>1.0023952861441456</v>
      </c>
      <c r="BU43" s="7">
        <f t="shared" si="29"/>
        <v>1.1827150436594103E-3</v>
      </c>
      <c r="BV43">
        <f>(1/$T43-1/Parameters!$B$13) * LN(Parameters!$B$18) / LN(P43)</f>
        <v>0.22851598153686828</v>
      </c>
      <c r="BW43">
        <f>(Parameters!$B$18*'6states'!T43^+Parameters!$B$19*Parameters!$B$25^'6states'!T43)^((1-'6states'!T43)/'6states'!T43)*Parameters!$B$18*Parameters!$B$26^('6states'!T43-1)</f>
        <v>0.28246750565127116</v>
      </c>
      <c r="BX43">
        <f t="shared" si="28"/>
        <v>0.23457192355792914</v>
      </c>
      <c r="BY43">
        <f t="shared" si="20"/>
        <v>0.14648759989280735</v>
      </c>
      <c r="BZ43">
        <f t="shared" si="20"/>
        <v>0.17781640323911241</v>
      </c>
    </row>
    <row r="44" spans="1:78" ht="15" customHeight="1" x14ac:dyDescent="0.25">
      <c r="A44">
        <f>A43+Parameters!$B$65</f>
        <v>40</v>
      </c>
      <c r="B44">
        <v>2065</v>
      </c>
      <c r="C44" s="74">
        <v>1.0844745622532819E-3</v>
      </c>
      <c r="D44" s="69">
        <v>9.0782976634278312E-2</v>
      </c>
      <c r="E44" s="75">
        <v>0.21928216393287264</v>
      </c>
      <c r="F44" s="7">
        <f>MAX((1-Parameters!$B$4)^Parameters!B$65*F43 + C43*Parameters!B$65 - IF(C43&gt;0,Parameters!$B$5,0)*C43^2/F43*Parameters!B$65, 0.0001)</f>
        <v>7.1476923366621245E-2</v>
      </c>
      <c r="G44" s="7">
        <f>(1-Parameters!$B$4)^Parameters!B$65*G43+D43*Parameters!B$65-Parameters!$B$5*D43^2/G43*Parameters!B$65</f>
        <v>1.1279962468738491</v>
      </c>
      <c r="H44" s="7">
        <f>(1-Parameters!$B$4)^Parameters!B$65*H43+E43*Parameters!B$65-Parameters!$B$5*E43^2/H43*Parameters!B$65</f>
        <v>3.3235318880946862</v>
      </c>
      <c r="I44" s="9">
        <f>I43 *(1-Parameters!$B$4)-C43*(C43&lt;0)*Parameters!B$65</f>
        <v>3.0392514655961595E-3</v>
      </c>
      <c r="J44" s="23">
        <f>J43*(1+Parameters!$B$51)^Parameters!B$65</f>
        <v>9.1621080938447808</v>
      </c>
      <c r="K44" s="23">
        <f>K43*(1+Parameters!$B$53)^Parameters!B$65</f>
        <v>19.924303161021779</v>
      </c>
      <c r="L44" s="23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7.1712529253563062</v>
      </c>
      <c r="M44" s="8">
        <f>M43+L44*Parameters!B$65</f>
        <v>3052.0708663266887</v>
      </c>
      <c r="N44" s="7">
        <f>M44*Parameters!$B$45</f>
        <v>1.8312425197960132</v>
      </c>
      <c r="O44" s="9">
        <f>EXP(-Parameters!$B$46/2*N44^2)</f>
        <v>0.96685942718552043</v>
      </c>
      <c r="P44" s="8">
        <f>MAX((Parameters!$B$62 + Parameters!$B$31*'6states'!A44 - '6states'!M44 + Parameters!$B$47/Parameters!$B$45)/Parameters!B$62,1)</f>
        <v>28.518582673466227</v>
      </c>
      <c r="Q44" s="7">
        <f>Parameters!B$61*EXP(-Parameters!B$60*A44)</f>
        <v>0.16979776282246956</v>
      </c>
      <c r="R44" s="7">
        <f>(1-Parameters!B$61)*P44^-Parameters!B$63</f>
        <v>0.35764916096295546</v>
      </c>
      <c r="S44" s="7">
        <f>Parameters!B$61*EXP(-Parameters!B$60*A44)+(1-Parameters!B$61)*P44^-Parameters!B$63</f>
        <v>0.52744692378542501</v>
      </c>
      <c r="T44" s="7">
        <f>1-S44/Parameters!$B$12</f>
        <v>0.73627653810728755</v>
      </c>
      <c r="U44" s="7">
        <f t="shared" si="0"/>
        <v>3.7918507243273578</v>
      </c>
      <c r="V44" s="7">
        <f>(Parameters!$B$19*(F44+Parameters!$B$20)^T44+Parameters!$B$18*G44^T44)^(1/T44)</f>
        <v>0.32981615198964148</v>
      </c>
      <c r="W44" s="7">
        <f>(Parameters!$B$10*H44^Parameters!$B$9+Parameters!$B$11*V44^Parameters!$B$9)^(Parameters!$B$7/Parameters!$B$9)*O44</f>
        <v>1.3458133326788846</v>
      </c>
      <c r="X44" s="7">
        <f>W44 - D44 - E44 - LN(1+EXP(Parameters!$B$21*C44))/Parameters!$B$21 - IF(C44&gt;0, 0,Parameters!$B$6*C44^2/F44)</f>
        <v>1.0328515541859005</v>
      </c>
      <c r="Y44" s="7">
        <f>EXP(-Parameters!$B$55*A44)</f>
        <v>0.54662077419459754</v>
      </c>
      <c r="Z44" s="7">
        <f>IF(X44&gt;0,X44^(1-Parameters!$B$52)/(1-Parameters!$B$52)*Y44*Parameters!$B$65,-10+X44*1000)</f>
        <v>-1.5442045259496706</v>
      </c>
      <c r="AB44" s="9"/>
      <c r="AC44" s="23">
        <f t="shared" si="6"/>
        <v>0.55481115861579045</v>
      </c>
      <c r="AD44" s="23">
        <f t="shared" si="7"/>
        <v>13.048013669230393</v>
      </c>
      <c r="AE44" s="23">
        <f t="shared" si="8"/>
        <v>205.91415739256237</v>
      </c>
      <c r="AF44" s="23">
        <f t="shared" si="9"/>
        <v>60.207483153975005</v>
      </c>
      <c r="AG44" s="23">
        <f t="shared" si="10"/>
        <v>152.6030088023835</v>
      </c>
      <c r="AH44" s="23">
        <f t="shared" si="11"/>
        <v>245.67636565659691</v>
      </c>
      <c r="AI44" s="23">
        <f t="shared" si="12"/>
        <v>188.54562511285852</v>
      </c>
      <c r="AJ44" s="23"/>
      <c r="AK44" s="8">
        <f t="shared" si="1"/>
        <v>245.67636565659691</v>
      </c>
      <c r="AL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0.31614864103910673</v>
      </c>
      <c r="AM44" s="32">
        <f>((C45-C43)/2-(F45-F43)/F44/2*C44)/(F44/2/Parameters!$B$5-C44)-((D45-D43)/D44-(G45-G43)/G44)/(G44/2/Parameters!$B$5/D44-1)</f>
        <v>1.9248248600066103E-3</v>
      </c>
      <c r="AN44" s="32">
        <f>+Parameters!$B$5*C44^2/F44^2-Parameters!$B$5*D44^2/G44^2</f>
        <v>-6.2470918639156306E-3</v>
      </c>
      <c r="AO44" s="30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0.5777784192958052</v>
      </c>
      <c r="AP44" s="30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105.47265267825647</v>
      </c>
      <c r="AQ44" s="8">
        <f>1000*(AL44+AM44+AN44)/(EXP(-Parameters!$B$42*A44)*((C44&lt;0)*Parameters!$B$37*EXP(-Parameters!$B$38*AD44)+(C44&gt;=0)*Parameters!$B$41))</f>
        <v>495.83165522904892</v>
      </c>
      <c r="AR44" s="13">
        <f>1-W44/'6states,ExoDamages'!T44</f>
        <v>9.2864184808408634E-2</v>
      </c>
      <c r="AS44" s="21">
        <f>-Y44*W44*X44^(-Parameters!B$52)*Parameters!B$46*Parameters!B$45*N44</f>
        <v>-1.5552956451196434E-5</v>
      </c>
      <c r="AT44" s="7">
        <f>1000*EXP(-(Parameters!$B$54)*'6states'!A44)*AK44*Parameters!B$46*Parameters!B$45*N44</f>
        <v>1.3326223655053555</v>
      </c>
      <c r="AU44" s="7">
        <f>SUM(AT44:AT$204)*EXP(Parameters!$B$54*A44)</f>
        <v>416.05793819506499</v>
      </c>
      <c r="AV44" s="13">
        <f t="shared" si="23"/>
        <v>0.23119819634276542</v>
      </c>
      <c r="AZ44" s="5">
        <f t="shared" si="25"/>
        <v>-1.8089185739957375E-3</v>
      </c>
      <c r="BA44" s="2">
        <f>AZ44/Parameters!$B$45</f>
        <v>-3.0148642899928961</v>
      </c>
      <c r="BB44" s="2">
        <f t="shared" si="18"/>
        <v>-6.9732033437763796E-4</v>
      </c>
      <c r="BE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-0.66258182030592738</v>
      </c>
      <c r="BF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-120.95339644085145</v>
      </c>
      <c r="BG44" s="7">
        <f t="shared" si="26"/>
        <v>4.0786466460998816E-2</v>
      </c>
      <c r="BM44">
        <f>EXP(-Parameters!$B$56*A44)*AZ44*BF44</f>
        <v>9.6613608381179404E-3</v>
      </c>
      <c r="BN44">
        <f>-EXP((Parameters!$B$56)*F44)*SUM(BM44:BM52)</f>
        <v>-7.5160875863206009E-2</v>
      </c>
      <c r="BO44">
        <f>X44^-Parameters!B$52/(1-2*Parameters!B$5*'6states'!D44/'6states'!G44)</f>
        <v>1.1409532423056645</v>
      </c>
      <c r="BP44">
        <f t="shared" si="27"/>
        <v>1.0003226560654341</v>
      </c>
      <c r="BQ44">
        <f>$X44^-Parameters!$B$52/(1-2*Parameters!$B$5*'6states'!$E44/'6states'!$H44)</f>
        <v>1.1028278907368763</v>
      </c>
      <c r="BR44">
        <f t="shared" si="21"/>
        <v>1.0008071849439848</v>
      </c>
      <c r="BS44" s="7">
        <f>($X44^-Parameters!$B$52*(1/(1+EXP(-C44)) + IF(C44&lt;0,2*Parameters!$B$6*C44/F44,0)) + BK44*(1/(1+EXP((C44-Parameters!$B$22)*Parameters!$B$21))))/(1-IF(C44&gt;0,2*Parameters!$B$5*C44/F44,0))</f>
        <v>0.49389758371765291</v>
      </c>
      <c r="BT44">
        <f t="shared" si="22"/>
        <v>0.99787275948105558</v>
      </c>
      <c r="BU44" s="7">
        <f t="shared" si="29"/>
        <v>-1.0528786784793076E-3</v>
      </c>
      <c r="BV44">
        <f>(1/$T44-1/Parameters!$B$13) * LN(Parameters!$B$18) / LN(P44)</f>
        <v>0.22819505352413344</v>
      </c>
      <c r="BW44">
        <f>(Parameters!$B$18*'6states'!T44^+Parameters!$B$19*Parameters!$B$25^'6states'!T44)^((1-'6states'!T44)/'6states'!T44)*Parameters!$B$18*Parameters!$B$26^('6states'!T44-1)</f>
        <v>0.28353862127332841</v>
      </c>
      <c r="BX44">
        <f t="shared" si="28"/>
        <v>0.23340434932757168</v>
      </c>
      <c r="BY44">
        <f t="shared" si="20"/>
        <v>0.14629771464383601</v>
      </c>
      <c r="BZ44">
        <f t="shared" si="20"/>
        <v>0.1784265993193821</v>
      </c>
    </row>
    <row r="45" spans="1:78" x14ac:dyDescent="0.25">
      <c r="A45">
        <f>A44+Parameters!$B$65</f>
        <v>41</v>
      </c>
      <c r="B45">
        <v>2066</v>
      </c>
      <c r="C45" s="74">
        <v>1.0844745622532819E-3</v>
      </c>
      <c r="D45" s="69">
        <v>9.0782976634278312E-2</v>
      </c>
      <c r="E45" s="75">
        <v>0.21928216393287264</v>
      </c>
      <c r="F45" s="7">
        <f>MAX((1-Parameters!$B$4)^Parameters!B$65*F44 + C44*Parameters!B$65 - IF(C44&gt;0,Parameters!$B$5,0)*C44^2/F44*Parameters!B$65, 0.0001)</f>
        <v>6.8049045396242444E-2</v>
      </c>
      <c r="G45" s="7">
        <f>(1-Parameters!$B$4)^Parameters!B$65*G44+D44*Parameters!B$65-Parameters!$B$5*D44^2/G44*Parameters!B$65</f>
        <v>1.1405218976397997</v>
      </c>
      <c r="H45" s="7">
        <f>(1-Parameters!$B$4)^Parameters!B$65*H44+E44*Parameters!B$65-Parameters!$B$5*E44^2/H44*Parameters!B$65</f>
        <v>3.3192959540175782</v>
      </c>
      <c r="I45" s="9">
        <f>I44 *(1-Parameters!$B$4)-C44*(C44&lt;0)*Parameters!B$65</f>
        <v>2.8480825484101611E-3</v>
      </c>
      <c r="J45" s="23">
        <f>J44*(1+Parameters!$B$51)^Parameters!B$65</f>
        <v>9.1886782073169293</v>
      </c>
      <c r="K45" s="23">
        <f>K44*(1+Parameters!$B$53)^Parameters!B$65</f>
        <v>20.322789224242214</v>
      </c>
      <c r="L45" s="23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6.9202246345293519</v>
      </c>
      <c r="M45" s="8">
        <f>M44+L45*Parameters!B$65</f>
        <v>3058.9910909612181</v>
      </c>
      <c r="N45" s="7">
        <f>M45*Parameters!$B$45</f>
        <v>1.8353946545767308</v>
      </c>
      <c r="O45" s="9">
        <f>EXP(-Parameters!$B$46/2*N45^2)</f>
        <v>0.96671150423751473</v>
      </c>
      <c r="P45" s="8">
        <f>MAX((Parameters!$B$62 + Parameters!$B$31*'6states'!A45 - '6states'!M45 + Parameters!$B$47/Parameters!$B$45)/Parameters!B$62,1)</f>
        <v>29.444178180775644</v>
      </c>
      <c r="Q45" s="7">
        <f>Parameters!B$61*EXP(-Parameters!B$60*A45)</f>
        <v>0.16527456122893386</v>
      </c>
      <c r="R45" s="7">
        <f>(1-Parameters!B$61)*P45^-Parameters!B$63</f>
        <v>0.35650864095123258</v>
      </c>
      <c r="S45" s="7">
        <f>Parameters!B$61*EXP(-Parameters!B$60*A45)+(1-Parameters!B$61)*P45^-Parameters!B$63</f>
        <v>0.52178320218016649</v>
      </c>
      <c r="T45" s="7">
        <f>1-S45/Parameters!$B$12</f>
        <v>0.73910839890991675</v>
      </c>
      <c r="U45" s="7">
        <f t="shared" si="0"/>
        <v>3.8330095557760409</v>
      </c>
      <c r="V45" s="7">
        <f>(Parameters!$B$19*(F45+Parameters!$B$20)^T45+Parameters!$B$18*G45^T45)^(1/T45)</f>
        <v>0.32984840218170924</v>
      </c>
      <c r="W45" s="7">
        <f>(Parameters!$B$10*H45^Parameters!$B$9+Parameters!$B$11*V45^Parameters!$B$9)^(Parameters!$B$7/Parameters!$B$9)*O45</f>
        <v>1.3452731188280151</v>
      </c>
      <c r="X45" s="7">
        <f>W45 - D45 - E45 - LN(1+EXP(Parameters!$B$21*C45))/Parameters!$B$21 - IF(C45&gt;0, 0,Parameters!$B$6*C45^2/F45)</f>
        <v>1.032311340335031</v>
      </c>
      <c r="Y45" s="7">
        <f>EXP(-Parameters!$B$55*A45)</f>
        <v>0.53842880552138184</v>
      </c>
      <c r="Z45" s="7">
        <f>IF(X45&gt;0,X45^(1-Parameters!$B$52)/(1-Parameters!$B$52)*Y45*Parameters!$B$65,-10+X45*1000)</f>
        <v>-1.5213407474030229</v>
      </c>
      <c r="AB45" s="9"/>
      <c r="AC45" s="23">
        <f t="shared" si="6"/>
        <v>0.53184971171530782</v>
      </c>
      <c r="AD45" s="23">
        <f t="shared" si="7"/>
        <v>12.707449507282098</v>
      </c>
      <c r="AE45" s="23">
        <f t="shared" si="8"/>
        <v>212.98056926170489</v>
      </c>
      <c r="AF45" s="23">
        <f t="shared" si="9"/>
        <v>61.595748939237829</v>
      </c>
      <c r="AG45" s="23">
        <f t="shared" si="10"/>
        <v>156.12173313282455</v>
      </c>
      <c r="AH45" s="23">
        <f t="shared" si="11"/>
        <v>251.21572435687492</v>
      </c>
      <c r="AI45" s="23">
        <f t="shared" si="12"/>
        <v>192.77337627173338</v>
      </c>
      <c r="AJ45" s="23"/>
      <c r="AK45" s="8">
        <f t="shared" si="1"/>
        <v>251.21572435687489</v>
      </c>
      <c r="AL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0.31684143868500741</v>
      </c>
      <c r="AM45" s="32">
        <f>((C46-C44)/2-(F46-F44)/F45/2*C45)/(F45/2/Parameters!$B$5-C45)-((D46-D44)/D45-(G46-G44)/G45)/(G45/2/Parameters!$B$5/D45-1)</f>
        <v>5.6477522214618183E-3</v>
      </c>
      <c r="AN45" s="32">
        <f>+Parameters!$B$5*C45^2/F45^2-Parameters!$B$5*D45^2/G45^2</f>
        <v>-6.081824609857448E-3</v>
      </c>
      <c r="AO45" s="30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0.57280051948417243</v>
      </c>
      <c r="AP45" s="30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106.96452296584312</v>
      </c>
      <c r="AQ45" s="8">
        <f>1000*(AL45+AM45+AN45)/(EXP(-Parameters!$B$42*A45)*((C45&lt;0)*Parameters!$B$37*EXP(-Parameters!$B$38*AD45)+(C45&gt;=0)*Parameters!$B$41))</f>
        <v>508.17223841872277</v>
      </c>
      <c r="AR45" s="13">
        <f>1-W45/'6states,ExoDamages'!T45</f>
        <v>9.3022262293551705E-2</v>
      </c>
      <c r="AS45" s="21">
        <f>-Y45*W45*X45^(-Parameters!B$52)*Parameters!B$46*Parameters!B$45*N45</f>
        <v>-1.5359287798381589E-5</v>
      </c>
      <c r="AT45" s="7">
        <f>1000*EXP(-(Parameters!$B$54)*'6states'!A45)*AK45*Parameters!B$46*Parameters!B$45*N45</f>
        <v>1.3186526174265147</v>
      </c>
      <c r="AU45" s="7">
        <f>SUM(AT45:AT$204)*EXP(Parameters!$B$54*A45)</f>
        <v>425.30135694516309</v>
      </c>
      <c r="AV45" s="13">
        <f t="shared" si="23"/>
        <v>0.23129103731774098</v>
      </c>
      <c r="AZ45" s="5">
        <f t="shared" si="25"/>
        <v>-1.8075546942160996E-3</v>
      </c>
      <c r="BA45" s="2">
        <f>AZ45/Parameters!$B$45</f>
        <v>-3.0125911570268329</v>
      </c>
      <c r="BB45" s="2">
        <f t="shared" si="18"/>
        <v>-7.5454412749009769E-4</v>
      </c>
      <c r="BE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-0.67426762986135058</v>
      </c>
      <c r="BF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-125.9124475731589</v>
      </c>
      <c r="BG45" s="7">
        <f t="shared" si="26"/>
        <v>4.0172044072555084E-2</v>
      </c>
      <c r="BM45">
        <f>EXP(-Parameters!$B$56*A45)*AZ45*BF45</f>
        <v>9.2957912046184431E-3</v>
      </c>
      <c r="BN45">
        <f>-EXP((Parameters!$B$56)*F45)*SUM(BM45:BM53)</f>
        <v>-7.2143294097144511E-2</v>
      </c>
      <c r="BO45">
        <f>X45^-Parameters!B$52/(1-2*Parameters!B$5*'6states'!D45/'6states'!G45)</f>
        <v>1.1393588491554865</v>
      </c>
      <c r="BP45">
        <f t="shared" si="27"/>
        <v>0.99860257801015928</v>
      </c>
      <c r="BQ45">
        <f>$X45^-Parameters!$B$52/(1-2*Parameters!$B$5*'6states'!$E45/'6states'!$H45)</f>
        <v>1.1038212063221147</v>
      </c>
      <c r="BR45">
        <f t="shared" si="21"/>
        <v>1.0009006986435343</v>
      </c>
      <c r="BS45" s="7">
        <f>($X45^-Parameters!$B$52*(1/(1+EXP(-C45)) + IF(C45&lt;0,2*Parameters!$B$6*C45/F45,0)) + BK45*(1/(1+EXP((C45-Parameters!$B$22)*Parameters!$B$21))))/(1-IF(C45&gt;0,2*Parameters!$B$5*C45/F45,0))</f>
        <v>0.49502690141220407</v>
      </c>
      <c r="BT45">
        <f t="shared" si="22"/>
        <v>1.0022865422544702</v>
      </c>
      <c r="BU45" s="7">
        <f t="shared" si="29"/>
        <v>1.1293176945511574E-3</v>
      </c>
      <c r="BV45">
        <f>(1/$T45-1/Parameters!$B$13) * LN(Parameters!$B$18) / LN(P45)</f>
        <v>0.22787298033824785</v>
      </c>
      <c r="BW45">
        <f>(Parameters!$B$18*'6states'!T45^+Parameters!$B$19*Parameters!$B$25^'6states'!T45)^((1-'6states'!T45)/'6states'!T45)*Parameters!$B$18*Parameters!$B$26^('6states'!T45-1)</f>
        <v>0.28455900881653085</v>
      </c>
      <c r="BX45">
        <f t="shared" si="28"/>
        <v>0.23226238016945144</v>
      </c>
      <c r="BY45">
        <f t="shared" ref="BY45:BY70" si="30">1-2^-BV45</f>
        <v>0.14610710935281235</v>
      </c>
      <c r="BZ45">
        <f t="shared" ref="BZ45:BZ70" si="31">1-2^-BW45</f>
        <v>0.17900747528131244</v>
      </c>
    </row>
    <row r="46" spans="1:78" x14ac:dyDescent="0.25">
      <c r="A46">
        <f>A45+Parameters!$B$65</f>
        <v>42</v>
      </c>
      <c r="B46">
        <v>2067</v>
      </c>
      <c r="C46" s="74">
        <v>1.0844745622532819E-3</v>
      </c>
      <c r="D46" s="69">
        <v>9.0782976634278312E-2</v>
      </c>
      <c r="E46" s="75">
        <v>0.21928216393287264</v>
      </c>
      <c r="F46" s="7">
        <f>MAX((1-Parameters!$B$4)^Parameters!B$65*F45 + C45*Parameters!B$65 - IF(C45&gt;0,Parameters!$B$5,0)*C45^2/F45*Parameters!B$65, 0.0001)</f>
        <v>6.483595209969957E-2</v>
      </c>
      <c r="G46" s="7">
        <f>(1-Parameters!$B$4)^Parameters!B$65*G45+D45*Parameters!B$65-Parameters!$B$5*D45^2/G45*Parameters!B$65</f>
        <v>1.1523399262535319</v>
      </c>
      <c r="H46" s="7">
        <f>(1-Parameters!$B$4)^Parameters!B$65*H45+E45*Parameters!B$65-Parameters!$B$5*E45^2/H45*Parameters!B$65</f>
        <v>3.3153079968660197</v>
      </c>
      <c r="I46" s="9">
        <f>I45 *(1-Parameters!$B$4)-C45*(C45&lt;0)*Parameters!B$65</f>
        <v>2.6689381561151621E-3</v>
      </c>
      <c r="J46" s="23">
        <f>J45*(1+Parameters!$B$51)^Parameters!B$65</f>
        <v>9.215325374118148</v>
      </c>
      <c r="K46" s="23">
        <f>K45*(1+Parameters!$B$53)^Parameters!B$65</f>
        <v>20.729245008727059</v>
      </c>
      <c r="L46" s="23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6.683508254889162</v>
      </c>
      <c r="M46" s="8">
        <f>M45+L46*Parameters!B$65</f>
        <v>3065.6745992161073</v>
      </c>
      <c r="N46" s="7">
        <f>M46*Parameters!$B$45</f>
        <v>1.8394047595296641</v>
      </c>
      <c r="O46" s="9">
        <f>EXP(-Parameters!$B$46/2*N46^2)</f>
        <v>0.96656834473941056</v>
      </c>
      <c r="P46" s="8">
        <f>MAX((Parameters!$B$62 + Parameters!$B$31*'6states'!A46 - '6states'!M46 + Parameters!$B$47/Parameters!$B$45)/Parameters!B$62,1)</f>
        <v>30.374508015677858</v>
      </c>
      <c r="Q46" s="7">
        <f>Parameters!B$61*EXP(-Parameters!B$60*A46)</f>
        <v>0.16087185211018509</v>
      </c>
      <c r="R46" s="7">
        <f>(1-Parameters!B$61)*P46^-Parameters!B$63</f>
        <v>0.35540135487628904</v>
      </c>
      <c r="S46" s="7">
        <f>Parameters!B$61*EXP(-Parameters!B$60*A46)+(1-Parameters!B$61)*P46^-Parameters!B$63</f>
        <v>0.51627320698647416</v>
      </c>
      <c r="T46" s="7">
        <f>1-S46/Parameters!$B$12</f>
        <v>0.74186339650676292</v>
      </c>
      <c r="U46" s="7">
        <f t="shared" si="0"/>
        <v>3.8739178654537421</v>
      </c>
      <c r="V46" s="7">
        <f>(Parameters!$B$19*(F46+Parameters!$B$20)^T46+Parameters!$B$18*G46^T46)^(1/T46)</f>
        <v>0.32992340534088982</v>
      </c>
      <c r="W46" s="7">
        <f>(Parameters!$B$10*H46^Parameters!$B$9+Parameters!$B$11*V46^Parameters!$B$9)^(Parameters!$B$7/Parameters!$B$9)*O46</f>
        <v>1.344775937697446</v>
      </c>
      <c r="X46" s="7">
        <f>W46 - D46 - E46 - LN(1+EXP(Parameters!$B$21*C46))/Parameters!$B$21 - IF(C46&gt;0, 0,Parameters!$B$6*C46^2/F46)</f>
        <v>1.0318141592044618</v>
      </c>
      <c r="Y46" s="7">
        <f>EXP(-Parameters!$B$55*A46)</f>
        <v>0.53035960633280899</v>
      </c>
      <c r="Z46" s="7">
        <f>IF(X46&gt;0,X46^(1-Parameters!$B$52)/(1-Parameters!$B$52)*Y46*Parameters!$B$65,-10+X46*1000)</f>
        <v>-1.4987937592611484</v>
      </c>
      <c r="AB46" s="9"/>
      <c r="AC46" s="23">
        <f t="shared" si="6"/>
        <v>0.5098385485926048</v>
      </c>
      <c r="AD46" s="23">
        <f t="shared" si="7"/>
        <v>12.385400403299622</v>
      </c>
      <c r="AE46" s="23">
        <f t="shared" si="8"/>
        <v>220.12773662075807</v>
      </c>
      <c r="AF46" s="23">
        <f t="shared" si="9"/>
        <v>63.024191752186454</v>
      </c>
      <c r="AG46" s="23">
        <f t="shared" si="10"/>
        <v>159.74229090635953</v>
      </c>
      <c r="AH46" s="23">
        <f t="shared" si="11"/>
        <v>256.88816006733327</v>
      </c>
      <c r="AI46" s="23">
        <f t="shared" si="12"/>
        <v>197.10409255485305</v>
      </c>
      <c r="AJ46" s="23"/>
      <c r="AK46" s="8">
        <f t="shared" si="1"/>
        <v>256.88816006733327</v>
      </c>
      <c r="AL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0.31729717947623176</v>
      </c>
      <c r="AM46" s="32">
        <f>((C47-C45)/2-(F47-F45)/F46/2*C46)/(F46/2/Parameters!$B$5-C46)-((D47-D45)/D46-(G47-G45)/G46)/(G46/2/Parameters!$B$5/D46-1)</f>
        <v>1.336932592698688E-3</v>
      </c>
      <c r="AN46" s="32">
        <f>+Parameters!$B$5*C46^2/F46^2-Parameters!$B$5*D46^2/G46^2</f>
        <v>-5.9267385199138862E-3</v>
      </c>
      <c r="AO46" s="30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0.56789945501250283</v>
      </c>
      <c r="AP46" s="30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108.48398012771806</v>
      </c>
      <c r="AQ46" s="8">
        <f>1000*(AL46+AM46+AN46)/(EXP(-Parameters!$B$42*A46)*((C46&lt;0)*Parameters!$B$37*EXP(-Parameters!$B$38*AD46)+(C46&gt;=0)*Parameters!$B$41))</f>
        <v>507.27728603940045</v>
      </c>
      <c r="AR46" s="13">
        <f>1-W46/'6states,ExoDamages'!T46</f>
        <v>9.316119923513777E-2</v>
      </c>
      <c r="AS46" s="21">
        <f>-Y46*W46*X46^(-Parameters!B$52)*Parameters!B$46*Parameters!B$45*N46</f>
        <v>-1.5166416573354959E-5</v>
      </c>
      <c r="AT46" s="7">
        <f>1000*EXP(-(Parameters!$B$54)*'6states'!A46)*AK46*Parameters!B$46*Parameters!B$45*N46</f>
        <v>1.3047634326624422</v>
      </c>
      <c r="AU46" s="7">
        <f>SUM(AT46:AT$204)*EXP(Parameters!$B$54*A46)</f>
        <v>434.73524617612577</v>
      </c>
      <c r="AV46" s="13">
        <f t="shared" ref="AV46:AV69" si="32">(C46+D46+E46)/W46</f>
        <v>0.23137654861832319</v>
      </c>
      <c r="AZ46" s="5">
        <f t="shared" si="25"/>
        <v>-1.8060957427475624E-3</v>
      </c>
      <c r="BA46" s="2">
        <f>AZ46/Parameters!$B$45</f>
        <v>-3.0101595712459375</v>
      </c>
      <c r="BB46" s="2">
        <f t="shared" si="18"/>
        <v>-8.0779298350908135E-4</v>
      </c>
      <c r="BE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-0.68679366286232424</v>
      </c>
      <c r="BF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-131.19595276272764</v>
      </c>
      <c r="BG46" s="7">
        <f t="shared" si="26"/>
        <v>3.9536960152087137E-2</v>
      </c>
      <c r="BM46">
        <f>EXP(-Parameters!$B$56*A46)*AZ46*BF46</f>
        <v>8.9518435604410192E-3</v>
      </c>
      <c r="BN46">
        <f>-EXP((Parameters!$B$56)*F46)*SUM(BM46:BM54)</f>
        <v>-6.9139676660020091E-2</v>
      </c>
      <c r="BO46">
        <f>X46^-Parameters!B$52/(1-2*Parameters!B$5*'6states'!D46/'6states'!G46)</f>
        <v>1.1378905300318263</v>
      </c>
      <c r="BP46">
        <f t="shared" si="27"/>
        <v>0.99871127597354548</v>
      </c>
      <c r="BQ46">
        <f>$X46^-Parameters!$B$52/(1-2*Parameters!$B$5*'6states'!$E46/'6states'!$H46)</f>
        <v>1.1047416121511997</v>
      </c>
      <c r="BR46">
        <f t="shared" si="21"/>
        <v>1.0008338359725411</v>
      </c>
      <c r="BS46" s="7">
        <f>($X46^-Parameters!$B$52*(1/(1+EXP(-C46)) + IF(C46&lt;0,2*Parameters!$B$6*C46/F46,0)) + BK46*(1/(1+EXP((C46-Parameters!$B$22)*Parameters!$B$21))))/(1-IF(C46&gt;0,2*Parameters!$B$5*C46/F46,0))</f>
        <v>0.49615845470164988</v>
      </c>
      <c r="BT46">
        <f t="shared" si="22"/>
        <v>1.002285842014278</v>
      </c>
      <c r="BU46" s="7">
        <f t="shared" si="29"/>
        <v>1.131553289445808E-3</v>
      </c>
      <c r="BV46">
        <f>(1/$T46-1/Parameters!$B$13) * LN(Parameters!$B$18) / LN(P46)</f>
        <v>0.22754985303150441</v>
      </c>
      <c r="BW46">
        <f>(Parameters!$B$18*'6states'!T46^+Parameters!$B$19*Parameters!$B$25^'6states'!T46)^((1-'6states'!T46)/'6states'!T46)*Parameters!$B$18*Parameters!$B$26^('6states'!T46-1)</f>
        <v>0.28553139666941396</v>
      </c>
      <c r="BX46">
        <f t="shared" si="28"/>
        <v>0.23114515843053923</v>
      </c>
      <c r="BY46">
        <f t="shared" si="30"/>
        <v>0.1459158374598527</v>
      </c>
      <c r="BZ46">
        <f t="shared" si="31"/>
        <v>0.17956064428661356</v>
      </c>
    </row>
    <row r="47" spans="1:78" x14ac:dyDescent="0.25">
      <c r="A47">
        <f>A46+Parameters!$B$65</f>
        <v>43</v>
      </c>
      <c r="B47">
        <v>2068</v>
      </c>
      <c r="C47" s="74">
        <v>9.1800929188524385E-4</v>
      </c>
      <c r="D47" s="69">
        <v>9.1460518294768256E-2</v>
      </c>
      <c r="E47" s="75">
        <v>0.21944019241526644</v>
      </c>
      <c r="F47" s="7">
        <f>MAX((1-Parameters!$B$4)^Parameters!B$65*F46 + C46*Parameters!B$65 - IF(C46&gt;0,Parameters!$B$5,0)*C46^2/F46*Parameters!B$65, 0.0001)</f>
        <v>6.1824105877863786E-2</v>
      </c>
      <c r="G47" s="7">
        <f>(1-Parameters!$B$4)^Parameters!B$65*G46+D46*Parameters!B$65-Parameters!$B$5*D46^2/G46*Parameters!B$65</f>
        <v>1.1634887096428039</v>
      </c>
      <c r="H47" s="7">
        <f>(1-Parameters!$B$4)^Parameters!B$65*H46+E46*Parameters!B$65-Parameters!$B$5*E46^2/H46*Parameters!B$65</f>
        <v>3.3115534566392952</v>
      </c>
      <c r="I47" s="9">
        <f>I46 *(1-Parameters!$B$4)-C46*(C46&lt;0)*Parameters!B$65</f>
        <v>2.5010619460955185E-3</v>
      </c>
      <c r="J47" s="23">
        <f>J46*(1+Parameters!$B$51)^Parameters!B$65</f>
        <v>9.242049817703089</v>
      </c>
      <c r="K47" s="23">
        <f>K46*(1+Parameters!$B$53)^Parameters!B$65</f>
        <v>21.143829908901601</v>
      </c>
      <c r="L47" s="23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6.4603993519653633</v>
      </c>
      <c r="M47" s="8">
        <f>M46+L47*Parameters!B$65</f>
        <v>3072.1349985680727</v>
      </c>
      <c r="N47" s="7">
        <f>M47*Parameters!$B$45</f>
        <v>1.8432809991408434</v>
      </c>
      <c r="O47" s="9">
        <f>EXP(-Parameters!$B$46/2*N47^2)</f>
        <v>0.96642968743438773</v>
      </c>
      <c r="P47" s="8">
        <f>MAX((Parameters!$B$62 + Parameters!$B$31*'6states'!A47 - '6states'!M47 + Parameters!$B$47/Parameters!$B$45)/Parameters!B$62,1)</f>
        <v>31.309300028638546</v>
      </c>
      <c r="Q47" s="7">
        <f>Parameters!B$61*EXP(-Parameters!B$60*A47)</f>
        <v>0.15658642569628925</v>
      </c>
      <c r="R47" s="7">
        <f>(1-Parameters!B$61)*P47^-Parameters!B$63</f>
        <v>0.354325712008425</v>
      </c>
      <c r="S47" s="7">
        <f>Parameters!B$61*EXP(-Parameters!B$60*A47)+(1-Parameters!B$61)*P47^-Parameters!B$63</f>
        <v>0.51091213770471422</v>
      </c>
      <c r="T47" s="7">
        <f>1-S47/Parameters!$B$12</f>
        <v>0.74454393114764295</v>
      </c>
      <c r="U47" s="7">
        <f t="shared" si="0"/>
        <v>3.9145674028905466</v>
      </c>
      <c r="V47" s="7">
        <f>(Parameters!$B$19*(F47+Parameters!$B$20)^T47+Parameters!$B$18*G47^T47)^(1/T47)</f>
        <v>0.3300385354592868</v>
      </c>
      <c r="W47" s="7">
        <f>(Parameters!$B$10*H47^Parameters!$B$9+Parameters!$B$11*V47^Parameters!$B$9)^(Parameters!$B$7/Parameters!$B$9)*O47</f>
        <v>1.3443191222950821</v>
      </c>
      <c r="X47" s="7">
        <f>W47 - D47 - E47 - LN(1+EXP(Parameters!$B$21*C47))/Parameters!$B$21 - IF(C47&gt;0, 0,Parameters!$B$6*C47^2/F47)</f>
        <v>1.0306174129190042</v>
      </c>
      <c r="Y47" s="7">
        <f>EXP(-Parameters!$B$55*A47)</f>
        <v>0.52241133673581286</v>
      </c>
      <c r="Z47" s="7">
        <f>IF(X47&gt;0,X47^(1-Parameters!$B$52)/(1-Parameters!$B$52)*Y47*Parameters!$B$65,-10+X47*1000)</f>
        <v>-1.4769317678887934</v>
      </c>
      <c r="AB47" s="9"/>
      <c r="AC47" s="23">
        <f t="shared" si="6"/>
        <v>0.48873834074794775</v>
      </c>
      <c r="AD47" s="23">
        <f t="shared" si="7"/>
        <v>12.081192539890258</v>
      </c>
      <c r="AE47" s="23">
        <f t="shared" si="8"/>
        <v>227.36003892967057</v>
      </c>
      <c r="AF47" s="23">
        <f t="shared" si="9"/>
        <v>64.493598991048032</v>
      </c>
      <c r="AG47" s="23">
        <f t="shared" si="10"/>
        <v>163.46667787720861</v>
      </c>
      <c r="AH47" s="23">
        <f t="shared" si="11"/>
        <v>262.69653108429787</v>
      </c>
      <c r="AI47" s="23">
        <f t="shared" si="12"/>
        <v>201.39534933243897</v>
      </c>
      <c r="AJ47" s="23"/>
      <c r="AK47" s="8">
        <f t="shared" si="1"/>
        <v>262.69653108429787</v>
      </c>
      <c r="AL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0.31980518425809734</v>
      </c>
      <c r="AM47" s="32">
        <f>((C48-C46)/2-(F48-F46)/F47/2*C47)/(F47/2/Parameters!$B$5-C47)-((D48-D46)/D47-(G48-G46)/G47)/(G47/2/Parameters!$B$5/D47-1)</f>
        <v>8.9253199188857172E-4</v>
      </c>
      <c r="AN47" s="32">
        <f>+Parameters!$B$5*C47^2/F47^2-Parameters!$B$5*D47^2/G47^2</f>
        <v>-5.9588677891382778E-3</v>
      </c>
      <c r="AO47" s="30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0.56307424087998859</v>
      </c>
      <c r="AP47" s="30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110.03164901021839</v>
      </c>
      <c r="AQ47" s="8">
        <f>1000*(AL47+AM47+AN47)/(EXP(-Parameters!$B$42*A47)*((C47&lt;0)*Parameters!$B$37*EXP(-Parameters!$B$38*AD47)+(C47&gt;=0)*Parameters!$B$41))</f>
        <v>515.70410824281373</v>
      </c>
      <c r="AR47" s="13">
        <f>1-W47/'6states,ExoDamages'!T47</f>
        <v>9.32821806910481E-2</v>
      </c>
      <c r="AS47" s="21">
        <f>-Y47*W47*X47^(-Parameters!B$52)*Parameters!B$46*Parameters!B$45*N47</f>
        <v>-1.4988985204985536E-5</v>
      </c>
      <c r="AT47" s="7">
        <f>1000*EXP(-(Parameters!$B$54)*'6states'!A47)*AK47*Parameters!B$46*Parameters!B$45*N47</f>
        <v>1.290959240676141</v>
      </c>
      <c r="AU47" s="7">
        <f>SUM(AT47:AT$204)*EXP(Parameters!$B$54*A47)</f>
        <v>444.36323350226343</v>
      </c>
      <c r="AV47" s="13">
        <f t="shared" si="32"/>
        <v>0.23195290078859326</v>
      </c>
      <c r="AZ47" s="5">
        <f t="shared" si="25"/>
        <v>-1.8045431717465612E-3</v>
      </c>
      <c r="BA47" s="2">
        <f>AZ47/Parameters!$B$45</f>
        <v>-3.0075719529109355</v>
      </c>
      <c r="BB47" s="2">
        <f t="shared" si="18"/>
        <v>-8.6036788995103031E-4</v>
      </c>
      <c r="BE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-0.70018850134536248</v>
      </c>
      <c r="BF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-136.82546603556028</v>
      </c>
      <c r="BG47" s="7">
        <f t="shared" si="26"/>
        <v>3.8881545601874727E-2</v>
      </c>
      <c r="BM47">
        <f>EXP(-Parameters!$B$56*A47)*AZ47*BF47</f>
        <v>8.6280076260720658E-3</v>
      </c>
      <c r="BN47">
        <f>-EXP((Parameters!$B$56)*F47)*SUM(BM47:BM55)</f>
        <v>-6.6105937974083234E-2</v>
      </c>
      <c r="BO47">
        <f>X47^-Parameters!B$52/(1-2*Parameters!B$5*'6states'!D47/'6states'!G47)</f>
        <v>1.1392079561385158</v>
      </c>
      <c r="BP47">
        <f t="shared" si="27"/>
        <v>1.001157779304704</v>
      </c>
      <c r="BQ47">
        <f>$X47^-Parameters!$B$52/(1-2*Parameters!$B$5*'6states'!$E47/'6states'!$H47)</f>
        <v>1.1067868084516228</v>
      </c>
      <c r="BR47">
        <f t="shared" si="21"/>
        <v>1.0018512892769926</v>
      </c>
      <c r="BS47" s="7">
        <f>($X47^-Parameters!$B$52*(1/(1+EXP(-C47)) + IF(C47&lt;0,2*Parameters!$B$6*C47/F47,0)) + BK47*(1/(1+EXP((C47-Parameters!$B$22)*Parameters!$B$21))))/(1-IF(C47&gt;0,2*Parameters!$B$5*C47/F47,0))</f>
        <v>0.49497189360603921</v>
      </c>
      <c r="BT47">
        <f t="shared" si="22"/>
        <v>0.99760850372624577</v>
      </c>
      <c r="BU47" s="7">
        <f t="shared" si="29"/>
        <v>-1.1865610956106609E-3</v>
      </c>
      <c r="BV47">
        <f>(1/$T47-1/Parameters!$B$13) * LN(Parameters!$B$18) / LN(P47)</f>
        <v>0.2272257635517935</v>
      </c>
      <c r="BW47">
        <f>(Parameters!$B$18*'6states'!T47^+Parameters!$B$19*Parameters!$B$25^'6states'!T47)^((1-'6states'!T47)/'6states'!T47)*Parameters!$B$18*Parameters!$B$26^('6states'!T47-1)</f>
        <v>0.28645835023820204</v>
      </c>
      <c r="BX47">
        <f t="shared" si="28"/>
        <v>0.23005186982422046</v>
      </c>
      <c r="BY47">
        <f t="shared" si="30"/>
        <v>0.14572395298203356</v>
      </c>
      <c r="BZ47">
        <f t="shared" si="31"/>
        <v>0.18008761977356424</v>
      </c>
    </row>
    <row r="48" spans="1:78" x14ac:dyDescent="0.25">
      <c r="A48">
        <f>A47+Parameters!$B$65</f>
        <v>44</v>
      </c>
      <c r="B48">
        <v>2069</v>
      </c>
      <c r="C48" s="74">
        <v>9.1800929188524385E-4</v>
      </c>
      <c r="D48" s="69">
        <v>9.1460518294768256E-2</v>
      </c>
      <c r="E48" s="75">
        <v>0.21944019241526644</v>
      </c>
      <c r="F48" s="7">
        <f>MAX((1-Parameters!$B$4)^Parameters!B$65*F47 + C47*Parameters!B$65 - IF(C47&gt;0,Parameters!$B$5,0)*C47^2/F47*Parameters!B$65, 0.0001)</f>
        <v>5.8839747640350729E-2</v>
      </c>
      <c r="G48" s="7">
        <f>(1-Parameters!$B$4)^Parameters!B$65*G47+D47*Parameters!B$65-Parameters!$B$5*D47^2/G47*Parameters!B$65</f>
        <v>1.1745761812424433</v>
      </c>
      <c r="H48" s="7">
        <f>(1-Parameters!$B$4)^Parameters!B$65*H47+E47*Parameters!B$65-Parameters!$B$5*E47^2/H47*Parameters!B$65</f>
        <v>3.3081557254820275</v>
      </c>
      <c r="I48" s="9">
        <f>I47 *(1-Parameters!$B$4)-C47*(C47&lt;0)*Parameters!B$65</f>
        <v>2.3437451496861107E-3</v>
      </c>
      <c r="J48" s="23">
        <f>J47*(1+Parameters!$B$51)^Parameters!B$65</f>
        <v>9.2688517621744264</v>
      </c>
      <c r="K48" s="23">
        <f>K47*(1+Parameters!$B$53)^Parameters!B$65</f>
        <v>21.566706507079633</v>
      </c>
      <c r="L48" s="23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6.2322548195114935</v>
      </c>
      <c r="M48" s="8">
        <f>M47+L48*Parameters!B$65</f>
        <v>3078.3672533875842</v>
      </c>
      <c r="N48" s="7">
        <f>M48*Parameters!$B$45</f>
        <v>1.8470203520325503</v>
      </c>
      <c r="O48" s="9">
        <f>EXP(-Parameters!$B$46/2*N48^2)</f>
        <v>0.96629566901407571</v>
      </c>
      <c r="P48" s="8">
        <f>MAX((Parameters!$B$62 + Parameters!$B$31*'6states'!A48 - '6states'!M48 + Parameters!$B$47/Parameters!$B$45)/Parameters!B$62,1)</f>
        <v>32.248654932248321</v>
      </c>
      <c r="Q48" s="7">
        <f>Parameters!B$61*EXP(-Parameters!B$60*A48)</f>
        <v>0.15241515772159842</v>
      </c>
      <c r="R48" s="7">
        <f>(1-Parameters!B$61)*P48^-Parameters!B$63</f>
        <v>0.35327983088103054</v>
      </c>
      <c r="S48" s="7">
        <f>Parameters!B$61*EXP(-Parameters!B$60*A48)+(1-Parameters!B$61)*P48^-Parameters!B$63</f>
        <v>0.50569498860262896</v>
      </c>
      <c r="T48" s="7">
        <f>1-S48/Parameters!$B$12</f>
        <v>0.74715250569868552</v>
      </c>
      <c r="U48" s="7">
        <f t="shared" si="0"/>
        <v>3.9549531735059054</v>
      </c>
      <c r="V48" s="7">
        <f>(Parameters!$B$19*(F48+Parameters!$B$20)^T48+Parameters!$B$18*G48^T48)^(1/T48)</f>
        <v>0.33015056071489746</v>
      </c>
      <c r="W48" s="7">
        <f>(Parameters!$B$10*H48^Parameters!$B$9+Parameters!$B$11*V48^Parameters!$B$9)^(Parameters!$B$7/Parameters!$B$9)*O48</f>
        <v>1.3438960455474305</v>
      </c>
      <c r="X48" s="7">
        <f>W48 - D48 - E48 - LN(1+EXP(Parameters!$B$21*C48))/Parameters!$B$21 - IF(C48&gt;0, 0,Parameters!$B$6*C48^2/F48)</f>
        <v>1.0301943361713526</v>
      </c>
      <c r="Y48" s="7">
        <f>EXP(-Parameters!$B$55*A48)</f>
        <v>0.51458218441100756</v>
      </c>
      <c r="Z48" s="7">
        <f>IF(X48&gt;0,X48^(1-Parameters!$B$52)/(1-Parameters!$B$52)*Y48*Parameters!$B$65,-10+X48*1000)</f>
        <v>-1.4550067115762892</v>
      </c>
      <c r="AB48" s="9"/>
      <c r="AC48" s="23">
        <f t="shared" si="6"/>
        <v>0.46851138733318171</v>
      </c>
      <c r="AD48" s="23">
        <f t="shared" si="7"/>
        <v>11.761983507894188</v>
      </c>
      <c r="AE48" s="23">
        <f t="shared" si="8"/>
        <v>234.79614081595341</v>
      </c>
      <c r="AF48" s="23">
        <f t="shared" si="9"/>
        <v>65.996636729074439</v>
      </c>
      <c r="AG48" s="23">
        <f t="shared" si="10"/>
        <v>167.27630533796412</v>
      </c>
      <c r="AH48" s="23">
        <f t="shared" si="11"/>
        <v>268.64294559300851</v>
      </c>
      <c r="AI48" s="23">
        <f t="shared" si="12"/>
        <v>205.93441131049047</v>
      </c>
      <c r="AJ48" s="23"/>
      <c r="AK48" s="8">
        <f t="shared" si="1"/>
        <v>268.64294559300851</v>
      </c>
      <c r="AL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0.32028773966678298</v>
      </c>
      <c r="AM48" s="32">
        <f>((C49-C47)/2-(F49-F47)/F48/2*C48)/(F48/2/Parameters!$B$5-C48)-((D49-D47)/D48-(G49-G47)/G48)/(G48/2/Parameters!$B$5/D48-1)</f>
        <v>4.9660230204898008E-3</v>
      </c>
      <c r="AN48" s="32">
        <f>+Parameters!$B$5*C48^2/F48^2-Parameters!$B$5*D48^2/G48^2</f>
        <v>-5.8198245583880497E-3</v>
      </c>
      <c r="AO48" s="30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0.55819616715763332</v>
      </c>
      <c r="AP48" s="30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111.58263547302145</v>
      </c>
      <c r="AQ48" s="8">
        <f>1000*(AL48+AM48+AN48)/(EXP(-Parameters!$B$42*A48)*((C48&lt;0)*Parameters!$B$37*EXP(-Parameters!$B$38*AD48)+(C48&gt;=0)*Parameters!$B$41))</f>
        <v>528.65730797146807</v>
      </c>
      <c r="AR48" s="13">
        <f>1-W48/'6states,ExoDamages'!T48</f>
        <v>9.3389459492426941E-2</v>
      </c>
      <c r="AS48" s="21">
        <f>-Y48*W48*X48^(-Parameters!B$52)*Parameters!B$46*Parameters!B$45*N48</f>
        <v>-1.4797847514917276E-5</v>
      </c>
      <c r="AT48" s="7">
        <f>1000*EXP(-(Parameters!$B$54)*'6states'!A48)*AK48*Parameters!B$46*Parameters!B$45*N48</f>
        <v>1.2772327078315453</v>
      </c>
      <c r="AU48" s="7">
        <f>SUM(AT48:AT$204)*EXP(Parameters!$B$54*A48)</f>
        <v>454.18899372125935</v>
      </c>
      <c r="AV48" s="13">
        <f t="shared" si="32"/>
        <v>0.23202592271554895</v>
      </c>
      <c r="AZ48" s="5">
        <f t="shared" si="25"/>
        <v>-1.8028700826603549E-3</v>
      </c>
      <c r="BA48" s="2">
        <f>AZ48/Parameters!$B$45</f>
        <v>-3.0047834711005916</v>
      </c>
      <c r="BB48" s="2">
        <f t="shared" si="18"/>
        <v>-9.2801422703603365E-4</v>
      </c>
      <c r="BE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-0.71127255767073516</v>
      </c>
      <c r="BF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-142.1823924887764</v>
      </c>
      <c r="BG48" s="7">
        <f t="shared" si="26"/>
        <v>3.8306821706454906E-2</v>
      </c>
      <c r="BM48">
        <f>EXP(-Parameters!$B$56*A48)*AZ48*BF48</f>
        <v>8.2853639024442621E-3</v>
      </c>
      <c r="BN48">
        <f>-EXP((Parameters!$B$56)*F48)*SUM(BM48:BM56)</f>
        <v>-5.7422854751480165E-2</v>
      </c>
      <c r="BO48">
        <f>X48^-Parameters!B$52/(1-2*Parameters!B$5*'6states'!D48/'6states'!G48)</f>
        <v>1.1378359658550181</v>
      </c>
      <c r="BP48">
        <f t="shared" si="27"/>
        <v>0.99879566300770217</v>
      </c>
      <c r="BQ48">
        <f>$X48^-Parameters!$B$52/(1-2*Parameters!$B$5*'6states'!$E48/'6states'!$H48)</f>
        <v>1.1075742644996904</v>
      </c>
      <c r="BR48">
        <f t="shared" si="21"/>
        <v>1.0007114794304146</v>
      </c>
      <c r="BS48" s="7">
        <f>($X48^-Parameters!$B$52*(1/(1+EXP(-C48)) + IF(C48&lt;0,2*Parameters!$B$6*C48/F48,0)) + BK48*(1/(1+EXP((C48-Parameters!$B$22)*Parameters!$B$21))))/(1-IF(C48&gt;0,2*Parameters!$B$5*C48/F48,0))</f>
        <v>0.49601632790125472</v>
      </c>
      <c r="BT48">
        <f t="shared" si="22"/>
        <v>1.0021100880852172</v>
      </c>
      <c r="BU48" s="7">
        <f t="shared" si="29"/>
        <v>1.0444342952155017E-3</v>
      </c>
      <c r="BV48">
        <f>(1/$T48-1/Parameters!$B$13) * LN(Parameters!$B$18) / LN(P48)</f>
        <v>0.22690019695018002</v>
      </c>
      <c r="BW48">
        <f>(Parameters!$B$18*'6states'!T48^+Parameters!$B$19*Parameters!$B$25^'6states'!T48)^((1-'6states'!T48)/'6states'!T48)*Parameters!$B$18*Parameters!$B$26^('6states'!T48-1)</f>
        <v>0.28734234874161563</v>
      </c>
      <c r="BX48">
        <f t="shared" si="28"/>
        <v>0.22898107146544919</v>
      </c>
      <c r="BY48">
        <f t="shared" si="30"/>
        <v>0.14553115053562438</v>
      </c>
      <c r="BZ48">
        <f t="shared" si="31"/>
        <v>0.18058985987566123</v>
      </c>
    </row>
    <row r="49" spans="1:78" x14ac:dyDescent="0.25">
      <c r="A49">
        <f>A48+Parameters!$B$65</f>
        <v>45</v>
      </c>
      <c r="B49">
        <v>2070</v>
      </c>
      <c r="C49" s="74">
        <v>9.1800929188524385E-4</v>
      </c>
      <c r="D49" s="69">
        <v>9.1460518294768256E-2</v>
      </c>
      <c r="E49" s="75">
        <v>0.21944019241526644</v>
      </c>
      <c r="F49" s="7">
        <f>MAX((1-Parameters!$B$4)^Parameters!B$65*F48 + C48*Parameters!B$65 - IF(C48&gt;0,Parameters!$B$5,0)*C48^2/F48*Parameters!B$65, 0.0001)</f>
        <v>5.6042414156534076E-2</v>
      </c>
      <c r="G49" s="7">
        <f>(1-Parameters!$B$4)^Parameters!B$65*G48+D48*Parameters!B$65-Parameters!$B$5*D48^2/G48*Parameters!B$65</f>
        <v>1.1850341175380574</v>
      </c>
      <c r="H49" s="7">
        <f>(1-Parameters!$B$4)^Parameters!B$65*H48+E48*Parameters!B$65-Parameters!$B$5*E48^2/H48*Parameters!B$65</f>
        <v>3.304956776668833</v>
      </c>
      <c r="I49" s="9">
        <f>I48 *(1-Parameters!$B$4)-C48*(C48&lt;0)*Parameters!B$65</f>
        <v>2.1963235797708546E-3</v>
      </c>
      <c r="J49" s="23">
        <f>J48*(1+Parameters!$B$51)^Parameters!B$65</f>
        <v>9.2957314322847306</v>
      </c>
      <c r="K49" s="23">
        <f>K48*(1+Parameters!$B$53)^Parameters!B$65</f>
        <v>21.998040637221226</v>
      </c>
      <c r="L49" s="23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6.0170746795038639</v>
      </c>
      <c r="M49" s="8">
        <f>M48+L49*Parameters!B$65</f>
        <v>3084.3843280670881</v>
      </c>
      <c r="N49" s="7">
        <f>M49*Parameters!$B$45</f>
        <v>1.8506305968402528</v>
      </c>
      <c r="O49" s="9">
        <f>EXP(-Parameters!$B$46/2*N49^2)</f>
        <v>0.96616603781850241</v>
      </c>
      <c r="P49" s="8">
        <f>MAX((Parameters!$B$62 + Parameters!$B$31*'6states'!A49 - '6states'!M49 + Parameters!$B$47/Parameters!$B$45)/Parameters!B$62,1)</f>
        <v>33.192313438658239</v>
      </c>
      <c r="Q49" s="7">
        <f>Parameters!B$61*EXP(-Parameters!B$60*A49)</f>
        <v>0.14835500714702263</v>
      </c>
      <c r="R49" s="7">
        <f>(1-Parameters!B$61)*P49^-Parameters!B$63</f>
        <v>0.35226236948470174</v>
      </c>
      <c r="S49" s="7">
        <f>Parameters!B$61*EXP(-Parameters!B$60*A49)+(1-Parameters!B$61)*P49^-Parameters!B$63</f>
        <v>0.50061737663172434</v>
      </c>
      <c r="T49" s="7">
        <f>1-S49/Parameters!$B$12</f>
        <v>0.74969131168413783</v>
      </c>
      <c r="U49" s="7">
        <f t="shared" si="0"/>
        <v>3.9950670778878816</v>
      </c>
      <c r="V49" s="7">
        <f>(Parameters!$B$19*(F49+Parameters!$B$20)^T49+Parameters!$B$18*G49^T49)^(1/T49)</f>
        <v>0.33029958874087978</v>
      </c>
      <c r="W49" s="7">
        <f>(Parameters!$B$10*H49^Parameters!$B$9+Parameters!$B$11*V49^Parameters!$B$9)^(Parameters!$B$7/Parameters!$B$9)*O49</f>
        <v>1.3435091522957179</v>
      </c>
      <c r="X49" s="7">
        <f>W49 - D49 - E49 - LN(1+EXP(Parameters!$B$21*C49))/Parameters!$B$21 - IF(C49&gt;0, 0,Parameters!$B$6*C49^2/F49)</f>
        <v>1.02980744291964</v>
      </c>
      <c r="Y49" s="7">
        <f>EXP(-Parameters!$B$55*A49)</f>
        <v>0.50687036419945219</v>
      </c>
      <c r="Z49" s="7">
        <f>IF(X49&gt;0,X49^(1-Parameters!$B$52)/(1-Parameters!$B$52)*Y49*Parameters!$B$65,-10+X49*1000)</f>
        <v>-1.4333895896420956</v>
      </c>
      <c r="AB49" s="9"/>
      <c r="AC49" s="23">
        <f t="shared" si="6"/>
        <v>0.44912154778964791</v>
      </c>
      <c r="AD49" s="23">
        <f t="shared" si="7"/>
        <v>11.459994337663609</v>
      </c>
      <c r="AE49" s="23">
        <f t="shared" si="8"/>
        <v>242.32511181606472</v>
      </c>
      <c r="AF49" s="23">
        <f t="shared" si="9"/>
        <v>67.542261939866378</v>
      </c>
      <c r="AG49" s="23">
        <f t="shared" si="10"/>
        <v>171.19387580083267</v>
      </c>
      <c r="AH49" s="23">
        <f t="shared" si="11"/>
        <v>274.73133535795489</v>
      </c>
      <c r="AI49" s="23">
        <f t="shared" si="12"/>
        <v>210.5831385453788</v>
      </c>
      <c r="AJ49" s="23"/>
      <c r="AK49" s="8">
        <f t="shared" si="1"/>
        <v>274.73133535795489</v>
      </c>
      <c r="AL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0.32054590486063744</v>
      </c>
      <c r="AM49" s="32">
        <f>((C50-C48)/2-(F50-F48)/F49/2*C49)/(F49/2/Parameters!$B$5-C49)-((D50-D48)/D49-(G50-G48)/G49)/(G49/2/Parameters!$B$5/D49-1)</f>
        <v>-9.6556802286679741E-4</v>
      </c>
      <c r="AN49" s="32">
        <f>+Parameters!$B$5*C49^2/F49^2-Parameters!$B$5*D49^2/G49^2</f>
        <v>-5.6883737608887618E-3</v>
      </c>
      <c r="AO49" s="30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0.5533916392069741</v>
      </c>
      <c r="AP49" s="30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113.16188189374951</v>
      </c>
      <c r="AQ49" s="8">
        <f>1000*(AL49+AM49+AN49)/(EXP(-Parameters!$B$42*A49)*((C49&lt;0)*Parameters!$B$37*EXP(-Parameters!$B$38*AD49)+(C49&gt;=0)*Parameters!$B$41))</f>
        <v>524.70635640032924</v>
      </c>
      <c r="AR49" s="13">
        <f>1-W49/'6states,ExoDamages'!T49</f>
        <v>9.3480826679806062E-2</v>
      </c>
      <c r="AS49" s="21">
        <f>-Y49*W49*X49^(-Parameters!B$52)*Parameters!B$46*Parameters!B$45*N49</f>
        <v>-1.460777057072367E-5</v>
      </c>
      <c r="AT49" s="7">
        <f>1000*EXP(-(Parameters!$B$54)*'6states'!A49)*AK49*Parameters!B$46*Parameters!B$45*N49</f>
        <v>1.2635927018853454</v>
      </c>
      <c r="AU49" s="7">
        <f>SUM(AT49:AT$204)*EXP(Parameters!$B$54*A49)</f>
        <v>464.21630379886511</v>
      </c>
      <c r="AV49" s="13">
        <f t="shared" si="32"/>
        <v>0.23209273972499592</v>
      </c>
      <c r="AZ49" s="5">
        <f t="shared" si="25"/>
        <v>-1.8011054547873852E-3</v>
      </c>
      <c r="BA49" s="2">
        <f>AZ49/Parameters!$B$45</f>
        <v>-3.0018424246456421</v>
      </c>
      <c r="BB49" s="2">
        <f t="shared" si="18"/>
        <v>-9.7974711490622646E-4</v>
      </c>
      <c r="BE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-0.72316809094753354</v>
      </c>
      <c r="BF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-147.8791082106066</v>
      </c>
      <c r="BG49" s="7">
        <f t="shared" si="26"/>
        <v>3.771241728684837E-2</v>
      </c>
      <c r="BM49">
        <f>EXP(-Parameters!$B$56*A49)*AZ49*BF49</f>
        <v>7.9629196395952975E-3</v>
      </c>
      <c r="BN49">
        <f>-EXP((Parameters!$B$56)*F49)*SUM(BM49:BM57)</f>
        <v>-4.9088665852365036E-2</v>
      </c>
      <c r="BO49">
        <f>X49^-Parameters!B$52/(1-2*Parameters!B$5*'6states'!D49/'6states'!G49)</f>
        <v>1.1365629305516038</v>
      </c>
      <c r="BP49">
        <f t="shared" si="27"/>
        <v>0.99888117853397462</v>
      </c>
      <c r="BQ49">
        <f>$X49^-Parameters!$B$52/(1-2*Parameters!$B$5*'6states'!$E49/'6states'!$H49)</f>
        <v>1.1083001362067768</v>
      </c>
      <c r="BR49">
        <f t="shared" si="21"/>
        <v>1.0006553706874133</v>
      </c>
      <c r="BS49" s="7">
        <f>($X49^-Parameters!$B$52*(1/(1+EXP(-C49)) + IF(C49&lt;0,2*Parameters!$B$6*C49/F49,0)) + BK49*(1/(1+EXP((C49-Parameters!$B$22)*Parameters!$B$21))))/(1-IF(C49&gt;0,2*Parameters!$B$5*C49/F49,0))</f>
        <v>0.49706704562848281</v>
      </c>
      <c r="BT49">
        <f t="shared" si="22"/>
        <v>1.0021183127815043</v>
      </c>
      <c r="BU49" s="7">
        <f t="shared" si="29"/>
        <v>1.0507177272280899E-3</v>
      </c>
      <c r="BV49">
        <f>(1/$T49-1/Parameters!$B$13) * LN(Parameters!$B$18) / LN(P49)</f>
        <v>0.22657333283355047</v>
      </c>
      <c r="BW49">
        <f>(Parameters!$B$18*'6states'!T49^+Parameters!$B$19*Parameters!$B$25^'6states'!T49)^((1-'6states'!T49)/'6states'!T49)*Parameters!$B$18*Parameters!$B$26^('6states'!T49-1)</f>
        <v>0.28818565077460617</v>
      </c>
      <c r="BX49">
        <f t="shared" si="28"/>
        <v>0.22793212783155423</v>
      </c>
      <c r="BY49">
        <f t="shared" si="30"/>
        <v>0.14533753591895815</v>
      </c>
      <c r="BZ49">
        <f t="shared" si="31"/>
        <v>0.18106869171318773</v>
      </c>
    </row>
    <row r="50" spans="1:78" x14ac:dyDescent="0.25">
      <c r="A50">
        <f>A49+Parameters!$B$65</f>
        <v>46</v>
      </c>
      <c r="B50">
        <v>2071</v>
      </c>
      <c r="C50" s="74">
        <v>6.4252052642766735E-4</v>
      </c>
      <c r="D50" s="69">
        <v>9.1786783091590704E-2</v>
      </c>
      <c r="E50" s="75">
        <v>0.21924842901088346</v>
      </c>
      <c r="F50" s="7">
        <f>MAX((1-Parameters!$B$4)^Parameters!B$65*F49 + C49*Parameters!B$65 - IF(C49&gt;0,Parameters!$B$5,0)*C49^2/F49*Parameters!B$65, 0.0001)</f>
        <v>5.342031803985469E-2</v>
      </c>
      <c r="G50" s="7">
        <f>(1-Parameters!$B$4)^Parameters!B$65*G49+D49*Parameters!B$65-Parameters!$B$5*D49^2/G49*Parameters!B$65</f>
        <v>1.1948970990592829</v>
      </c>
      <c r="H50" s="7">
        <f>(1-Parameters!$B$4)^Parameters!B$65*H49+E49*Parameters!B$65-Parameters!$B$5*E49^2/H49*Parameters!B$65</f>
        <v>3.3019449524847748</v>
      </c>
      <c r="I50" s="9">
        <f>I49 *(1-Parameters!$B$4)-C49*(C49&lt;0)*Parameters!B$65</f>
        <v>2.0581748266032679E-3</v>
      </c>
      <c r="J50" s="23">
        <f>J49*(1+Parameters!$B$51)^Parameters!B$65</f>
        <v>9.3226890534383546</v>
      </c>
      <c r="K50" s="23">
        <f>K49*(1+Parameters!$B$53)^Parameters!B$65</f>
        <v>22.43800144996565</v>
      </c>
      <c r="L50" s="23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5.8142198149663917</v>
      </c>
      <c r="M50" s="8">
        <f>M49+L50*Parameters!B$65</f>
        <v>3090.1985478820543</v>
      </c>
      <c r="N50" s="7">
        <f>M50*Parameters!$B$45</f>
        <v>1.8541191287292325</v>
      </c>
      <c r="O50" s="9">
        <f>EXP(-Parameters!$B$46/2*N50^2)</f>
        <v>0.96604055299723046</v>
      </c>
      <c r="P50" s="8">
        <f>MAX((Parameters!$B$62 + Parameters!$B$31*'6states'!A50 - '6states'!M50 + Parameters!$B$47/Parameters!$B$45)/Parameters!B$62,1)</f>
        <v>34.140029042358918</v>
      </c>
      <c r="Q50" s="7">
        <f>Parameters!B$61*EXP(-Parameters!B$60*A50)</f>
        <v>0.14440301394297783</v>
      </c>
      <c r="R50" s="7">
        <f>(1-Parameters!B$61)*P50^-Parameters!B$63</f>
        <v>0.35127206655855325</v>
      </c>
      <c r="S50" s="7">
        <f>Parameters!B$61*EXP(-Parameters!B$60*A50)+(1-Parameters!B$61)*P50^-Parameters!B$63</f>
        <v>0.49567508050153108</v>
      </c>
      <c r="T50" s="7">
        <f>1-S50/Parameters!$B$12</f>
        <v>0.75216245974923446</v>
      </c>
      <c r="U50" s="7">
        <f t="shared" si="0"/>
        <v>4.0349012461477214</v>
      </c>
      <c r="V50" s="7">
        <f>(Parameters!$B$19*(F50+Parameters!$B$20)^T50+Parameters!$B$18*G50^T50)^(1/T50)</f>
        <v>0.33048309544958721</v>
      </c>
      <c r="W50" s="7">
        <f>(Parameters!$B$10*H50^Parameters!$B$9+Parameters!$B$11*V50^Parameters!$B$9)^(Parameters!$B$7/Parameters!$B$9)*O50</f>
        <v>1.3431560792825807</v>
      </c>
      <c r="X50" s="7">
        <f>W50 - D50 - E50 - LN(1+EXP(Parameters!$B$21*C50))/Parameters!$B$21 - IF(C50&gt;0, 0,Parameters!$B$6*C50^2/F50)</f>
        <v>1.0294736589991478</v>
      </c>
      <c r="Y50" s="7">
        <f>EXP(-Parameters!$B$55*A50)</f>
        <v>0.49927411769560981</v>
      </c>
      <c r="Z50" s="7">
        <f>IF(X50&gt;0,X50^(1-Parameters!$B$52)/(1-Parameters!$B$52)*Y50*Parameters!$B$65,-10+X50*1000)</f>
        <v>-1.412068207029324</v>
      </c>
      <c r="AB50" s="9"/>
      <c r="AC50" s="23">
        <f t="shared" si="6"/>
        <v>0.43053417727395138</v>
      </c>
      <c r="AD50" s="23">
        <f t="shared" si="7"/>
        <v>11.174596239211986</v>
      </c>
      <c r="AE50" s="23">
        <f t="shared" si="8"/>
        <v>249.95157496874944</v>
      </c>
      <c r="AF50" s="23">
        <f t="shared" si="9"/>
        <v>69.131283583502594</v>
      </c>
      <c r="AG50" s="23">
        <f t="shared" si="10"/>
        <v>175.22143967110526</v>
      </c>
      <c r="AH50" s="23">
        <f t="shared" si="11"/>
        <v>280.96476065582539</v>
      </c>
      <c r="AI50" s="23">
        <f t="shared" si="12"/>
        <v>215.34788448165094</v>
      </c>
      <c r="AJ50" s="23"/>
      <c r="AK50" s="8">
        <f t="shared" si="1"/>
        <v>280.96476065582539</v>
      </c>
      <c r="AL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0.32483564845797025</v>
      </c>
      <c r="AM50" s="32">
        <f>((C51-C49)/2-(F51-F49)/F50/2*C50)/(F50/2/Parameters!$B$5-C50)-((D51-D49)/D50-(G51-G49)/G50)/(G50/2/Parameters!$B$5/D50-1)</f>
        <v>-1.7425158311740307E-3</v>
      </c>
      <c r="AN50" s="32">
        <f>+Parameters!$B$5*C50^2/F50^2-Parameters!$B$5*D50^2/G50^2</f>
        <v>-5.7559780504358032E-3</v>
      </c>
      <c r="AO50" s="30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0.54865966423776003</v>
      </c>
      <c r="AP50" s="30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114.77000597458932</v>
      </c>
      <c r="AQ50" s="8">
        <f>1000*(AL50+AM50+AN50)/(EXP(-Parameters!$B$42*A50)*((C50&lt;0)*Parameters!$B$37*EXP(-Parameters!$B$38*AD50)+(C50&gt;=0)*Parameters!$B$41))</f>
        <v>535.79665424690597</v>
      </c>
      <c r="AR50" s="13">
        <f>1-W50/'6states,ExoDamages'!T50</f>
        <v>9.3557346242613026E-2</v>
      </c>
      <c r="AS50" s="21">
        <f>-Y50*W50*X50^(-Parameters!B$52)*Parameters!B$46*Parameters!B$45*N50</f>
        <v>-1.4418494124408845E-5</v>
      </c>
      <c r="AT50" s="7">
        <f>1000*EXP(-(Parameters!$B$54)*'6states'!A50)*AK50*Parameters!B$46*Parameters!B$45*N50</f>
        <v>1.2500429202505594</v>
      </c>
      <c r="AU50" s="7">
        <f>SUM(AT50:AT$204)*EXP(Parameters!$B$54*A50)</f>
        <v>474.44896920620533</v>
      </c>
      <c r="AV50" s="13">
        <f t="shared" si="32"/>
        <v>0.23204878229444348</v>
      </c>
      <c r="AZ50" s="5">
        <f t="shared" si="25"/>
        <v>-1.7992505027201356E-3</v>
      </c>
      <c r="BA50" s="2">
        <f>AZ50/Parameters!$B$45</f>
        <v>-2.998750837866893</v>
      </c>
      <c r="BB50" s="2">
        <f t="shared" si="18"/>
        <v>-1.0309582042329346E-3</v>
      </c>
      <c r="BE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-0.73590070743812475</v>
      </c>
      <c r="BF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-153.9375574596238</v>
      </c>
      <c r="BG50" s="7">
        <f t="shared" si="26"/>
        <v>3.7098607410938358E-2</v>
      </c>
      <c r="BM50">
        <f>EXP(-Parameters!$B$56*A50)*AZ50*BF50</f>
        <v>7.659274296910581E-3</v>
      </c>
      <c r="BN50">
        <f>-EXP((Parameters!$B$56)*F50)*SUM(BM50:BM58)</f>
        <v>-4.1082458458605177E-2</v>
      </c>
      <c r="BO50">
        <f>X50^-Parameters!B$52/(1-2*Parameters!B$5*'6states'!D50/'6states'!G50)</f>
        <v>1.1360823720043973</v>
      </c>
      <c r="BP50">
        <f t="shared" si="27"/>
        <v>0.99957718263169704</v>
      </c>
      <c r="BQ50">
        <f>$X50^-Parameters!$B$52/(1-2*Parameters!$B$5*'6states'!$E50/'6states'!$H50)</f>
        <v>1.1087916358866199</v>
      </c>
      <c r="BR50">
        <f t="shared" si="21"/>
        <v>1.0004434716407464</v>
      </c>
      <c r="BS50" s="7">
        <f>($X50^-Parameters!$B$52*(1/(1+EXP(-C50)) + IF(C50&lt;0,2*Parameters!$B$6*C50/F50,0)) + BK50*(1/(1+EXP((C50-Parameters!$B$22)*Parameters!$B$21))))/(1-IF(C50&gt;0,2*Parameters!$B$5*C50/F50,0))</f>
        <v>0.49278072830333608</v>
      </c>
      <c r="BT50">
        <f t="shared" si="22"/>
        <v>0.99137678234185256</v>
      </c>
      <c r="BU50" s="7">
        <f t="shared" si="29"/>
        <v>-4.2863173251467268E-3</v>
      </c>
      <c r="BV50">
        <f>(1/$T50-1/Parameters!$B$13) * LN(Parameters!$B$18) / LN(P50)</f>
        <v>0.22624533826320889</v>
      </c>
      <c r="BW50">
        <f>(Parameters!$B$18*'6states'!T50^+Parameters!$B$19*Parameters!$B$25^'6states'!T50)^((1-'6states'!T50)/'6states'!T50)*Parameters!$B$18*Parameters!$B$26^('6states'!T50-1)</f>
        <v>0.28899038380890285</v>
      </c>
      <c r="BX50">
        <f t="shared" si="28"/>
        <v>0.22690442345537107</v>
      </c>
      <c r="BY50">
        <f t="shared" si="30"/>
        <v>0.14514320759047705</v>
      </c>
      <c r="BZ50">
        <f t="shared" si="31"/>
        <v>0.18152536293727384</v>
      </c>
    </row>
    <row r="51" spans="1:78" x14ac:dyDescent="0.25">
      <c r="A51">
        <f>A50+Parameters!$B$65</f>
        <v>47</v>
      </c>
      <c r="B51">
        <v>2072</v>
      </c>
      <c r="C51" s="74">
        <v>6.4252052642766735E-4</v>
      </c>
      <c r="D51" s="69">
        <v>9.1786783091590704E-2</v>
      </c>
      <c r="E51" s="75">
        <v>0.21924842901088346</v>
      </c>
      <c r="F51" s="7">
        <f>MAX((1-Parameters!$B$4)^Parameters!B$65*F50 + C50*Parameters!B$65 - IF(C50&gt;0,Parameters!$B$5,0)*C50^2/F50*Parameters!B$65, 0.0001)</f>
        <v>5.0694972553917944E-2</v>
      </c>
      <c r="G51" s="7">
        <f>(1-Parameters!$B$4)^Parameters!B$65*G50+D50*Parameters!B$65-Parameters!$B$5*D50^2/G50*Parameters!B$65</f>
        <v>1.2044741943105206</v>
      </c>
      <c r="H51" s="7">
        <f>(1-Parameters!$B$4)^Parameters!B$65*H50+E50*Parameters!B$65-Parameters!$B$5*E50^2/H50*Parameters!B$65</f>
        <v>3.2989429958292731</v>
      </c>
      <c r="I51" s="9">
        <f>I50 *(1-Parameters!$B$4)-C50*(C50&lt;0)*Parameters!B$65</f>
        <v>1.9287156300099224E-3</v>
      </c>
      <c r="J51" s="23">
        <f>J50*(1+Parameters!$B$51)^Parameters!B$65</f>
        <v>9.3497248516933258</v>
      </c>
      <c r="K51" s="23">
        <f>K50*(1+Parameters!$B$53)^Parameters!B$65</f>
        <v>22.886761478964964</v>
      </c>
      <c r="L51" s="23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5.5919586021051684</v>
      </c>
      <c r="M51" s="8">
        <f>M50+L51*Parameters!B$65</f>
        <v>3095.7905064841593</v>
      </c>
      <c r="N51" s="7">
        <f>M51*Parameters!$B$45</f>
        <v>1.8574743038904955</v>
      </c>
      <c r="O51" s="9">
        <f>EXP(-Parameters!$B$46/2*N51^2)</f>
        <v>0.96591965757988052</v>
      </c>
      <c r="P51" s="8">
        <f>MAX((Parameters!$B$62 + Parameters!$B$31*'6states'!A51 - '6states'!M51 + Parameters!$B$47/Parameters!$B$45)/Parameters!B$62,1)</f>
        <v>35.092189870316815</v>
      </c>
      <c r="Q51" s="7">
        <f>Parameters!B$61*EXP(-Parameters!B$60*A51)</f>
        <v>0.14055629693139302</v>
      </c>
      <c r="R51" s="7">
        <f>(1-Parameters!B$61)*P51^-Parameters!B$63</f>
        <v>0.35030711422008154</v>
      </c>
      <c r="S51" s="7">
        <f>Parameters!B$61*EXP(-Parameters!B$60*A51)+(1-Parameters!B$61)*P51^-Parameters!B$63</f>
        <v>0.49086341115147458</v>
      </c>
      <c r="T51" s="7">
        <f>1-S51/Parameters!$B$12</f>
        <v>0.75456829442426265</v>
      </c>
      <c r="U51" s="7">
        <f t="shared" si="0"/>
        <v>4.074453207478574</v>
      </c>
      <c r="V51" s="7">
        <f>(Parameters!$B$19*(F51+Parameters!$B$20)^T51+Parameters!$B$18*G51^T51)^(1/T51)</f>
        <v>0.33047772134643011</v>
      </c>
      <c r="W51" s="7">
        <f>(Parameters!$B$10*H51^Parameters!$B$9+Parameters!$B$11*V51^Parameters!$B$9)^(Parameters!$B$7/Parameters!$B$9)*O51</f>
        <v>1.3427361301505383</v>
      </c>
      <c r="X51" s="7">
        <f>W51 - D51 - E51 - LN(1+EXP(Parameters!$B$21*C51))/Parameters!$B$21 - IF(C51&gt;0, 0,Parameters!$B$6*C51^2/F51)</f>
        <v>1.0290537098671053</v>
      </c>
      <c r="Y51" s="7">
        <f>EXP(-Parameters!$B$55*A51)</f>
        <v>0.49179171284640477</v>
      </c>
      <c r="Z51" s="7">
        <f>IF(X51&gt;0,X51^(1-Parameters!$B$52)/(1-Parameters!$B$52)*Y51*Parameters!$B$65,-10+X51*1000)</f>
        <v>-1.391104792809045</v>
      </c>
      <c r="AB51" s="9"/>
      <c r="AC51" s="23">
        <f t="shared" si="6"/>
        <v>0.41271606475620254</v>
      </c>
      <c r="AD51" s="23">
        <f t="shared" si="7"/>
        <v>10.847959776874452</v>
      </c>
      <c r="AE51" s="23">
        <f t="shared" si="8"/>
        <v>257.73931721270822</v>
      </c>
      <c r="AF51" s="23">
        <f t="shared" si="9"/>
        <v>70.717249614964658</v>
      </c>
      <c r="AG51" s="23">
        <f t="shared" si="10"/>
        <v>179.24125872981818</v>
      </c>
      <c r="AH51" s="23">
        <f t="shared" si="11"/>
        <v>287.32528684845641</v>
      </c>
      <c r="AI51" s="23">
        <f t="shared" si="12"/>
        <v>220.20197843107528</v>
      </c>
      <c r="AJ51" s="23"/>
      <c r="AK51" s="8">
        <f t="shared" si="1"/>
        <v>287.32528684845647</v>
      </c>
      <c r="AL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0.32594067087598211</v>
      </c>
      <c r="AM51" s="32">
        <f>((C52-C50)/2-(F52-F50)/F51/2*C51)/(F51/2/Parameters!$B$5-C51)-((D52-D50)/D51-(G52-G50)/G51)/(G51/2/Parameters!$B$5/D51-1)</f>
        <v>4.1322588688064528E-3</v>
      </c>
      <c r="AN51" s="32">
        <f>+Parameters!$B$5*C51^2/F51^2-Parameters!$B$5*D51^2/G51^2</f>
        <v>-5.6465436503178364E-3</v>
      </c>
      <c r="AO51" s="30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0.54376435188140326</v>
      </c>
      <c r="AP51" s="30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116.35737273620019</v>
      </c>
      <c r="AQ51" s="8">
        <f>1000*(AL51+AM51+AN51)/(EXP(-Parameters!$B$42*A51)*((C51&lt;0)*Parameters!$B$37*EXP(-Parameters!$B$38*AD51)+(C51&gt;=0)*Parameters!$B$41))</f>
        <v>553.27135754931533</v>
      </c>
      <c r="AR51" s="13">
        <f>1-W51/'6states,ExoDamages'!T51</f>
        <v>9.3687115667505982E-2</v>
      </c>
      <c r="AS51" s="21">
        <f>-Y51*W51*X51^(-Parameters!B$52)*Parameters!B$46*Parameters!B$45*N51</f>
        <v>-1.4231498975621624E-5</v>
      </c>
      <c r="AT51" s="7">
        <f>1000*EXP(-(Parameters!$B$54)*'6states'!A51)*AK51*Parameters!B$46*Parameters!B$45*N51</f>
        <v>1.236483611217484</v>
      </c>
      <c r="AU51" s="7">
        <f>SUM(AT51:AT$204)*EXP(Parameters!$B$54*A51)</f>
        <v>484.89084477952377</v>
      </c>
      <c r="AV51" s="13">
        <f t="shared" si="32"/>
        <v>0.23212135700404421</v>
      </c>
      <c r="AZ51" s="5">
        <f t="shared" si="25"/>
        <v>-1.7973070510251302E-3</v>
      </c>
      <c r="BA51" s="2">
        <f>AZ51/Parameters!$B$45</f>
        <v>-2.9955117517085506</v>
      </c>
      <c r="BB51" s="2">
        <f t="shared" si="18"/>
        <v>-1.0813131200353432E-3</v>
      </c>
      <c r="BE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-0.74330815153443719</v>
      </c>
      <c r="BF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-159.05673725520737</v>
      </c>
      <c r="BG51" s="7">
        <f t="shared" si="26"/>
        <v>3.6651091867007976E-2</v>
      </c>
      <c r="BM51">
        <f>EXP(-Parameters!$B$56*A51)*AZ51*BF51</f>
        <v>7.3122457194202545E-3</v>
      </c>
      <c r="BN51">
        <f>-EXP((Parameters!$B$56)*F51)*SUM(BM51:BM59)</f>
        <v>-3.3384105585323759E-2</v>
      </c>
      <c r="BO51">
        <f>X51^-Parameters!B$52/(1-2*Parameters!B$5*'6states'!D51/'6states'!G51)</f>
        <v>1.1350700671858009</v>
      </c>
      <c r="BP51">
        <f t="shared" si="27"/>
        <v>0.99910895121380117</v>
      </c>
      <c r="BQ51">
        <f>$X51^-Parameters!$B$52/(1-2*Parameters!$B$5*'6states'!$E51/'6states'!$H51)</f>
        <v>1.1095571571665392</v>
      </c>
      <c r="BR51">
        <f t="shared" si="21"/>
        <v>1.000690410402769</v>
      </c>
      <c r="BS51" s="7">
        <f>($X51^-Parameters!$B$52*(1/(1+EXP(-C51)) + IF(C51&lt;0,2*Parameters!$B$6*C51/F51,0)) + BK51*(1/(1+EXP((C51-Parameters!$B$22)*Parameters!$B$21))))/(1-IF(C51&gt;0,2*Parameters!$B$5*C51/F51,0))</f>
        <v>0.49370643322648972</v>
      </c>
      <c r="BT51">
        <f t="shared" si="22"/>
        <v>1.0018785331283975</v>
      </c>
      <c r="BU51" s="7">
        <f t="shared" si="29"/>
        <v>9.2570492315363628E-4</v>
      </c>
      <c r="BV51">
        <f>(1/$T51-1/Parameters!$B$13) * LN(Parameters!$B$18) / LN(P51)</f>
        <v>0.22591542547140173</v>
      </c>
      <c r="BW51">
        <f>(Parameters!$B$18*'6states'!T51^+Parameters!$B$19*Parameters!$B$25^'6states'!T51)^((1-'6states'!T51)/'6states'!T51)*Parameters!$B$18*Parameters!$B$26^('6states'!T51-1)</f>
        <v>0.28975865072313822</v>
      </c>
      <c r="BX51">
        <f t="shared" si="28"/>
        <v>0.22589633169047746</v>
      </c>
      <c r="BY51">
        <f t="shared" si="30"/>
        <v>0.1449476981915524</v>
      </c>
      <c r="BZ51">
        <f t="shared" si="31"/>
        <v>0.18196110269439802</v>
      </c>
    </row>
    <row r="52" spans="1:78" x14ac:dyDescent="0.25">
      <c r="A52">
        <f>A51+Parameters!$B$65</f>
        <v>48</v>
      </c>
      <c r="B52">
        <v>2073</v>
      </c>
      <c r="C52" s="74">
        <v>6.4252052642766735E-4</v>
      </c>
      <c r="D52" s="69">
        <v>9.1786783091590704E-2</v>
      </c>
      <c r="E52" s="75">
        <v>0.21924842901088346</v>
      </c>
      <c r="F52" s="7">
        <f>MAX((1-Parameters!$B$4)^Parameters!B$65*F51 + C51*Parameters!B$65 - IF(C51&gt;0,Parameters!$B$5,0)*C51^2/F51*Parameters!B$65, 0.0001)</f>
        <v>4.8140635843830375E-2</v>
      </c>
      <c r="G52" s="7">
        <f>(1-Parameters!$B$4)^Parameters!B$65*G51+D51*Parameters!B$65-Parameters!$B$5*D51^2/G51*Parameters!B$65</f>
        <v>1.2135049519492258</v>
      </c>
      <c r="H52" s="7">
        <f>(1-Parameters!$B$4)^Parameters!B$65*H51+E51*Parameters!B$65-Parameters!$B$5*E51^2/H51*Parameters!B$65</f>
        <v>3.2961166147831067</v>
      </c>
      <c r="I52" s="9">
        <f>I51 *(1-Parameters!$B$4)-C51*(C51&lt;0)*Parameters!B$65</f>
        <v>1.8073994168822983E-3</v>
      </c>
      <c r="J52" s="23">
        <f>J51*(1+Parameters!$B$51)^Parameters!B$65</f>
        <v>9.376839053763236</v>
      </c>
      <c r="K52" s="23">
        <f>K51*(1+Parameters!$B$53)^Parameters!B$65</f>
        <v>23.344496708544263</v>
      </c>
      <c r="L52" s="23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5.3819898191338948</v>
      </c>
      <c r="M52" s="8">
        <f>M51+L52*Parameters!B$65</f>
        <v>3101.1724963032934</v>
      </c>
      <c r="N52" s="7">
        <f>M52*Parameters!$B$45</f>
        <v>1.8607034977819759</v>
      </c>
      <c r="O52" s="9">
        <f>EXP(-Parameters!$B$46/2*N52^2)</f>
        <v>0.96580310949544079</v>
      </c>
      <c r="P52" s="8">
        <f>MAX((Parameters!$B$62 + Parameters!$B$31*'6states'!A52 - '6states'!M52 + Parameters!$B$47/Parameters!$B$45)/Parameters!B$62,1)</f>
        <v>36.048550073934138</v>
      </c>
      <c r="Q52" s="7">
        <f>Parameters!B$61*EXP(-Parameters!B$60*A52)</f>
        <v>0.13681205168520402</v>
      </c>
      <c r="R52" s="7">
        <f>(1-Parameters!B$61)*P52^-Parameters!B$63</f>
        <v>0.3493664719326306</v>
      </c>
      <c r="S52" s="7">
        <f>Parameters!B$61*EXP(-Parameters!B$60*A52)+(1-Parameters!B$61)*P52^-Parameters!B$63</f>
        <v>0.48617852361783465</v>
      </c>
      <c r="T52" s="7">
        <f>1-S52/Parameters!$B$12</f>
        <v>0.75691073819108268</v>
      </c>
      <c r="U52" s="7">
        <f t="shared" si="0"/>
        <v>4.1137152359533662</v>
      </c>
      <c r="V52" s="7">
        <f>(Parameters!$B$19*(F52+Parameters!$B$20)^T52+Parameters!$B$18*G52^T52)^(1/T52)</f>
        <v>0.33051356196484194</v>
      </c>
      <c r="W52" s="7">
        <f>(Parameters!$B$10*H52^Parameters!$B$9+Parameters!$B$11*V52^Parameters!$B$9)^(Parameters!$B$7/Parameters!$B$9)*O52</f>
        <v>1.3423524023417199</v>
      </c>
      <c r="X52" s="7">
        <f>W52 - D52 - E52 - LN(1+EXP(Parameters!$B$21*C52))/Parameters!$B$21 - IF(C52&gt;0, 0,Parameters!$B$6*C52^2/F52)</f>
        <v>1.028669982058287</v>
      </c>
      <c r="Y52" s="7">
        <f>EXP(-Parameters!$B$55*A52)</f>
        <v>0.48442144355629069</v>
      </c>
      <c r="Z52" s="7">
        <f>IF(X52&gt;0,X52^(1-Parameters!$B$52)/(1-Parameters!$B$52)*Y52*Parameters!$B$65,-10+X52*1000)</f>
        <v>-1.3704357892548384</v>
      </c>
      <c r="AB52" s="9"/>
      <c r="AC52" s="23">
        <f t="shared" si="6"/>
        <v>0.39563537368012741</v>
      </c>
      <c r="AD52" s="23">
        <f t="shared" si="7"/>
        <v>10.537869091562891</v>
      </c>
      <c r="AE52" s="23">
        <f t="shared" si="8"/>
        <v>265.63330752605992</v>
      </c>
      <c r="AF52" s="23">
        <f t="shared" si="9"/>
        <v>72.348621656563097</v>
      </c>
      <c r="AG52" s="23">
        <f t="shared" si="10"/>
        <v>183.37616470798932</v>
      </c>
      <c r="AH52" s="23">
        <f t="shared" si="11"/>
        <v>293.83770369196054</v>
      </c>
      <c r="AI52" s="23">
        <f t="shared" si="12"/>
        <v>225.17337835993311</v>
      </c>
      <c r="AJ52" s="23"/>
      <c r="AK52" s="8">
        <f t="shared" si="1"/>
        <v>293.83770369196054</v>
      </c>
      <c r="AL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0.32681053271104782</v>
      </c>
      <c r="AM52" s="32">
        <f>((C53-C51)/2-(F53-F51)/F52/2*C52)/(F52/2/Parameters!$B$5-C52)-((D53-D51)/D52-(G53-G51)/G52)/(G52/2/Parameters!$B$5/D52-1)</f>
        <v>-3.628166058515579E-3</v>
      </c>
      <c r="AN52" s="32">
        <f>+Parameters!$B$5*C52^2/F52^2-Parameters!$B$5*D52^2/G52^2</f>
        <v>-5.5429336339354474E-3</v>
      </c>
      <c r="AO52" s="30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0.5389389273536751</v>
      </c>
      <c r="AP52" s="30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117.97243150722109</v>
      </c>
      <c r="AQ52" s="8">
        <f>1000*(AL52+AM52+AN52)/(EXP(-Parameters!$B$42*A52)*((C52&lt;0)*Parameters!$B$37*EXP(-Parameters!$B$38*AD52)+(C52&gt;=0)*Parameters!$B$41))</f>
        <v>547.1411461347667</v>
      </c>
      <c r="AR52" s="13">
        <f>1-W52/'6states,ExoDamages'!T52</f>
        <v>9.3800073033118991E-2</v>
      </c>
      <c r="AS52" s="21">
        <f>-Y52*W52*X52^(-Parameters!B$52)*Parameters!B$46*Parameters!B$45*N52</f>
        <v>-1.4045645261504488E-5</v>
      </c>
      <c r="AT52" s="7">
        <f>1000*EXP(-(Parameters!$B$54)*'6states'!A52)*AK52*Parameters!B$46*Parameters!B$45*N52</f>
        <v>1.2230174683540822</v>
      </c>
      <c r="AU52" s="7">
        <f>SUM(AT52:AT$204)*EXP(Parameters!$B$54*A52)</f>
        <v>495.54639043256822</v>
      </c>
      <c r="AV52" s="13">
        <f t="shared" si="32"/>
        <v>0.2321877117254629</v>
      </c>
      <c r="AZ52" s="5">
        <f t="shared" si="25"/>
        <v>-1.7952739824530302E-3</v>
      </c>
      <c r="BA52" s="2">
        <f>AZ52/Parameters!$B$45</f>
        <v>-2.9921233040883837</v>
      </c>
      <c r="BB52" s="2">
        <f t="shared" si="18"/>
        <v>-1.1324558769141291E-3</v>
      </c>
      <c r="BE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-0.75139399923022698</v>
      </c>
      <c r="BF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-164.47833439010984</v>
      </c>
      <c r="BG52" s="7">
        <f t="shared" si="26"/>
        <v>3.6185595838720282E-2</v>
      </c>
      <c r="BM52">
        <f>EXP(-Parameters!$B$56*A52)*AZ52*BF52</f>
        <v>6.9861980983009289E-3</v>
      </c>
      <c r="BN52">
        <f>-EXP((Parameters!$B$56)*F52)*SUM(BM52:BM60)</f>
        <v>-2.6037700261717048E-2</v>
      </c>
      <c r="BO52">
        <f>X52^-Parameters!B$52/(1-2*Parameters!B$5*'6states'!D52/'6states'!G52)</f>
        <v>1.1341240756469522</v>
      </c>
      <c r="BP52">
        <f t="shared" si="27"/>
        <v>0.99916657872831216</v>
      </c>
      <c r="BQ52">
        <f>$X52^-Parameters!$B$52/(1-2*Parameters!$B$5*'6states'!$E52/'6states'!$H52)</f>
        <v>1.1102619045347473</v>
      </c>
      <c r="BR52">
        <f t="shared" si="21"/>
        <v>1.0006351609411521</v>
      </c>
      <c r="BS52" s="7">
        <f>($X52^-Parameters!$B$52*(1/(1+EXP(-C52)) + IF(C52&lt;0,2*Parameters!$B$6*C52/F52,0)) + BK52*(1/(1+EXP((C52-Parameters!$B$22)*Parameters!$B$21))))/(1-IF(C52&gt;0,2*Parameters!$B$5*C52/F52,0))</f>
        <v>0.49463766153341515</v>
      </c>
      <c r="BT52">
        <f t="shared" si="22"/>
        <v>1.0018861984455816</v>
      </c>
      <c r="BU52" s="7">
        <f t="shared" si="29"/>
        <v>9.3122830692543568E-4</v>
      </c>
      <c r="BV52">
        <f>(1/$T52-1/Parameters!$B$13) * LN(Parameters!$B$18) / LN(P52)</f>
        <v>0.22558386979727776</v>
      </c>
      <c r="BW52">
        <f>(Parameters!$B$18*'6states'!T52^+Parameters!$B$19*Parameters!$B$25^'6states'!T52)^((1-'6states'!T52)/'6states'!T52)*Parameters!$B$18*Parameters!$B$26^('6states'!T52-1)</f>
        <v>0.29049232350960225</v>
      </c>
      <c r="BX52">
        <f t="shared" si="28"/>
        <v>0.22490742511614487</v>
      </c>
      <c r="BY52">
        <f t="shared" si="30"/>
        <v>0.14475117015683525</v>
      </c>
      <c r="BZ52">
        <f t="shared" si="31"/>
        <v>0.18237700507096211</v>
      </c>
    </row>
    <row r="53" spans="1:78" x14ac:dyDescent="0.25">
      <c r="A53">
        <f>A52+Parameters!$B$65</f>
        <v>49</v>
      </c>
      <c r="B53">
        <v>2074</v>
      </c>
      <c r="C53" s="74">
        <v>3.3967481787106296E-4</v>
      </c>
      <c r="D53" s="69">
        <v>9.237971986505468E-2</v>
      </c>
      <c r="E53" s="75">
        <v>0.21900481973053479</v>
      </c>
      <c r="F53" s="7">
        <f>MAX((1-Parameters!$B$4)^Parameters!B$65*F52 + C52*Parameters!B$65 - IF(C52&gt;0,Parameters!$B$5,0)*C52^2/F52*Parameters!B$65, 0.0001)</f>
        <v>4.5746534821585395E-2</v>
      </c>
      <c r="G53" s="7">
        <f>(1-Parameters!$B$4)^Parameters!B$65*G52+D52*Parameters!B$65-Parameters!$B$5*D52^2/G52*Parameters!B$65</f>
        <v>1.2220197278926959</v>
      </c>
      <c r="H53" s="7">
        <f>(1-Parameters!$B$4)^Parameters!B$65*H52+E52*Parameters!B$65-Parameters!$B$5*E52^2/H52*Parameters!B$65</f>
        <v>3.2934555183909429</v>
      </c>
      <c r="I53" s="9">
        <f>I52 *(1-Parameters!$B$4)-C52*(C52&lt;0)*Parameters!B$65</f>
        <v>1.6937139935604018E-3</v>
      </c>
      <c r="J53" s="23">
        <f>J52*(1+Parameters!$B$51)^Parameters!B$65</f>
        <v>9.4040318870191477</v>
      </c>
      <c r="K53" s="23">
        <f>K52*(1+Parameters!$B$53)^Parameters!B$65</f>
        <v>23.811386642715149</v>
      </c>
      <c r="L53" s="23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5.1837020268876692</v>
      </c>
      <c r="M53" s="8">
        <f>M52+L53*Parameters!B$65</f>
        <v>3106.3561983301811</v>
      </c>
      <c r="N53" s="7">
        <f>M53*Parameters!$B$45</f>
        <v>1.8638137189981085</v>
      </c>
      <c r="O53" s="9">
        <f>EXP(-Parameters!$B$46/2*N53^2)</f>
        <v>0.9656906773114835</v>
      </c>
      <c r="P53" s="8">
        <f>MAX((Parameters!$B$62 + Parameters!$B$31*'6states'!A53 - '6states'!M53 + Parameters!$B$47/Parameters!$B$45)/Parameters!B$62,1)</f>
        <v>37.008876033396383</v>
      </c>
      <c r="Q53" s="7">
        <f>Parameters!B$61*EXP(-Parameters!B$60*A53)</f>
        <v>0.13316754848380194</v>
      </c>
      <c r="R53" s="7">
        <f>(1-Parameters!B$61)*P53^-Parameters!B$63</f>
        <v>0.3484491542678424</v>
      </c>
      <c r="S53" s="7">
        <f>Parameters!B$61*EXP(-Parameters!B$60*A53)+(1-Parameters!B$61)*P53^-Parameters!B$63</f>
        <v>0.48161670275164437</v>
      </c>
      <c r="T53" s="7">
        <f>1-S53/Parameters!$B$12</f>
        <v>0.75919164862417787</v>
      </c>
      <c r="U53" s="7">
        <f t="shared" si="0"/>
        <v>4.1526798978799988</v>
      </c>
      <c r="V53" s="7">
        <f>(Parameters!$B$19*(F53+Parameters!$B$20)^T53+Parameters!$B$18*G53^T53)^(1/T53)</f>
        <v>0.33058782337340242</v>
      </c>
      <c r="W53" s="7">
        <f>(Parameters!$B$10*H53^Parameters!$B$9+Parameters!$B$11*V53^Parameters!$B$9)^(Parameters!$B$7/Parameters!$B$9)*O53</f>
        <v>1.342002568867172</v>
      </c>
      <c r="X53" s="7">
        <f>W53 - D53 - E53 - LN(1+EXP(Parameters!$B$21*C53))/Parameters!$B$21 - IF(C53&gt;0, 0,Parameters!$B$6*C53^2/F53)</f>
        <v>1.028133376419708</v>
      </c>
      <c r="Y53" s="7">
        <f>EXP(-Parameters!$B$55*A53)</f>
        <v>0.47716162929823552</v>
      </c>
      <c r="Z53" s="7">
        <f>IF(X53&gt;0,X53^(1-Parameters!$B$52)/(1-Parameters!$B$52)*Y53*Parameters!$B$65,-10+X53*1000)</f>
        <v>-1.3501442096700598</v>
      </c>
      <c r="AB53" s="9"/>
      <c r="AC53" s="23">
        <f t="shared" si="6"/>
        <v>0.3792615850790228</v>
      </c>
      <c r="AD53" s="23">
        <f t="shared" si="7"/>
        <v>10.24370311296507</v>
      </c>
      <c r="AE53" s="23">
        <f t="shared" si="8"/>
        <v>273.63837150814197</v>
      </c>
      <c r="AF53" s="23">
        <f t="shared" si="9"/>
        <v>74.026230152859227</v>
      </c>
      <c r="AG53" s="23">
        <f t="shared" si="10"/>
        <v>187.62826246587957</v>
      </c>
      <c r="AH53" s="23">
        <f t="shared" si="11"/>
        <v>300.50529391846408</v>
      </c>
      <c r="AI53" s="23">
        <f t="shared" si="12"/>
        <v>230.2227504148446</v>
      </c>
      <c r="AJ53" s="23"/>
      <c r="AK53" s="8">
        <f t="shared" si="1"/>
        <v>300.50529391846408</v>
      </c>
      <c r="AL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0.33298467374592844</v>
      </c>
      <c r="AM53" s="32">
        <f>((C54-C52)/2-(F54-F52)/F53/2*C53)/(F53/2/Parameters!$B$5-C53)-((D54-D52)/D53-(G54-G52)/G53)/(G53/2/Parameters!$B$5/D53-1)</f>
        <v>-9.7373161380278767E-3</v>
      </c>
      <c r="AN53" s="32">
        <f>+Parameters!$B$5*C53^2/F53^2-Parameters!$B$5*D53^2/G53^2</f>
        <v>-5.6596120556504665E-3</v>
      </c>
      <c r="AO53" s="30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0.53418275328980802</v>
      </c>
      <c r="AP53" s="30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119.61582563812252</v>
      </c>
      <c r="AQ53" s="8">
        <f>1000*(AL53+AM53+AN53)/(EXP(-Parameters!$B$42*A53)*((C53&lt;0)*Parameters!$B$37*EXP(-Parameters!$B$38*AD53)+(C53&gt;=0)*Parameters!$B$41))</f>
        <v>552.5500784410691</v>
      </c>
      <c r="AR53" s="13">
        <f>1-W53/'6states,ExoDamages'!T53</f>
        <v>9.3897318208917668E-2</v>
      </c>
      <c r="AS53" s="21">
        <f>-Y53*W53*X53^(-Parameters!B$52)*Parameters!B$46*Parameters!B$45*N53</f>
        <v>-1.3864426307356412E-5</v>
      </c>
      <c r="AT53" s="7">
        <f>1000*EXP(-(Parameters!$B$54)*'6states'!A53)*AK53*Parameters!B$46*Parameters!B$45*N53</f>
        <v>1.2096475767252441</v>
      </c>
      <c r="AU53" s="7">
        <f>SUM(AT53:AT$204)*EXP(Parameters!$B$54*A53)</f>
        <v>506.41963798251726</v>
      </c>
      <c r="AV53" s="13">
        <f t="shared" si="32"/>
        <v>0.23228287459732444</v>
      </c>
      <c r="AZ53" s="5">
        <f t="shared" si="25"/>
        <v>-1.7931525008744187E-3</v>
      </c>
      <c r="BA53" s="2">
        <f>AZ53/Parameters!$B$45</f>
        <v>-2.9885875014573648</v>
      </c>
      <c r="BB53" s="2">
        <f t="shared" si="18"/>
        <v>-1.1831015920713561E-3</v>
      </c>
      <c r="BE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-0.76018114468228359</v>
      </c>
      <c r="BF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-170.2220723071018</v>
      </c>
      <c r="BG53" s="7">
        <f t="shared" si="26"/>
        <v>3.5702047014130878E-2</v>
      </c>
      <c r="BM53">
        <f>EXP(-Parameters!$B$56*A53)*AZ53*BF53</f>
        <v>6.6797404816347269E-3</v>
      </c>
      <c r="BN53">
        <f>-EXP((Parameters!$B$56)*F53)*SUM(BM53:BM61)</f>
        <v>-1.9021667452702971E-2</v>
      </c>
      <c r="BO53">
        <f>X53^-Parameters!B$52/(1-2*Parameters!B$5*'6states'!D53/'6states'!G53)</f>
        <v>1.1348114203900801</v>
      </c>
      <c r="BP53">
        <f t="shared" si="27"/>
        <v>1.0006060578008062</v>
      </c>
      <c r="BQ53">
        <f>$X53^-Parameters!$B$52/(1-2*Parameters!$B$5*'6states'!$E53/'6states'!$H53)</f>
        <v>1.1109924327936231</v>
      </c>
      <c r="BR53">
        <f t="shared" si="21"/>
        <v>1.0006579783165503</v>
      </c>
      <c r="BS53" s="7">
        <f>($X53^-Parameters!$B$52*(1/(1+EXP(-C53)) + IF(C53&lt;0,2*Parameters!$B$6*C53/F53,0)) + BK53*(1/(1+EXP((C53-Parameters!$B$22)*Parameters!$B$21))))/(1-IF(C53&gt;0,2*Parameters!$B$5*C53/F53,0))</f>
        <v>0.48896160557606183</v>
      </c>
      <c r="BT53">
        <f t="shared" si="22"/>
        <v>0.98852482049232338</v>
      </c>
      <c r="BU53" s="7">
        <f t="shared" ref="BU53:BU62" si="33">BS53-BS52</f>
        <v>-5.6760559573533209E-3</v>
      </c>
      <c r="BV53">
        <f>(1/$T53-1/Parameters!$B$13) * LN(Parameters!$B$18) / LN(P53)</f>
        <v>0.22525092073612216</v>
      </c>
      <c r="BW53">
        <f>(Parameters!$B$18*'6states'!T53^+Parameters!$B$19*Parameters!$B$25^'6states'!T53)^((1-'6states'!T53)/'6states'!T53)*Parameters!$B$18*Parameters!$B$26^('6states'!T53-1)</f>
        <v>0.29119316886710062</v>
      </c>
      <c r="BX53">
        <f t="shared" si="28"/>
        <v>0.22393727516965206</v>
      </c>
      <c r="BY53">
        <f t="shared" si="30"/>
        <v>0.14455377074282882</v>
      </c>
      <c r="BZ53">
        <f t="shared" si="31"/>
        <v>0.18277410085441503</v>
      </c>
    </row>
    <row r="54" spans="1:78" s="4" customFormat="1" x14ac:dyDescent="0.25">
      <c r="A54">
        <f>A53+Parameters!$B$65</f>
        <v>50</v>
      </c>
      <c r="B54">
        <v>2075</v>
      </c>
      <c r="C54" s="74">
        <v>1.3966796124358118E-4</v>
      </c>
      <c r="D54" s="69">
        <v>9.2760293297055624E-2</v>
      </c>
      <c r="E54" s="75">
        <v>0.21915437899354032</v>
      </c>
      <c r="F54" s="7">
        <f>MAX((1-Parameters!$B$4)^Parameters!B$65*F53 + C53*Parameters!B$65 - IF(C53&gt;0,Parameters!$B$5,0)*C53^2/F53*Parameters!B$65, 0.0001)</f>
        <v>4.3206230463188638E-2</v>
      </c>
      <c r="G54" s="7">
        <f>(1-Parameters!$B$4)^Parameters!B$65*G53+D53*Parameters!B$65-Parameters!$B$5*D53^2/G53*Parameters!B$65</f>
        <v>1.2305508758814867</v>
      </c>
      <c r="H54" s="7">
        <f>(1-Parameters!$B$4)^Parameters!B$65*H53+E53*Parameters!B$65-Parameters!$B$5*E53^2/H53*Parameters!B$65</f>
        <v>3.290738828626536</v>
      </c>
      <c r="I54" s="9">
        <f>I53 *(1-Parameters!$B$4)-C53*(C53&lt;0)*Parameters!B$65</f>
        <v>1.5871793833654526E-3</v>
      </c>
      <c r="J54" s="23">
        <f>J53*(1+Parameters!$B$51)^Parameters!B$65</f>
        <v>9.4313035794915017</v>
      </c>
      <c r="K54" s="23">
        <f>K53*(1+Parameters!$B$53)^Parameters!B$65</f>
        <v>24.287614375569454</v>
      </c>
      <c r="L54" s="23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4.9605821318088292</v>
      </c>
      <c r="M54" s="8">
        <f>M53+L54*Parameters!B$65</f>
        <v>3111.3167804619898</v>
      </c>
      <c r="N54" s="7">
        <f>M54*Parameters!$B$45</f>
        <v>1.8667900682771936</v>
      </c>
      <c r="O54" s="9">
        <f>EXP(-Parameters!$B$46/2*N54^2)</f>
        <v>0.96558292095686182</v>
      </c>
      <c r="P54" s="8">
        <f>MAX((Parameters!$B$62 + Parameters!$B$31*'6states'!A54 - '6states'!M54 + Parameters!$B$47/Parameters!$B$45)/Parameters!B$62,1)</f>
        <v>37.973664390760206</v>
      </c>
      <c r="Q54" s="7">
        <f>Parameters!B$61*EXP(-Parameters!B$60*A54)</f>
        <v>0.12962013032294575</v>
      </c>
      <c r="R54" s="7">
        <f>(1-Parameters!B$61)*P54^-Parameters!B$63</f>
        <v>0.34755356976151519</v>
      </c>
      <c r="S54" s="7">
        <f>Parameters!B$61*EXP(-Parameters!B$60*A54)+(1-Parameters!B$61)*P54^-Parameters!B$63</f>
        <v>0.47717370008446092</v>
      </c>
      <c r="T54" s="7">
        <f>1-S54/Parameters!$B$12</f>
        <v>0.76141314995776954</v>
      </c>
      <c r="U54" s="7">
        <f t="shared" si="0"/>
        <v>4.1913458341186764</v>
      </c>
      <c r="V54" s="7">
        <f>(Parameters!$B$19*(F54+Parameters!$B$20)^T54+Parameters!$B$18*G54^T54)^(1/T54)</f>
        <v>0.33049093990325157</v>
      </c>
      <c r="W54" s="7">
        <f>(Parameters!$B$10*H54^Parameters!$B$9+Parameters!$B$11*V54^Parameters!$B$9)^(Parameters!$B$7/Parameters!$B$9)*O54</f>
        <v>1.3415883408623341</v>
      </c>
      <c r="X54" s="7">
        <f>W54 - D54 - E54 - LN(1+EXP(Parameters!$B$21*C54))/Parameters!$B$21 - IF(C54&gt;0, 0,Parameters!$B$6*C54^2/F54)</f>
        <v>1.0272926125250279</v>
      </c>
      <c r="Y54" s="16">
        <f>EXP(-Parameters!$B$55*A54)</f>
        <v>0.4700106147305379</v>
      </c>
      <c r="Z54" s="7">
        <f>IF(X54&gt;0,X54^(1-Parameters!$B$52)/(1-Parameters!$B$52)*Y54*Parameters!$B$65,-10+X54*1000)</f>
        <v>-1.3302910341683478</v>
      </c>
      <c r="AA54"/>
      <c r="AB54" s="9"/>
      <c r="AC54" s="23">
        <f t="shared" si="6"/>
        <v>0.36356544304591809</v>
      </c>
      <c r="AD54" s="23">
        <f t="shared" si="7"/>
        <v>9.8969861159520498</v>
      </c>
      <c r="AE54" s="23">
        <f t="shared" si="8"/>
        <v>281.87473896728625</v>
      </c>
      <c r="AF54" s="23">
        <f t="shared" si="9"/>
        <v>75.703531842639563</v>
      </c>
      <c r="AG54" s="23">
        <f t="shared" si="10"/>
        <v>191.87958258625736</v>
      </c>
      <c r="AH54" s="23">
        <f t="shared" si="11"/>
        <v>307.30940978871428</v>
      </c>
      <c r="AI54" s="23">
        <f t="shared" si="12"/>
        <v>235.31561569210714</v>
      </c>
      <c r="AJ54" s="23"/>
      <c r="AK54" s="8">
        <f t="shared" si="1"/>
        <v>307.30940978871428</v>
      </c>
      <c r="AL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0.33873028417931328</v>
      </c>
      <c r="AM54" s="32">
        <f>((C55-C53)/2-(F55-F53)/F54/2*C54)/(F54/2/Parameters!$B$5-C54)-((D55-D53)/D54-(G55-G53)/G54)/(G54/2/Parameters!$B$5/D54-1)</f>
        <v>-2.5644060790773028E-3</v>
      </c>
      <c r="AN54" s="32">
        <f>+Parameters!$B$5*C54^2/F54^2-Parameters!$B$5*D54^2/G54^2</f>
        <v>-5.671862406131282E-3</v>
      </c>
      <c r="AO54" s="30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0.52920314194575369</v>
      </c>
      <c r="AP54" s="30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121.22131674545521</v>
      </c>
      <c r="AQ54" s="8">
        <f>1000*(AL54+AM54+AN54)/(EXP(-Parameters!$B$42*A54)*((C54&lt;0)*Parameters!$B$37*EXP(-Parameters!$B$38*AD54)+(C54&gt;=0)*Parameters!$B$41))</f>
        <v>580.78374578027262</v>
      </c>
      <c r="AR54" s="13">
        <f>1-W54/'6states,ExoDamages'!T54</f>
        <v>9.4045511959641837E-2</v>
      </c>
      <c r="AS54" s="21">
        <f>-Y54*W54*X54^(-Parameters!B$52)*Parameters!B$46*Parameters!B$45*N54</f>
        <v>-1.3689343091952544E-5</v>
      </c>
      <c r="AT54" s="7">
        <f>1000*EXP(-(Parameters!$B$54)*'6states'!A54)*AK54*Parameters!B$46*Parameters!B$45*N54</f>
        <v>1.1962772185237087</v>
      </c>
      <c r="AU54" s="7">
        <f>SUM(AT54:AT$204)*EXP(Parameters!$B$54*A54)</f>
        <v>517.51467290987034</v>
      </c>
      <c r="AV54" s="13">
        <f t="shared" si="32"/>
        <v>0.23260066500820964</v>
      </c>
      <c r="AW54" s="16"/>
      <c r="AX54" s="16"/>
      <c r="AY54" s="16"/>
      <c r="AZ54" s="5">
        <f t="shared" si="25"/>
        <v>-1.7909364516643447E-3</v>
      </c>
      <c r="BA54" s="2">
        <f>AZ54/Parameters!$B$45</f>
        <v>-2.9848940861072415</v>
      </c>
      <c r="BB54" s="2">
        <f t="shared" si="18"/>
        <v>-1.2373689797953169E-3</v>
      </c>
      <c r="BC54"/>
      <c r="BD54"/>
      <c r="BE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-0.76171710442655982</v>
      </c>
      <c r="BF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-174.4818635177113</v>
      </c>
      <c r="BG54" s="7">
        <f t="shared" si="26"/>
        <v>3.5433323535818129E-2</v>
      </c>
      <c r="BH54"/>
      <c r="BI54"/>
      <c r="BJ54"/>
      <c r="BK54"/>
      <c r="BM54">
        <f>EXP(-Parameters!$B$56*A54)*AZ54*BF54</f>
        <v>6.3253125135695415E-3</v>
      </c>
      <c r="BN54">
        <f>-EXP((Parameters!$B$56)*F54)*SUM(BM54:BM62)</f>
        <v>-1.2315609045241665E-2</v>
      </c>
      <c r="BO54">
        <f>X54^-Parameters!B$52/(1-2*Parameters!B$5*'6states'!D54/'6states'!G54)</f>
        <v>1.1354906771178233</v>
      </c>
      <c r="BP54">
        <f t="shared" si="27"/>
        <v>1.0005985635282995</v>
      </c>
      <c r="BQ54">
        <f>$X54^-Parameters!$B$52/(1-2*Parameters!$B$5*'6states'!$E54/'6states'!$H54)</f>
        <v>1.1124776295860828</v>
      </c>
      <c r="BR54">
        <f t="shared" si="21"/>
        <v>1.0013368198995964</v>
      </c>
      <c r="BS54" s="7">
        <f>($X54^-Parameters!$B$52*(1/(1+EXP(-C54)) + IF(C54&lt;0,2*Parameters!$B$6*C54/F54,0)) + BK54*(1/(1+EXP((C54-Parameters!$B$22)*Parameters!$B$21))))/(1-IF(C54&gt;0,2*Parameters!$B$5*C54/F54,0))</f>
        <v>0.4853221528169685</v>
      </c>
      <c r="BT54">
        <f t="shared" si="22"/>
        <v>0.99255677190685443</v>
      </c>
      <c r="BU54" s="7">
        <f t="shared" si="33"/>
        <v>-3.6394527590933312E-3</v>
      </c>
      <c r="BV54">
        <f>(1/$T54-1/Parameters!$B$13) * LN(Parameters!$B$18) / LN(P54)</f>
        <v>0.22491582047075181</v>
      </c>
      <c r="BW54">
        <f>(Parameters!$B$18*'6states'!T54^+Parameters!$B$19*Parameters!$B$25^'6states'!T54)^((1-'6states'!T54)/'6states'!T54)*Parameters!$B$18*Parameters!$B$26^('6states'!T54-1)</f>
        <v>0.29186295274420515</v>
      </c>
      <c r="BX54">
        <f t="shared" si="28"/>
        <v>0.22298438661982989</v>
      </c>
      <c r="BY54">
        <f t="shared" si="30"/>
        <v>0.14435504991498871</v>
      </c>
      <c r="BZ54">
        <f t="shared" si="31"/>
        <v>0.18315341711731359</v>
      </c>
    </row>
    <row r="55" spans="1:78" x14ac:dyDescent="0.25">
      <c r="A55">
        <f>A54+Parameters!$B$65</f>
        <v>51</v>
      </c>
      <c r="B55">
        <v>2076</v>
      </c>
      <c r="C55" s="74">
        <v>1.3966796124358118E-4</v>
      </c>
      <c r="D55" s="69">
        <v>9.2760293297055624E-2</v>
      </c>
      <c r="E55" s="75">
        <v>0.21915437899354032</v>
      </c>
      <c r="F55" s="7">
        <f>MAX((1-Parameters!$B$4)^Parameters!B$65*F54 + C54*Parameters!B$65 - IF(C54&gt;0,Parameters!$B$5,0)*C54^2/F54*Parameters!B$65, 0.0001)</f>
        <v>4.0627775039260343E-2</v>
      </c>
      <c r="G55" s="7">
        <f>(1-Parameters!$B$4)^Parameters!B$65*G54+D54*Parameters!B$65-Parameters!$B$5*D54^2/G54*Parameters!B$65</f>
        <v>1.2389171450349163</v>
      </c>
      <c r="H55" s="7">
        <f>(1-Parameters!$B$4)^Parameters!B$65*H54+E54*Parameters!B$65-Parameters!$B$5*E54^2/H54*Parameters!B$65</f>
        <v>3.2883106415125529</v>
      </c>
      <c r="I55" s="9">
        <f>I54 *(1-Parameters!$B$4)-C54*(C54&lt;0)*Parameters!B$65</f>
        <v>1.4873458001517658E-3</v>
      </c>
      <c r="J55" s="23">
        <f>J54*(1+Parameters!$B$51)^Parameters!B$65</f>
        <v>9.4586543598720265</v>
      </c>
      <c r="K55" s="23">
        <f>K54*(1+Parameters!$B$53)^Parameters!B$65</f>
        <v>24.773366663080843</v>
      </c>
      <c r="L55" s="23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4.7250613730360786</v>
      </c>
      <c r="M55" s="8">
        <f>M54+L55*Parameters!B$65</f>
        <v>3116.0418418350259</v>
      </c>
      <c r="N55" s="7">
        <f>M55*Parameters!$B$45</f>
        <v>1.8696251051010153</v>
      </c>
      <c r="O55" s="9">
        <f>EXP(-Parameters!$B$46/2*N55^2)</f>
        <v>0.96548013202536065</v>
      </c>
      <c r="P55" s="8">
        <f>MAX((Parameters!$B$62 + Parameters!$B$31*'6states'!A55 - '6states'!M55 + Parameters!$B$47/Parameters!$B$45)/Parameters!B$62,1)</f>
        <v>38.943163163299488</v>
      </c>
      <c r="Q55" s="7">
        <f>Parameters!B$61*EXP(-Parameters!B$60*A55)</f>
        <v>0.12616721097768882</v>
      </c>
      <c r="R55" s="7">
        <f>(1-Parameters!B$61)*P55^-Parameters!B$63</f>
        <v>0.34667847853549233</v>
      </c>
      <c r="S55" s="7">
        <f>Parameters!B$61*EXP(-Parameters!B$60*A55)+(1-Parameters!B$61)*P55^-Parameters!B$63</f>
        <v>0.47284568951318118</v>
      </c>
      <c r="T55" s="7">
        <f>1-S55/Parameters!$B$12</f>
        <v>0.76357715524340941</v>
      </c>
      <c r="U55" s="7">
        <f t="shared" si="0"/>
        <v>4.2297097009789857</v>
      </c>
      <c r="V55" s="7">
        <f>(Parameters!$B$19*(F55+Parameters!$B$20)^T55+Parameters!$B$18*G55^T55)^(1/T55)</f>
        <v>0.33029530671693896</v>
      </c>
      <c r="W55" s="7">
        <f>(Parameters!$B$10*H55^Parameters!$B$9+Parameters!$B$11*V55^Parameters!$B$9)^(Parameters!$B$7/Parameters!$B$9)*O55</f>
        <v>1.3411670485513636</v>
      </c>
      <c r="X55" s="7">
        <f>W55 - D55 - E55 - LN(1+EXP(Parameters!$B$21*C55))/Parameters!$B$21 - IF(C55&gt;0, 0,Parameters!$B$6*C55^2/F55)</f>
        <v>1.0268713202140574</v>
      </c>
      <c r="Y55" s="7">
        <f>EXP(-Parameters!$B$55*A55)</f>
        <v>0.46296676931938507</v>
      </c>
      <c r="Z55" s="7">
        <f>IF(X55&gt;0,X55^(1-Parameters!$B$52)/(1-Parameters!$B$52)*Y55*Parameters!$B$65,-10+X55*1000)</f>
        <v>-1.3105426725461018</v>
      </c>
      <c r="AB55" s="9"/>
      <c r="AC55" s="23">
        <f t="shared" si="6"/>
        <v>0.34851890246051098</v>
      </c>
      <c r="AD55" s="23">
        <f t="shared" si="7"/>
        <v>9.5200104539581485</v>
      </c>
      <c r="AE55" s="23">
        <f t="shared" si="8"/>
        <v>290.30642610684089</v>
      </c>
      <c r="AF55" s="23">
        <f t="shared" si="9"/>
        <v>77.39569222779221</v>
      </c>
      <c r="AG55" s="23">
        <f t="shared" si="10"/>
        <v>196.16856383282598</v>
      </c>
      <c r="AH55" s="23">
        <f t="shared" si="11"/>
        <v>314.26590086154096</v>
      </c>
      <c r="AI55" s="23">
        <f t="shared" si="12"/>
        <v>240.61927324006388</v>
      </c>
      <c r="AJ55" s="23"/>
      <c r="AK55" s="8">
        <f t="shared" si="1"/>
        <v>314.2659008615409</v>
      </c>
      <c r="AL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0.34150942997114747</v>
      </c>
      <c r="AM55" s="32">
        <f>((C56-C54)/2-(F56-F54)/F55/2*C55)/(F55/2/Parameters!$B$5-C55)-((D56-D54)/D55-(G56-G54)/G55)/(G55/2/Parameters!$B$5/D55-1)</f>
        <v>2.7360570327352039E-3</v>
      </c>
      <c r="AN55" s="32">
        <f>+Parameters!$B$5*C55^2/F55^2-Parameters!$B$5*D55^2/G55^2</f>
        <v>-5.5940090227854034E-3</v>
      </c>
      <c r="AO55" s="30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0.52408273709873365</v>
      </c>
      <c r="AP55" s="30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122.80448858195159</v>
      </c>
      <c r="AQ55" s="8">
        <f>1000*(AL55+AM55+AN55)/(EXP(-Parameters!$B$42*A55)*((C55&lt;0)*Parameters!$B$37*EXP(-Parameters!$B$38*AD55)+(C55&gt;=0)*Parameters!$B$41))</f>
        <v>601.10006301922203</v>
      </c>
      <c r="AR55" s="13">
        <f>1-W55/'6states,ExoDamages'!T55</f>
        <v>9.4183413736386834E-2</v>
      </c>
      <c r="AS55" s="21">
        <f>-Y55*W55*X55^(-Parameters!B$52)*Parameters!B$46*Parameters!B$45*N55</f>
        <v>-1.3507901961028121E-5</v>
      </c>
      <c r="AT55" s="7">
        <f>1000*EXP(-(Parameters!$B$54)*'6states'!A55)*AK55*Parameters!B$46*Parameters!B$45*N55</f>
        <v>1.1829558809838931</v>
      </c>
      <c r="AU55" s="7">
        <f>SUM(AT55:AT$204)*EXP(Parameters!$B$54*A55)</f>
        <v>528.8362303004244</v>
      </c>
      <c r="AV55" s="13">
        <f t="shared" si="32"/>
        <v>0.23267373038198275</v>
      </c>
      <c r="AZ55" s="5">
        <f t="shared" si="25"/>
        <v>-1.7886160613978688E-3</v>
      </c>
      <c r="BA55" s="2">
        <f>AZ55/Parameters!$B$45</f>
        <v>-2.9810267689964483</v>
      </c>
      <c r="BB55" s="2">
        <f t="shared" si="18"/>
        <v>-1.2973104270697089E-3</v>
      </c>
      <c r="BE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-0.75809880330035506</v>
      </c>
      <c r="BF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-177.6397680054678</v>
      </c>
      <c r="BG55" s="7">
        <f t="shared" si="26"/>
        <v>3.531619452840036E-2</v>
      </c>
      <c r="BM55">
        <f>EXP(-Parameters!$B$56*A55)*AZ55*BF55</f>
        <v>5.9488617289812432E-3</v>
      </c>
      <c r="BN55">
        <f>-EXP((Parameters!$B$56)*F55)*SUM(BM55:BM63)</f>
        <v>-5.9677433740829081E-3</v>
      </c>
      <c r="BO55">
        <f>X55^-Parameters!B$52/(1-2*Parameters!B$5*'6states'!D55/'6states'!G55)</f>
        <v>1.134759258582394</v>
      </c>
      <c r="BP55">
        <f t="shared" si="27"/>
        <v>0.99935585685539419</v>
      </c>
      <c r="BQ55">
        <f>$X55^-Parameters!$B$52/(1-2*Parameters!$B$5*'6states'!$E55/'6states'!$H55)</f>
        <v>1.113220147660398</v>
      </c>
      <c r="BR55">
        <f t="shared" si="21"/>
        <v>1.0006674453980631</v>
      </c>
      <c r="BS55" s="7">
        <f>($X55^-Parameters!$B$52*(1/(1+EXP(-C55)) + IF(C55&lt;0,2*Parameters!$B$6*C55/F55,0)) + BK55*(1/(1+EXP((C55-Parameters!$B$22)*Parameters!$B$21))))/(1-IF(C55&gt;0,2*Parameters!$B$5*C55/F55,0))</f>
        <v>0.48579159790290399</v>
      </c>
      <c r="BT55">
        <f t="shared" si="22"/>
        <v>1.0009672855096572</v>
      </c>
      <c r="BU55" s="7">
        <f t="shared" si="33"/>
        <v>4.6944508593549372E-4</v>
      </c>
      <c r="BV55">
        <f>(1/$T55-1/Parameters!$B$13) * LN(Parameters!$B$18) / LN(P55)</f>
        <v>0.22457826080149648</v>
      </c>
      <c r="BW55">
        <f>(Parameters!$B$18*'6states'!T55^+Parameters!$B$19*Parameters!$B$25^'6states'!T55)^((1-'6states'!T55)/'6states'!T55)*Parameters!$B$18*Parameters!$B$26^('6states'!T55-1)</f>
        <v>0.29250329638027994</v>
      </c>
      <c r="BX55">
        <f t="shared" si="28"/>
        <v>0.22204778533108518</v>
      </c>
      <c r="BY55">
        <f t="shared" si="30"/>
        <v>0.14415482394140966</v>
      </c>
      <c r="BZ55">
        <f t="shared" si="31"/>
        <v>0.18351589597256557</v>
      </c>
    </row>
    <row r="56" spans="1:78" x14ac:dyDescent="0.25">
      <c r="A56">
        <f>A55+Parameters!$B$65</f>
        <v>52</v>
      </c>
      <c r="B56">
        <v>2077</v>
      </c>
      <c r="C56" s="74">
        <v>1.3966796124358118E-4</v>
      </c>
      <c r="D56" s="69">
        <v>9.2760293297055624E-2</v>
      </c>
      <c r="E56" s="75">
        <v>0.21915437899354032</v>
      </c>
      <c r="F56" s="7">
        <f>MAX((1-Parameters!$B$4)^Parameters!B$65*F55 + C55*Parameters!B$65 - IF(C55&gt;0,Parameters!$B$5,0)*C55^2/F55*Parameters!B$65, 0.0001)</f>
        <v>3.8211475807593341E-2</v>
      </c>
      <c r="G56" s="7">
        <f>(1-Parameters!$B$4)^Parameters!B$65*G55+D55*Parameters!B$65-Parameters!$B$5*D55^2/G55*Parameters!B$65</f>
        <v>1.2468043945798504</v>
      </c>
      <c r="H56" s="7">
        <f>(1-Parameters!$B$4)^Parameters!B$65*H55+E55*Parameters!B$65-Parameters!$B$5*E55^2/H55*Parameters!B$65</f>
        <v>3.2860244099134359</v>
      </c>
      <c r="I56" s="9">
        <f>I55 *(1-Parameters!$B$4)-C55*(C55&lt;0)*Parameters!B$65</f>
        <v>1.3937917493222199E-3</v>
      </c>
      <c r="J56" s="23">
        <f>J55*(1+Parameters!$B$51)^Parameters!B$65</f>
        <v>9.4860844575156538</v>
      </c>
      <c r="K56" s="23">
        <f>K55*(1+Parameters!$B$53)^Parameters!B$65</f>
        <v>25.268833996342462</v>
      </c>
      <c r="L56" s="23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4.5017542080554325</v>
      </c>
      <c r="M56" s="8">
        <f>M55+L56*Parameters!B$65</f>
        <v>3120.5435960430814</v>
      </c>
      <c r="N56" s="7">
        <f>M56*Parameters!$B$45</f>
        <v>1.8723261576258488</v>
      </c>
      <c r="O56" s="9">
        <f>EXP(-Parameters!$B$46/2*N56^2)</f>
        <v>0.96538206601613852</v>
      </c>
      <c r="P56" s="8">
        <f>MAX((Parameters!$B$62 + Parameters!$B$31*'6states'!A56 - '6states'!M56 + Parameters!$B$47/Parameters!$B$45)/Parameters!B$62,1)</f>
        <v>39.917128079138372</v>
      </c>
      <c r="Q56" s="7">
        <f>Parameters!B$61*EXP(-Parameters!B$60*A56)</f>
        <v>0.12280627311690613</v>
      </c>
      <c r="R56" s="7">
        <f>(1-Parameters!B$61)*P56^-Parameters!B$63</f>
        <v>0.34582316055006823</v>
      </c>
      <c r="S56" s="7">
        <f>Parameters!B$61*EXP(-Parameters!B$60*A56)+(1-Parameters!B$61)*P56^-Parameters!B$63</f>
        <v>0.46862943366697435</v>
      </c>
      <c r="T56" s="7">
        <f>1-S56/Parameters!$B$12</f>
        <v>0.76568528316651285</v>
      </c>
      <c r="U56" s="7">
        <f t="shared" si="0"/>
        <v>4.267764370560803</v>
      </c>
      <c r="V56" s="7">
        <f>(Parameters!$B$19*(F56+Parameters!$B$20)^T56+Parameters!$B$18*G56^T56)^(1/T56)</f>
        <v>0.33014745149734287</v>
      </c>
      <c r="W56" s="7">
        <f>(Parameters!$B$10*H56^Parameters!$B$9+Parameters!$B$11*V56^Parameters!$B$9)^(Parameters!$B$7/Parameters!$B$9)*O56</f>
        <v>1.3407824903073</v>
      </c>
      <c r="X56" s="7">
        <f>W56 - D56 - E56 - LN(1+EXP(Parameters!$B$21*C56))/Parameters!$B$21 - IF(C56&gt;0, 0,Parameters!$B$6*C56^2/F56)</f>
        <v>1.0264867619699938</v>
      </c>
      <c r="Y56" s="7">
        <f>EXP(-Parameters!$B$55*A56)</f>
        <v>0.45602848696706794</v>
      </c>
      <c r="Z56" s="7">
        <f>IF(X56&gt;0,X56^(1-Parameters!$B$52)/(1-Parameters!$B$52)*Y56*Parameters!$B$65,-10+X56*1000)</f>
        <v>-1.2910713829692795</v>
      </c>
      <c r="AB56" s="9"/>
      <c r="AC56" s="23">
        <f t="shared" si="6"/>
        <v>0.33409507887948015</v>
      </c>
      <c r="AD56" s="23">
        <f t="shared" si="7"/>
        <v>9.1593783865109621</v>
      </c>
      <c r="AE56" s="23">
        <f t="shared" si="8"/>
        <v>298.86187284219483</v>
      </c>
      <c r="AF56" s="23">
        <f t="shared" si="9"/>
        <v>79.137101294724744</v>
      </c>
      <c r="AG56" s="23">
        <f t="shared" si="10"/>
        <v>200.58237170601078</v>
      </c>
      <c r="AH56" s="23">
        <f t="shared" si="11"/>
        <v>321.38863792045981</v>
      </c>
      <c r="AI56" s="23">
        <f t="shared" si="12"/>
        <v>246.05123102204894</v>
      </c>
      <c r="AJ56" s="23"/>
      <c r="AK56" s="8">
        <f t="shared" si="1"/>
        <v>321.38863792045981</v>
      </c>
      <c r="AL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0.34405708063923579</v>
      </c>
      <c r="AM56" s="32">
        <f>((C57-C55)/2-(F57-F55)/F56/2*C56)/(F56/2/Parameters!$B$5-C56)-((D57-D55)/D56-(G57-G55)/G56)/(G56/2/Parameters!$B$5/D56-1)</f>
        <v>-7.9994993037685726E-4</v>
      </c>
      <c r="AN56" s="32">
        <f>+Parameters!$B$5*C56^2/F56^2-Parameters!$B$5*D56^2/G56^2</f>
        <v>-5.5217668579169328E-3</v>
      </c>
      <c r="AO56" s="30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0.51902069469317058</v>
      </c>
      <c r="AP56" s="30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124.41045085675127</v>
      </c>
      <c r="AQ56" s="8">
        <f>1000*(AL56+AM56+AN56)/(EXP(-Parameters!$B$42*A56)*((C56&lt;0)*Parameters!$B$37*EXP(-Parameters!$B$38*AD56)+(C56&gt;=0)*Parameters!$B$41))</f>
        <v>605.49879114554994</v>
      </c>
      <c r="AR56" s="13">
        <f>1-W56/'6states,ExoDamages'!T56</f>
        <v>9.4304980614218437E-2</v>
      </c>
      <c r="AS56" s="21">
        <f>-Y56*W56*X56^(-Parameters!B$52)*Parameters!B$46*Parameters!B$45*N56</f>
        <v>-1.3327604261189304E-5</v>
      </c>
      <c r="AT56" s="7">
        <f>1000*EXP(-(Parameters!$B$54)*'6states'!A56)*AK56*Parameters!B$46*Parameters!B$45*N56</f>
        <v>1.1697284238995453</v>
      </c>
      <c r="AU56" s="7">
        <f>SUM(AT56:AT$204)*EXP(Parameters!$B$54*A56)</f>
        <v>540.38889236743671</v>
      </c>
      <c r="AV56" s="13">
        <f t="shared" si="32"/>
        <v>0.23274046499542098</v>
      </c>
      <c r="AZ56" s="5"/>
      <c r="BA56" s="5"/>
      <c r="BB56" s="5"/>
      <c r="BE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-0.75473343071916155</v>
      </c>
      <c r="BF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-180.91133427337121</v>
      </c>
      <c r="BG56" s="7">
        <f t="shared" si="26"/>
        <v>3.5192080127201333E-2</v>
      </c>
      <c r="BM56">
        <f>EXP(-Parameters!$B$56*A56)*AZ56*BF56</f>
        <v>0</v>
      </c>
      <c r="BN56">
        <f>-EXP((Parameters!$B$56)*F56)*SUM(BM56:BM64)</f>
        <v>0</v>
      </c>
      <c r="BO56">
        <f>X56^-Parameters!B$52/(1-2*Parameters!B$5*'6states'!D56/'6states'!G56)</f>
        <v>1.1340697328084033</v>
      </c>
      <c r="BP56">
        <f t="shared" si="27"/>
        <v>0.99939235942004812</v>
      </c>
      <c r="BQ56">
        <f>$X56^-Parameters!$B$52/(1-2*Parameters!$B$5*'6states'!$E56/'6states'!$H56)</f>
        <v>1.1139023920181723</v>
      </c>
      <c r="BR56">
        <f t="shared" si="21"/>
        <v>1.0006128566386516</v>
      </c>
      <c r="BS56" s="7">
        <f>($X56^-Parameters!$B$52*(1/(1+EXP(-C56)) + IF(C56&lt;0,2*Parameters!$B$6*C56/F56,0)) + BK56*(1/(1+EXP((C56-Parameters!$B$22)*Parameters!$B$21))))/(1-IF(C56&gt;0,2*Parameters!$B$5*C56/F56,0))</f>
        <v>0.48625017798417058</v>
      </c>
      <c r="BT56">
        <f t="shared" si="22"/>
        <v>1.0009439852052737</v>
      </c>
      <c r="BU56" s="7">
        <f t="shared" si="33"/>
        <v>4.5858008126659078E-4</v>
      </c>
      <c r="BV56">
        <f>(1/$T56-1/Parameters!$B$13) * LN(Parameters!$B$18) / LN(P56)</f>
        <v>0.22423862820427184</v>
      </c>
      <c r="BW56">
        <f>(Parameters!$B$18*'6states'!T56^+Parameters!$B$19*Parameters!$B$25^'6states'!T56)^((1-'6states'!T56)/'6states'!T56)*Parameters!$B$18*Parameters!$B$26^('6states'!T56-1)</f>
        <v>0.29311566181679721</v>
      </c>
      <c r="BX56">
        <f t="shared" si="28"/>
        <v>0.22112727537246402</v>
      </c>
      <c r="BY56">
        <f t="shared" si="30"/>
        <v>0.14395332110896741</v>
      </c>
      <c r="BZ56">
        <f t="shared" si="31"/>
        <v>0.18386238676487199</v>
      </c>
    </row>
    <row r="57" spans="1:78" x14ac:dyDescent="0.25">
      <c r="A57">
        <f>A56+Parameters!$B$65</f>
        <v>53</v>
      </c>
      <c r="B57">
        <v>2078</v>
      </c>
      <c r="C57" s="74">
        <v>2.2018455174475431E-5</v>
      </c>
      <c r="D57" s="69">
        <v>9.2918242914789298E-2</v>
      </c>
      <c r="E57" s="75">
        <v>0.21965587113441207</v>
      </c>
      <c r="F57" s="7">
        <f>MAX((1-Parameters!$B$4)^Parameters!B$65*F56 + C56*Parameters!B$65 - IF(C56&gt;0,Parameters!$B$5,0)*C56^2/F56*Parameters!B$65, 0.0001)</f>
        <v>3.5947131435802554E-2</v>
      </c>
      <c r="G57" s="7">
        <f>(1-Parameters!$B$4)^Parameters!B$65*G56+D56*Parameters!B$65-Parameters!$B$5*D56^2/G56*Parameters!B$65</f>
        <v>1.2542394709857521</v>
      </c>
      <c r="H57" s="7">
        <f>(1-Parameters!$B$4)^Parameters!B$65*H56+E56*Parameters!B$65-Parameters!$B$5*E56^2/H56*Parameters!B$65</f>
        <v>3.283871820335369</v>
      </c>
      <c r="I57" s="9">
        <f>I56 *(1-Parameters!$B$4)-C56*(C56&lt;0)*Parameters!B$65</f>
        <v>1.3061222482898523E-3</v>
      </c>
      <c r="J57" s="23">
        <f>J56*(1+Parameters!$B$51)^Parameters!B$65</f>
        <v>9.5135941024424486</v>
      </c>
      <c r="K57" s="23">
        <f>K56*(1+Parameters!$B$53)^Parameters!B$65</f>
        <v>25.774210676269313</v>
      </c>
      <c r="L57" s="23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4.290041583921794</v>
      </c>
      <c r="M57" s="8">
        <f>M56+L57*Parameters!B$65</f>
        <v>3124.8336376270031</v>
      </c>
      <c r="N57" s="7">
        <f>M57*Parameters!$B$45</f>
        <v>1.8749001825762017</v>
      </c>
      <c r="O57" s="9">
        <f>EXP(-Parameters!$B$46/2*N57^2)</f>
        <v>0.96528848949028467</v>
      </c>
      <c r="P57" s="8">
        <f>MAX((Parameters!$B$62 + Parameters!$B$31*'6states'!A57 - '6states'!M57 + Parameters!$B$47/Parameters!$B$45)/Parameters!B$62,1)</f>
        <v>40.895327247459946</v>
      </c>
      <c r="Q57" s="7">
        <f>Parameters!B$61*EXP(-Parameters!B$60*A57)</f>
        <v>0.11953486646804852</v>
      </c>
      <c r="R57" s="7">
        <f>(1-Parameters!B$61)*P57^-Parameters!B$63</f>
        <v>0.3449869249414792</v>
      </c>
      <c r="S57" s="7">
        <f>Parameters!B$61*EXP(-Parameters!B$60*A57)+(1-Parameters!B$61)*P57^-Parameters!B$63</f>
        <v>0.46452179140952771</v>
      </c>
      <c r="T57" s="7">
        <f>1-S57/Parameters!$B$12</f>
        <v>0.76773910429523617</v>
      </c>
      <c r="U57" s="7">
        <f t="shared" si="0"/>
        <v>4.3055030721621783</v>
      </c>
      <c r="V57" s="7">
        <f>(Parameters!$B$19*(F57+Parameters!$B$20)^T57+Parameters!$B$18*G57^T57)^(1/T57)</f>
        <v>0.33004434475391997</v>
      </c>
      <c r="W57" s="7">
        <f>(Parameters!$B$10*H57^Parameters!$B$9+Parameters!$B$11*V57^Parameters!$B$9)^(Parameters!$B$7/Parameters!$B$9)*O57</f>
        <v>1.3404324749950511</v>
      </c>
      <c r="X57" s="7">
        <f>W57 - D57 - E57 - LN(1+EXP(Parameters!$B$21*C57))/Parameters!$B$21 - IF(C57&gt;0, 0,Parameters!$B$6*C57^2/F57)</f>
        <v>1.0255368429359653</v>
      </c>
      <c r="Y57" s="7">
        <f>EXP(-Parameters!$B$55*A57)</f>
        <v>0.44919418564576791</v>
      </c>
      <c r="Z57" s="7">
        <f>IF(X57&gt;0,X57^(1-Parameters!$B$52)/(1-Parameters!$B$52)*Y57*Parameters!$B$65,-10+X57*1000)</f>
        <v>-1.272134814899637</v>
      </c>
      <c r="AB57" s="9"/>
      <c r="AC57" s="23">
        <f t="shared" si="6"/>
        <v>0.32026820050064037</v>
      </c>
      <c r="AD57" s="23">
        <f t="shared" si="7"/>
        <v>8.8144299763505778</v>
      </c>
      <c r="AE57" s="23">
        <f t="shared" si="8"/>
        <v>307.54626444456602</v>
      </c>
      <c r="AF57" s="23">
        <f t="shared" si="9"/>
        <v>80.928648538183069</v>
      </c>
      <c r="AG57" s="23">
        <f t="shared" si="10"/>
        <v>205.12326073577097</v>
      </c>
      <c r="AH57" s="23">
        <f t="shared" si="11"/>
        <v>328.68125263265227</v>
      </c>
      <c r="AI57" s="23">
        <f t="shared" si="12"/>
        <v>251.46714992739419</v>
      </c>
      <c r="AJ57" s="23"/>
      <c r="AK57" s="8">
        <f t="shared" si="1"/>
        <v>328.68125263265227</v>
      </c>
      <c r="AL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0.34916448047485171</v>
      </c>
      <c r="AM57" s="32">
        <f>((C58-C56)/2-(F58-F56)/F57/2*C57)/(F57/2/Parameters!$B$5-C57)-((D58-D56)/D57-(G58-G56)/G57)/(G57/2/Parameters!$B$5/D57-1)</f>
        <v>-1.4740271083798038E-3</v>
      </c>
      <c r="AN57" s="32">
        <f>+Parameters!$B$5*C57^2/F57^2-Parameters!$B$5*D57^2/G57^2</f>
        <v>-5.4879653417772376E-3</v>
      </c>
      <c r="AO57" s="30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0.51401675680046532</v>
      </c>
      <c r="AP57" s="30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126.03967350162424</v>
      </c>
      <c r="AQ57" s="8">
        <f>1000*(AL57+AM57+AN57)/(EXP(-Parameters!$B$42*A57)*((C57&lt;0)*Parameters!$B$37*EXP(-Parameters!$B$38*AD57)+(C57&gt;=0)*Parameters!$B$41))</f>
        <v>619.67339501525623</v>
      </c>
      <c r="AR57" s="13">
        <f>1-W57/'6states,ExoDamages'!T57</f>
        <v>9.4411198002524843E-2</v>
      </c>
      <c r="AS57" s="21">
        <f>-Y57*W57*X57^(-Parameters!B$52)*Parameters!B$46*Parameters!B$45*N57</f>
        <v>-1.3158922089412792E-5</v>
      </c>
      <c r="AT57" s="7">
        <f>1000*EXP(-(Parameters!$B$54)*'6states'!A57)*AK57*Parameters!B$46*Parameters!B$45*N57</f>
        <v>1.1565978160839216</v>
      </c>
      <c r="AU57" s="7">
        <f>SUM(AT57:AT$204)*EXP(Parameters!$B$54*A57)</f>
        <v>552.17707185353004</v>
      </c>
      <c r="AV57" s="13">
        <f t="shared" si="32"/>
        <v>0.2332054305872662</v>
      </c>
      <c r="AZ57" s="5"/>
      <c r="BA57" s="5"/>
      <c r="BB57" s="5"/>
      <c r="BE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-0.75162980648855093</v>
      </c>
      <c r="BF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-184.30367133085687</v>
      </c>
      <c r="BG57" s="7">
        <f t="shared" si="26"/>
        <v>3.5060622069840369E-2</v>
      </c>
      <c r="BM57">
        <f>EXP(-Parameters!$B$56*A57)*AZ57*BF57</f>
        <v>0</v>
      </c>
      <c r="BN57">
        <f>-EXP((Parameters!$B$56)*F57)*SUM(BM57:BM65)</f>
        <v>0</v>
      </c>
      <c r="BO57">
        <f>X57^-Parameters!B$52/(1-2*Parameters!B$5*'6states'!D57/'6states'!G57)</f>
        <v>1.1346480219919792</v>
      </c>
      <c r="BP57">
        <f t="shared" si="27"/>
        <v>1.0005099238317063</v>
      </c>
      <c r="BQ57">
        <f>$X57^-Parameters!$B$52/(1-2*Parameters!$B$5*'6states'!$E57/'6states'!$H57)</f>
        <v>1.1158013319716824</v>
      </c>
      <c r="BR57">
        <f t="shared" si="21"/>
        <v>1.001704763332153</v>
      </c>
      <c r="BS57" s="7">
        <f>($X57^-Parameters!$B$52*(1/(1+EXP(-C57)) + IF(C57&lt;0,2*Parameters!$B$6*C57/F57,0)) + BK57*(1/(1+EXP((C57-Parameters!$B$22)*Parameters!$B$21))))/(1-IF(C57&gt;0,2*Parameters!$B$5*C57/F57,0))</f>
        <v>0.48386357726098222</v>
      </c>
      <c r="BT57">
        <f t="shared" si="22"/>
        <v>0.99509182550208541</v>
      </c>
      <c r="BU57" s="7">
        <f t="shared" si="33"/>
        <v>-2.386600723188359E-3</v>
      </c>
      <c r="BV57">
        <f>(1/$T57-1/Parameters!$B$13) * LN(Parameters!$B$18) / LN(P57)</f>
        <v>0.22389726923410361</v>
      </c>
      <c r="BW57">
        <f>(Parameters!$B$18*'6states'!T57^+Parameters!$B$19*Parameters!$B$25^'6states'!T57)^((1-'6states'!T57)/'6states'!T57)*Parameters!$B$18*Parameters!$B$26^('6states'!T57-1)</f>
        <v>0.29370143247334773</v>
      </c>
      <c r="BX57">
        <f t="shared" si="28"/>
        <v>0.22022263794452684</v>
      </c>
      <c r="BY57">
        <f t="shared" si="30"/>
        <v>0.14375074622068318</v>
      </c>
      <c r="BZ57">
        <f t="shared" si="31"/>
        <v>0.1841936920033207</v>
      </c>
    </row>
    <row r="58" spans="1:78" x14ac:dyDescent="0.25">
      <c r="A58">
        <f>A57+Parameters!$B$65</f>
        <v>54</v>
      </c>
      <c r="B58">
        <v>2079</v>
      </c>
      <c r="C58" s="74">
        <v>2.2018455174475431E-5</v>
      </c>
      <c r="D58" s="69">
        <v>9.2918242914789298E-2</v>
      </c>
      <c r="E58" s="75">
        <v>0.21965587113441207</v>
      </c>
      <c r="F58" s="7">
        <f>MAX((1-Parameters!$B$4)^Parameters!B$65*F57 + C57*Parameters!B$65 - IF(C57&gt;0,Parameters!$B$5,0)*C57^2/F57*Parameters!B$65, 0.0001)</f>
        <v>3.370806183684847E-2</v>
      </c>
      <c r="G58" s="7">
        <f>(1-Parameters!$B$4)^Parameters!B$65*G57+D57*Parameters!B$65-Parameters!$B$5*D57^2/G57*Parameters!B$65</f>
        <v>1.2613823578569194</v>
      </c>
      <c r="H58" s="7">
        <f>(1-Parameters!$B$4)^Parameters!B$65*H57+E57*Parameters!B$65-Parameters!$B$5*E57^2/H57*Parameters!B$65</f>
        <v>3.2822795275943957</v>
      </c>
      <c r="I58" s="9">
        <f>I57 *(1-Parameters!$B$4)-C57*(C57&lt;0)*Parameters!B$65</f>
        <v>1.2239671588724207E-3</v>
      </c>
      <c r="J58" s="23">
        <f>J57*(1+Parameters!$B$51)^Parameters!B$65</f>
        <v>9.5411835253395303</v>
      </c>
      <c r="K58" s="23">
        <f>K57*(1+Parameters!$B$53)^Parameters!B$65</f>
        <v>26.289694889794699</v>
      </c>
      <c r="L58" s="23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4.0743826939011711</v>
      </c>
      <c r="M58" s="8">
        <f>M57+L58*Parameters!B$65</f>
        <v>3128.9080203209041</v>
      </c>
      <c r="N58" s="7">
        <f>M58*Parameters!$B$45</f>
        <v>1.8773448121925422</v>
      </c>
      <c r="O58" s="9">
        <f>EXP(-Parameters!$B$46/2*N58^2)</f>
        <v>0.9651995064117147</v>
      </c>
      <c r="P58" s="8">
        <f>MAX((Parameters!$B$62 + Parameters!$B$31*'6states'!A58 - '6states'!M58 + Parameters!$B$47/Parameters!$B$45)/Parameters!B$62,1)</f>
        <v>41.877839593581918</v>
      </c>
      <c r="Q58" s="7">
        <f>Parameters!B$61*EXP(-Parameters!B$60*A58)</f>
        <v>0.11635060603078554</v>
      </c>
      <c r="R58" s="7">
        <f>(1-Parameters!B$61)*P58^-Parameters!B$63</f>
        <v>0.3441688632663164</v>
      </c>
      <c r="S58" s="7">
        <f>Parameters!B$61*EXP(-Parameters!B$60*A58)+(1-Parameters!B$61)*P58^-Parameters!B$63</f>
        <v>0.46051946929710197</v>
      </c>
      <c r="T58" s="7">
        <f>1-S58/Parameters!$B$12</f>
        <v>0.76974026535144902</v>
      </c>
      <c r="U58" s="7">
        <f t="shared" si="0"/>
        <v>4.3429217076373146</v>
      </c>
      <c r="V58" s="7">
        <f>(Parameters!$B$19*(F58+Parameters!$B$20)^T58+Parameters!$B$18*G58^T58)^(1/T58)</f>
        <v>0.32988331229437029</v>
      </c>
      <c r="W58" s="7">
        <f>(Parameters!$B$10*H58^Parameters!$B$9+Parameters!$B$11*V58^Parameters!$B$9)^(Parameters!$B$7/Parameters!$B$9)*O58</f>
        <v>1.3401135252428718</v>
      </c>
      <c r="X58" s="7">
        <f>W58 - D58 - E58 - LN(1+EXP(Parameters!$B$21*C58))/Parameters!$B$21 - IF(C58&gt;0, 0,Parameters!$B$6*C58^2/F58)</f>
        <v>1.0252178931837859</v>
      </c>
      <c r="Y58" s="7">
        <f>EXP(-Parameters!$B$55*A58)</f>
        <v>0.4424623070368317</v>
      </c>
      <c r="Z58" s="7">
        <f>IF(X58&gt;0,X58^(1-Parameters!$B$52)/(1-Parameters!$B$52)*Y58*Parameters!$B$65,-10+X58*1000)</f>
        <v>-1.2532063103198479</v>
      </c>
      <c r="AB58" s="9"/>
      <c r="AC58" s="23">
        <f t="shared" si="6"/>
        <v>0.3070135621151116</v>
      </c>
      <c r="AD58" s="23">
        <f t="shared" si="7"/>
        <v>8.4551550762694951</v>
      </c>
      <c r="AE58" s="23">
        <f t="shared" si="8"/>
        <v>316.39859621035566</v>
      </c>
      <c r="AF58" s="23">
        <f t="shared" si="9"/>
        <v>82.746215905931123</v>
      </c>
      <c r="AG58" s="23">
        <f t="shared" si="10"/>
        <v>209.73010085745557</v>
      </c>
      <c r="AH58" s="23">
        <f t="shared" si="11"/>
        <v>336.14711313209261</v>
      </c>
      <c r="AI58" s="23">
        <f t="shared" si="12"/>
        <v>257.16032905692725</v>
      </c>
      <c r="AJ58" s="23"/>
      <c r="AK58" s="8">
        <f t="shared" si="1"/>
        <v>336.14711313209261</v>
      </c>
      <c r="AL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0.35221167836396949</v>
      </c>
      <c r="AM58" s="32">
        <f>((C59-C57)/2-(F59-F57)/F58/2*C58)/(F58/2/Parameters!$B$5-C58)-((D59-D57)/D58-(G59-G57)/G58)/(G58/2/Parameters!$B$5/D58-1)</f>
        <v>1.9848134602885085E-3</v>
      </c>
      <c r="AN58" s="32">
        <f>+Parameters!$B$5*C58^2/F58^2-Parameters!$B$5*D58^2/G58^2</f>
        <v>-5.4259316878981067E-3</v>
      </c>
      <c r="AO58" s="30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0.50892891672129681</v>
      </c>
      <c r="AP58" s="30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127.65708495800969</v>
      </c>
      <c r="AQ58" s="8">
        <f>1000*(AL58+AM58+AN58)/(EXP(-Parameters!$B$42*A58)*((C58&lt;0)*Parameters!$B$37*EXP(-Parameters!$B$38*AD58)+(C58&gt;=0)*Parameters!$B$41))</f>
        <v>637.91446700075983</v>
      </c>
      <c r="AR58" s="13">
        <f>1-W58/'6states,ExoDamages'!T58</f>
        <v>9.450425431245324E-2</v>
      </c>
      <c r="AS58" s="21">
        <f>-Y58*W58*X58^(-Parameters!B$52)*Parameters!B$46*Parameters!B$45*N58</f>
        <v>-1.2980977139782188E-5</v>
      </c>
      <c r="AT58" s="7">
        <f>1000*EXP(-(Parameters!$B$54)*'6states'!A58)*AK58*Parameters!B$46*Parameters!B$45*N58</f>
        <v>1.1435600619681572</v>
      </c>
      <c r="AU58" s="7">
        <f>SUM(AT58:AT$204)*EXP(Parameters!$B$54*A58)</f>
        <v>564.20524446293848</v>
      </c>
      <c r="AV58" s="13">
        <f t="shared" si="32"/>
        <v>0.2332609339553702</v>
      </c>
      <c r="AZ58" s="5"/>
      <c r="BA58" s="5"/>
      <c r="BB58" s="5"/>
      <c r="BE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-0.74488637635327848</v>
      </c>
      <c r="BF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-186.84342804256161</v>
      </c>
      <c r="BG58" s="7">
        <f t="shared" si="26"/>
        <v>3.5038536095980982E-2</v>
      </c>
      <c r="BM58">
        <f>EXP(-Parameters!$B$56*A58)*AZ58*BF58</f>
        <v>0</v>
      </c>
      <c r="BN58">
        <f>-EXP((Parameters!$B$56)*F58)*SUM(BM58:BM66)</f>
        <v>0</v>
      </c>
      <c r="BO58">
        <f>X58^-Parameters!B$52/(1-2*Parameters!B$5*'6states'!D58/'6states'!G58)</f>
        <v>1.134007626501417</v>
      </c>
      <c r="BP58">
        <f t="shared" si="27"/>
        <v>0.99943559987048847</v>
      </c>
      <c r="BQ58">
        <f>$X58^-Parameters!$B$52/(1-2*Parameters!$B$5*'6states'!$E58/'6states'!$H58)</f>
        <v>1.116353622483228</v>
      </c>
      <c r="BR58">
        <f t="shared" si="21"/>
        <v>1.0004949720848331</v>
      </c>
      <c r="BS58" s="7">
        <f>($X58^-Parameters!$B$52*(1/(1+EXP(-C58)) + IF(C58&lt;0,2*Parameters!$B$6*C58/F58,0)) + BK58*(1/(1+EXP((C58-Parameters!$B$22)*Parameters!$B$21))))/(1-IF(C58&gt;0,2*Parameters!$B$5*C58/F58,0))</f>
        <v>0.48410624866195101</v>
      </c>
      <c r="BT58">
        <f t="shared" si="22"/>
        <v>1.0005015285555126</v>
      </c>
      <c r="BU58" s="7">
        <f t="shared" si="33"/>
        <v>2.4267140096878581E-4</v>
      </c>
      <c r="BV58">
        <f>(1/$T58-1/Parameters!$B$13) * LN(Parameters!$B$18) / LN(P58)</f>
        <v>0.22355413395744717</v>
      </c>
      <c r="BW58">
        <f>(Parameters!$B$18*'6states'!T58^+Parameters!$B$19*Parameters!$B$25^'6states'!T58)^((1-'6states'!T58)/'6states'!T58)*Parameters!$B$18*Parameters!$B$26^('6states'!T58-1)</f>
        <v>0.2942619516405009</v>
      </c>
      <c r="BX58">
        <f t="shared" si="28"/>
        <v>0.2193332476308002</v>
      </c>
      <c r="BY58">
        <f t="shared" si="30"/>
        <v>0.14354706889504831</v>
      </c>
      <c r="BZ58">
        <f t="shared" si="31"/>
        <v>0.18451058936560805</v>
      </c>
    </row>
    <row r="59" spans="1:78" x14ac:dyDescent="0.25">
      <c r="A59">
        <f>A58+Parameters!$B$65</f>
        <v>55</v>
      </c>
      <c r="B59">
        <v>2080</v>
      </c>
      <c r="C59" s="74">
        <v>2.2018455174475431E-5</v>
      </c>
      <c r="D59" s="69">
        <v>9.2918242914789298E-2</v>
      </c>
      <c r="E59" s="75">
        <v>0.21965587113441207</v>
      </c>
      <c r="F59" s="7">
        <f>MAX((1-Parameters!$B$4)^Parameters!B$65*F58 + C58*Parameters!B$65 - IF(C58&gt;0,Parameters!$B$5,0)*C58^2/F58*Parameters!B$65, 0.0001)</f>
        <v>3.1609828819802163E-2</v>
      </c>
      <c r="G59" s="7">
        <f>(1-Parameters!$B$4)^Parameters!B$65*G58+D58*Parameters!B$65-Parameters!$B$5*D58^2/G58*Parameters!B$65</f>
        <v>1.2681149377450731</v>
      </c>
      <c r="H59" s="7">
        <f>(1-Parameters!$B$4)^Parameters!B$65*H58+E58*Parameters!B$65-Parameters!$B$5*E58^2/H58*Parameters!B$65</f>
        <v>3.2807802624099294</v>
      </c>
      <c r="I59" s="9">
        <f>I58 *(1-Parameters!$B$4)-C58*(C58&lt;0)*Parameters!B$65</f>
        <v>1.1469796245793455E-3</v>
      </c>
      <c r="J59" s="23">
        <f>J58*(1+Parameters!$B$51)^Parameters!B$65</f>
        <v>9.5688529575630135</v>
      </c>
      <c r="K59" s="23">
        <f>K58*(1+Parameters!$B$53)^Parameters!B$65</f>
        <v>26.815488787590592</v>
      </c>
      <c r="L59" s="23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3.8697420450974658</v>
      </c>
      <c r="M59" s="8">
        <f>M58+L59*Parameters!B$65</f>
        <v>3132.7777623660018</v>
      </c>
      <c r="N59" s="7">
        <f>M59*Parameters!$B$45</f>
        <v>1.8796666574196008</v>
      </c>
      <c r="O59" s="9">
        <f>EXP(-Parameters!$B$46/2*N59^2)</f>
        <v>0.96511489286422314</v>
      </c>
      <c r="P59" s="8">
        <f>MAX((Parameters!$B$62 + Parameters!$B$31*'6states'!A59 - '6states'!M59 + Parameters!$B$47/Parameters!$B$45)/Parameters!B$62,1)</f>
        <v>42.864444752679965</v>
      </c>
      <c r="Q59" s="7">
        <f>Parameters!B$61*EXP(-Parameters!B$60*A59)</f>
        <v>0.1132511703382344</v>
      </c>
      <c r="R59" s="7">
        <f>(1-Parameters!B$61)*P59^-Parameters!B$63</f>
        <v>0.34336836782457181</v>
      </c>
      <c r="S59" s="7">
        <f>Parameters!B$61*EXP(-Parameters!B$60*A59)+(1-Parameters!B$61)*P59^-Parameters!B$63</f>
        <v>0.4566195381628062</v>
      </c>
      <c r="T59" s="7">
        <f>1-S59/Parameters!$B$12</f>
        <v>0.7716902309185969</v>
      </c>
      <c r="U59" s="7">
        <f t="shared" si="0"/>
        <v>4.3800140660799025</v>
      </c>
      <c r="V59" s="7">
        <f>(Parameters!$B$19*(F59+Parameters!$B$20)^T59+Parameters!$B$18*G59^T59)^(1/T59)</f>
        <v>0.32976617776914258</v>
      </c>
      <c r="W59" s="7">
        <f>(Parameters!$B$10*H59^Parameters!$B$9+Parameters!$B$11*V59^Parameters!$B$9)^(Parameters!$B$7/Parameters!$B$9)*O59</f>
        <v>1.3398252776633695</v>
      </c>
      <c r="X59" s="7">
        <f>W59 - D59 - E59 - LN(1+EXP(Parameters!$B$21*C59))/Parameters!$B$21 - IF(C59&gt;0, 0,Parameters!$B$6*C59^2/F59)</f>
        <v>1.0249296456042836</v>
      </c>
      <c r="Y59" s="7">
        <f>EXP(-Parameters!$B$55*A59)</f>
        <v>0.43583131617545234</v>
      </c>
      <c r="Z59" s="7">
        <f>IF(X59&gt;0,X59^(1-Parameters!$B$52)/(1-Parameters!$B$52)*Y59*Parameters!$B$65,-10+X59*1000)</f>
        <v>-1.2345465471638095</v>
      </c>
      <c r="AB59" s="9"/>
      <c r="AC59" s="23">
        <f t="shared" si="6"/>
        <v>0.29430748096522624</v>
      </c>
      <c r="AD59" s="23">
        <f t="shared" si="7"/>
        <v>8.1108756374899524</v>
      </c>
      <c r="AE59" s="23">
        <f t="shared" si="8"/>
        <v>325.39001121227756</v>
      </c>
      <c r="AF59" s="23">
        <f t="shared" si="9"/>
        <v>84.615847576508941</v>
      </c>
      <c r="AG59" s="23">
        <f t="shared" si="10"/>
        <v>214.46890413134003</v>
      </c>
      <c r="AH59" s="23">
        <f t="shared" si="11"/>
        <v>343.79041610896797</v>
      </c>
      <c r="AI59" s="23">
        <f t="shared" si="12"/>
        <v>262.99025344500501</v>
      </c>
      <c r="AJ59" s="23"/>
      <c r="AK59" s="8">
        <f t="shared" si="1"/>
        <v>343.79041610896803</v>
      </c>
      <c r="AL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0.35503883484644289</v>
      </c>
      <c r="AM59" s="32">
        <f>((C60-C58)/2-(F60-F58)/F59/2*C59)/(F59/2/Parameters!$B$5-C59)-((D60-D58)/D59-(G60-G58)/G59)/(G59/2/Parameters!$B$5/D59-1)</f>
        <v>1.860515829295675E-3</v>
      </c>
      <c r="AN59" s="32">
        <f>+Parameters!$B$5*C59^2/F59^2-Parameters!$B$5*D59^2/G59^2</f>
        <v>-5.368407691065725E-3</v>
      </c>
      <c r="AO59" s="30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0.50389318268870176</v>
      </c>
      <c r="AP59" s="30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129.29569984911561</v>
      </c>
      <c r="AQ59" s="8">
        <f>1000*(AL59+AM59+AN59)/(EXP(-Parameters!$B$42*A59)*((C59&lt;0)*Parameters!$B$37*EXP(-Parameters!$B$38*AD59)+(C59&gt;=0)*Parameters!$B$41))</f>
        <v>649.42519971538115</v>
      </c>
      <c r="AR59" s="13">
        <f>1-W59/'6states,ExoDamages'!T59</f>
        <v>9.4583942884115424E-2</v>
      </c>
      <c r="AS59" s="21">
        <f>-Y59*W59*X59^(-Parameters!B$52)*Parameters!B$46*Parameters!B$45*N59</f>
        <v>-1.2804356905680135E-5</v>
      </c>
      <c r="AT59" s="7">
        <f>1000*EXP(-(Parameters!$B$54)*'6states'!A59)*AK59*Parameters!B$46*Parameters!B$45*N59</f>
        <v>1.1306193498191943</v>
      </c>
      <c r="AU59" s="7">
        <f>SUM(AT59:AT$204)*EXP(Parameters!$B$54*A59)</f>
        <v>576.47799507447621</v>
      </c>
      <c r="AV59" s="13">
        <f t="shared" si="32"/>
        <v>0.23331111728951534</v>
      </c>
      <c r="AZ59" s="5"/>
      <c r="BA59" s="5"/>
      <c r="BB59" s="5"/>
      <c r="BE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-0.73825134705043716</v>
      </c>
      <c r="BF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-189.43047427654523</v>
      </c>
      <c r="BG59" s="7">
        <f t="shared" si="26"/>
        <v>3.5014999294782544E-2</v>
      </c>
      <c r="BM59">
        <f>EXP(-Parameters!$B$56*A59)*AZ59*BF59</f>
        <v>0</v>
      </c>
      <c r="BN59">
        <f>-EXP((Parameters!$B$56)*F59)*SUM(BM59:BM67)</f>
        <v>0</v>
      </c>
      <c r="BO59">
        <f>X59^-Parameters!B$52/(1-2*Parameters!B$5*'6states'!D59/'6states'!G59)</f>
        <v>1.1333984965942807</v>
      </c>
      <c r="BP59">
        <f t="shared" si="27"/>
        <v>0.99946285201889207</v>
      </c>
      <c r="BQ59">
        <f>$X59^-Parameters!$B$52/(1-2*Parameters!$B$5*'6states'!$E59/'6states'!$H59)</f>
        <v>1.1168563562037097</v>
      </c>
      <c r="BR59">
        <f t="shared" si="21"/>
        <v>1.0004503355481245</v>
      </c>
      <c r="BS59" s="7">
        <f>($X59^-Parameters!$B$52*(1/(1+EXP(-C59)) + IF(C59&lt;0,2*Parameters!$B$6*C59/F59,0)) + BK59*(1/(1+EXP((C59-Parameters!$B$22)*Parameters!$B$21))))/(1-IF(C59&gt;0,2*Parameters!$B$5*C59/F59,0))</f>
        <v>0.4843321137209588</v>
      </c>
      <c r="BT59">
        <f t="shared" si="22"/>
        <v>1.0004665609246566</v>
      </c>
      <c r="BU59" s="7">
        <f t="shared" si="33"/>
        <v>2.2586505900779041E-4</v>
      </c>
      <c r="BV59">
        <f>(1/$T59-1/Parameters!$B$13) * LN(Parameters!$B$18) / LN(P59)</f>
        <v>0.22320954802568119</v>
      </c>
      <c r="BW59">
        <f>(Parameters!$B$18*'6states'!T59^+Parameters!$B$19*Parameters!$B$25^'6states'!T59)^((1-'6states'!T59)/'6states'!T59)*Parameters!$B$18*Parameters!$B$26^('6states'!T59-1)</f>
        <v>0.29479845281702954</v>
      </c>
      <c r="BX59">
        <f t="shared" si="28"/>
        <v>0.21845890408933982</v>
      </c>
      <c r="BY59">
        <f t="shared" si="30"/>
        <v>0.14334248173668274</v>
      </c>
      <c r="BZ59">
        <f t="shared" si="31"/>
        <v>0.18481379252108343</v>
      </c>
    </row>
    <row r="60" spans="1:78" x14ac:dyDescent="0.25">
      <c r="A60">
        <f>A59+Parameters!$B$65</f>
        <v>56</v>
      </c>
      <c r="B60">
        <v>2081</v>
      </c>
      <c r="C60" s="74">
        <v>2.2018455174475431E-5</v>
      </c>
      <c r="D60" s="69">
        <v>9.2918242914789298E-2</v>
      </c>
      <c r="E60" s="75">
        <v>0.21965587113441207</v>
      </c>
      <c r="F60" s="7">
        <f>MAX((1-Parameters!$B$4)^Parameters!B$65*F59 + C59*Parameters!B$65 - IF(C59&gt;0,Parameters!$B$5,0)*C59^2/F59*Parameters!B$65, 0.0001)</f>
        <v>2.9643573704818054E-2</v>
      </c>
      <c r="G60" s="7">
        <f>(1-Parameters!$B$4)^Parameters!B$65*G59+D59*Parameters!B$65-Parameters!$B$5*D59^2/G59*Parameters!B$65</f>
        <v>1.2744603777891841</v>
      </c>
      <c r="H60" s="7">
        <f>(1-Parameters!$B$4)^Parameters!B$65*H59+E59*Parameters!B$65-Parameters!$B$5*E59^2/H59*Parameters!B$65</f>
        <v>3.2793685834482531</v>
      </c>
      <c r="I60" s="9">
        <f>I59 *(1-Parameters!$B$4)-C59*(C59&lt;0)*Parameters!B$65</f>
        <v>1.0748346061933047E-3</v>
      </c>
      <c r="J60" s="23">
        <f>J59*(1+Parameters!$B$51)^Parameters!B$65</f>
        <v>9.5966026311399446</v>
      </c>
      <c r="K60" s="23">
        <f>K59*(1+Parameters!$B$53)^Parameters!B$65</f>
        <v>27.351798563342406</v>
      </c>
      <c r="L60" s="23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3.6755590022243947</v>
      </c>
      <c r="M60" s="8">
        <f>M59+L60*Parameters!B$65</f>
        <v>3136.4533213682262</v>
      </c>
      <c r="N60" s="7">
        <f>M60*Parameters!$B$45</f>
        <v>1.8818719928209355</v>
      </c>
      <c r="O60" s="9">
        <f>EXP(-Parameters!$B$46/2*N60^2)</f>
        <v>0.96503443524943944</v>
      </c>
      <c r="P60" s="8">
        <f>MAX((Parameters!$B$62 + Parameters!$B$31*'6states'!A60 - '6states'!M60 + Parameters!$B$47/Parameters!$B$45)/Parameters!B$62,1)</f>
        <v>43.854933572635481</v>
      </c>
      <c r="Q60" s="7">
        <f>Parameters!B$61*EXP(-Parameters!B$60*A60)</f>
        <v>0.11023429976450796</v>
      </c>
      <c r="R60" s="7">
        <f>(1-Parameters!B$61)*P60^-Parameters!B$63</f>
        <v>0.3425848540786991</v>
      </c>
      <c r="S60" s="7">
        <f>Parameters!B$61*EXP(-Parameters!B$60*A60)+(1-Parameters!B$61)*P60^-Parameters!B$63</f>
        <v>0.45281915384320703</v>
      </c>
      <c r="T60" s="7">
        <f>1-S60/Parameters!$B$12</f>
        <v>0.77359042307839654</v>
      </c>
      <c r="U60" s="7">
        <f t="shared" si="0"/>
        <v>4.41677429725625</v>
      </c>
      <c r="V60" s="7">
        <f>(Parameters!$B$19*(F60+Parameters!$B$20)^T60+Parameters!$B$18*G60^T60)^(1/T60)</f>
        <v>0.32969005505514837</v>
      </c>
      <c r="W60" s="7">
        <f>(Parameters!$B$10*H60^Parameters!$B$9+Parameters!$B$11*V60^Parameters!$B$9)^(Parameters!$B$7/Parameters!$B$9)*O60</f>
        <v>1.3395658704920053</v>
      </c>
      <c r="X60" s="7">
        <f>W60 - D60 - E60 - LN(1+EXP(Parameters!$B$21*C60))/Parameters!$B$21 - IF(C60&gt;0, 0,Parameters!$B$6*C60^2/F60)</f>
        <v>1.0246702384329194</v>
      </c>
      <c r="Y60" s="7">
        <f>EXP(-Parameters!$B$55*A60)</f>
        <v>0.42929970110067539</v>
      </c>
      <c r="Z60" s="7">
        <f>IF(X60&gt;0,X60^(1-Parameters!$B$52)/(1-Parameters!$B$52)*Y60*Parameters!$B$65,-10+X60*1000)</f>
        <v>-1.216152673733214</v>
      </c>
      <c r="AB60" s="9"/>
      <c r="AC60" s="23">
        <f t="shared" si="6"/>
        <v>0.28212725442930403</v>
      </c>
      <c r="AD60" s="23">
        <f t="shared" si="7"/>
        <v>7.7809739401979483</v>
      </c>
      <c r="AE60" s="23">
        <f t="shared" si="8"/>
        <v>334.52589374474474</v>
      </c>
      <c r="AF60" s="23">
        <f t="shared" si="9"/>
        <v>86.538477184671876</v>
      </c>
      <c r="AG60" s="23">
        <f t="shared" si="10"/>
        <v>219.34203696547416</v>
      </c>
      <c r="AH60" s="23">
        <f t="shared" si="11"/>
        <v>351.61506616129662</v>
      </c>
      <c r="AI60" s="23">
        <f t="shared" si="12"/>
        <v>268.95989336289438</v>
      </c>
      <c r="AJ60" s="23"/>
      <c r="AK60" s="8">
        <f t="shared" si="1"/>
        <v>351.61506616129668</v>
      </c>
      <c r="AL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0.35765026451119614</v>
      </c>
      <c r="AM60" s="32">
        <f>((C61-C59)/2-(F61-F59)/F60/2*C60)/(F60/2/Parameters!$B$5-C60)-((D61-D59)/D60-(G61-G59)/G60)/(G60/2/Parameters!$B$5/D60-1)</f>
        <v>2.2425646705612882E-3</v>
      </c>
      <c r="AN60" s="32">
        <f>+Parameters!$B$5*C60^2/F60^2-Parameters!$B$5*D60^2/G60^2</f>
        <v>-5.3150116732798682E-3</v>
      </c>
      <c r="AO60" s="30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0.49890911638043117</v>
      </c>
      <c r="AP60" s="30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130.95583116054488</v>
      </c>
      <c r="AQ60" s="8">
        <f>1000*(AL60+AM60+AN60)/(EXP(-Parameters!$B$42*A60)*((C60&lt;0)*Parameters!$B$37*EXP(-Parameters!$B$38*AD60)+(C60&gt;=0)*Parameters!$B$41))</f>
        <v>661.63745853517514</v>
      </c>
      <c r="AR60" s="13">
        <f>1-W60/'6states,ExoDamages'!T60</f>
        <v>9.4651094320387097E-2</v>
      </c>
      <c r="AS60" s="21">
        <f>-Y60*W60*X60^(-Parameters!B$52)*Parameters!B$46*Parameters!B$45*N60</f>
        <v>-1.2629131394557698E-5</v>
      </c>
      <c r="AT60" s="7">
        <f>1000*EXP(-(Parameters!$B$54)*'6states'!A60)*AK60*Parameters!B$46*Parameters!B$45*N60</f>
        <v>1.1177781829114628</v>
      </c>
      <c r="AU60" s="7">
        <f>SUM(AT60:AT$204)*EXP(Parameters!$B$54*A60)</f>
        <v>588.99996576274884</v>
      </c>
      <c r="AV60" s="13">
        <f t="shared" si="32"/>
        <v>0.23335629802927371</v>
      </c>
      <c r="AZ60" s="5"/>
      <c r="BA60" s="5"/>
      <c r="BB60" s="5"/>
      <c r="BE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-0.73172594146042169</v>
      </c>
      <c r="BF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-192.06660231202031</v>
      </c>
      <c r="BG60" s="7">
        <f t="shared" si="26"/>
        <v>3.4989918595750229E-2</v>
      </c>
      <c r="BM60">
        <f>EXP(-Parameters!$B$56*A60)*AZ60*BF60</f>
        <v>0</v>
      </c>
      <c r="BN60">
        <f>-EXP((Parameters!$B$56)*F60)*SUM(BM60:BM68)</f>
        <v>0</v>
      </c>
      <c r="BO60">
        <f>X60^-Parameters!B$52/(1-2*Parameters!B$5*'6states'!D60/'6states'!G60)</f>
        <v>1.1328174008001182</v>
      </c>
      <c r="BP60">
        <f t="shared" si="27"/>
        <v>0.99948729789574575</v>
      </c>
      <c r="BQ60">
        <f>$X60^-Parameters!$B$52/(1-2*Parameters!$B$5*'6states'!$E60/'6states'!$H60)</f>
        <v>1.1173124409474366</v>
      </c>
      <c r="BR60">
        <f t="shared" si="21"/>
        <v>1.0004083647294422</v>
      </c>
      <c r="BS60" s="7">
        <f>($X60^-Parameters!$B$52*(1/(1+EXP(-C60)) + IF(C60&lt;0,2*Parameters!$B$6*C60/F60,0)) + BK60*(1/(1+EXP((C60-Parameters!$B$22)*Parameters!$B$21))))/(1-IF(C60&gt;0,2*Parameters!$B$5*C60/F60,0))</f>
        <v>0.48454248785163351</v>
      </c>
      <c r="BT60">
        <f t="shared" si="22"/>
        <v>1.0004343592438223</v>
      </c>
      <c r="BU60" s="7">
        <f t="shared" si="33"/>
        <v>2.1037413067470645E-4</v>
      </c>
      <c r="BV60">
        <f>(1/$T60-1/Parameters!$B$13) * LN(Parameters!$B$18) / LN(P60)</f>
        <v>0.2228638043242589</v>
      </c>
      <c r="BW60">
        <f>(Parameters!$B$18*'6states'!T60^+Parameters!$B$19*Parameters!$B$25^'6states'!T60)^((1-'6states'!T60)/'6states'!T60)*Parameters!$B$18*Parameters!$B$26^('6states'!T60-1)</f>
        <v>0.29531210410906666</v>
      </c>
      <c r="BX60">
        <f t="shared" si="28"/>
        <v>0.21759938973938925</v>
      </c>
      <c r="BY60">
        <f t="shared" si="30"/>
        <v>0.14313715807084593</v>
      </c>
      <c r="BZ60">
        <f t="shared" si="31"/>
        <v>0.18510397645168497</v>
      </c>
    </row>
    <row r="61" spans="1:78" x14ac:dyDescent="0.25">
      <c r="A61">
        <f>A60+Parameters!$B$65</f>
        <v>57</v>
      </c>
      <c r="B61">
        <v>2082</v>
      </c>
      <c r="C61" s="74">
        <v>4.2504307292455043E-5</v>
      </c>
      <c r="D61" s="69">
        <v>9.3024969011830286E-2</v>
      </c>
      <c r="E61" s="75">
        <v>0.22109079173192714</v>
      </c>
      <c r="F61" s="7">
        <f>MAX((1-Parameters!$B$4)^Parameters!B$65*F60 + C60*Parameters!B$65 - IF(C60&gt;0,Parameters!$B$5,0)*C60^2/F60*Parameters!B$65, 0.0001)</f>
        <v>2.7800995019238783E-2</v>
      </c>
      <c r="G61" s="7">
        <f>(1-Parameters!$B$4)^Parameters!B$65*G60+D60*Parameters!B$65-Parameters!$B$5*D60^2/G60*Parameters!B$65</f>
        <v>1.2804405880206373</v>
      </c>
      <c r="H61" s="7">
        <f>(1-Parameters!$B$4)^Parameters!B$65*H60+E60*Parameters!B$65-Parameters!$B$5*E60^2/H60*Parameters!B$65</f>
        <v>3.2780393683573288</v>
      </c>
      <c r="I61" s="9">
        <f>I60 *(1-Parameters!$B$4)-C60*(C60&lt;0)*Parameters!B$65</f>
        <v>1.007227509463746E-3</v>
      </c>
      <c r="J61" s="23">
        <f>J60*(1+Parameters!$B$51)^Parameters!B$65</f>
        <v>9.6244327787702488</v>
      </c>
      <c r="K61" s="23">
        <f>K60*(1+Parameters!$B$53)^Parameters!B$65</f>
        <v>27.898834534609254</v>
      </c>
      <c r="L61" s="23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3.4913014861807246</v>
      </c>
      <c r="M61" s="8">
        <f>M60+L61*Parameters!B$65</f>
        <v>3139.944622854407</v>
      </c>
      <c r="N61" s="7">
        <f>M61*Parameters!$B$45</f>
        <v>1.883966773712644</v>
      </c>
      <c r="O61" s="9">
        <f>EXP(-Parameters!$B$46/2*N61^2)</f>
        <v>0.96495792986842355</v>
      </c>
      <c r="P61" s="8">
        <f>MAX((Parameters!$B$62 + Parameters!$B$31*'6states'!A61 - '6states'!M61 + Parameters!$B$47/Parameters!$B$45)/Parameters!B$62,1)</f>
        <v>44.84910754291186</v>
      </c>
      <c r="Q61" s="7">
        <f>Parameters!B$61*EXP(-Parameters!B$60*A61)</f>
        <v>0.10729779487734739</v>
      </c>
      <c r="R61" s="7">
        <f>(1-Parameters!B$61)*P61^-Parameters!B$63</f>
        <v>0.34181775997269931</v>
      </c>
      <c r="S61" s="7">
        <f>Parameters!B$61*EXP(-Parameters!B$60*A61)+(1-Parameters!B$61)*P61^-Parameters!B$63</f>
        <v>0.44911555485004673</v>
      </c>
      <c r="T61" s="7">
        <f>1-S61/Parameters!$B$12</f>
        <v>0.77544222257497664</v>
      </c>
      <c r="U61" s="7">
        <f t="shared" si="0"/>
        <v>4.4531969075704172</v>
      </c>
      <c r="V61" s="7">
        <f>(Parameters!$B$19*(F61+Parameters!$B$20)^T61+Parameters!$B$18*G61^T61)^(1/T61)</f>
        <v>0.32965217794822427</v>
      </c>
      <c r="W61" s="7">
        <f>(Parameters!$B$10*H61^Parameters!$B$9+Parameters!$B$11*V61^Parameters!$B$9)^(Parameters!$B$7/Parameters!$B$9)*O61</f>
        <v>1.3393335146518761</v>
      </c>
      <c r="X61" s="7">
        <f>W61 - D61 - E61 - LN(1+EXP(Parameters!$B$21*C61))/Parameters!$B$21 - IF(C61&gt;0, 0,Parameters!$B$6*C61^2/F61)</f>
        <v>1.0228859434049598</v>
      </c>
      <c r="Y61" s="7">
        <f>EXP(-Parameters!$B$55*A61)</f>
        <v>0.42286597251064995</v>
      </c>
      <c r="Z61" s="7">
        <f>IF(X61&gt;0,X61^(1-Parameters!$B$52)/(1-Parameters!$B$52)*Y61*Parameters!$B$65,-10+X61*1000)</f>
        <v>-1.1986576774064652</v>
      </c>
      <c r="AB61" s="9"/>
      <c r="AC61" s="23">
        <f t="shared" si="6"/>
        <v>0.27045111945768663</v>
      </c>
      <c r="AD61" s="23">
        <f t="shared" si="7"/>
        <v>7.4648578939168946</v>
      </c>
      <c r="AE61" s="23">
        <f t="shared" si="8"/>
        <v>343.81168819903485</v>
      </c>
      <c r="AF61" s="23">
        <f t="shared" si="9"/>
        <v>88.515057144565404</v>
      </c>
      <c r="AG61" s="23">
        <f t="shared" si="10"/>
        <v>224.35191336649979</v>
      </c>
      <c r="AH61" s="23">
        <f t="shared" si="11"/>
        <v>359.62505487727213</v>
      </c>
      <c r="AI61" s="23">
        <f t="shared" si="12"/>
        <v>274.65557272029668</v>
      </c>
      <c r="AJ61" s="23"/>
      <c r="AK61" s="8">
        <f t="shared" si="1"/>
        <v>359.62505487727213</v>
      </c>
      <c r="AL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0.35942504799792446</v>
      </c>
      <c r="AM61" s="32">
        <f>((C62-C60)/2-(F62-F60)/F61/2*C61)/(F61/2/Parameters!$B$5-C61)-((D62-D60)/D61-(G62-G60)/G61)/(G61/2/Parameters!$B$5/D61-1)</f>
        <v>2.294201953965101E-3</v>
      </c>
      <c r="AN61" s="32">
        <f>+Parameters!$B$5*C61^2/F61^2-Parameters!$B$5*D61^2/G61^2</f>
        <v>-5.2757940057367586E-3</v>
      </c>
      <c r="AO61" s="30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0.49397628791845427</v>
      </c>
      <c r="AP61" s="30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132.63779910481796</v>
      </c>
      <c r="AQ61" s="8">
        <f>1000*(AL61+AM61+AN61)/(EXP(-Parameters!$B$42*A61)*((C61&lt;0)*Parameters!$B$37*EXP(-Parameters!$B$38*AD61)+(C61&gt;=0)*Parameters!$B$41))</f>
        <v>671.80326908826794</v>
      </c>
      <c r="AR61" s="13">
        <f>1-W61/'6states,ExoDamages'!T61</f>
        <v>9.470651394787355E-2</v>
      </c>
      <c r="AS61" s="21">
        <f>-Y61*W61*X61^(-Parameters!B$52)*Parameters!B$46*Parameters!B$45*N61</f>
        <v>-1.2480882329471085E-5</v>
      </c>
      <c r="AT61" s="7">
        <f>1000*EXP(-(Parameters!$B$54)*'6states'!A61)*AK61*Parameters!B$46*Parameters!B$45*N61</f>
        <v>1.1050387770969803</v>
      </c>
      <c r="AU61" s="7">
        <f>SUM(AT61:AT$204)*EXP(Parameters!$B$54*A61)</f>
        <v>601.7758648218196</v>
      </c>
      <c r="AV61" s="13">
        <f t="shared" si="32"/>
        <v>0.23456313279273602</v>
      </c>
      <c r="AZ61" s="5"/>
      <c r="BA61" s="5"/>
      <c r="BB61" s="5"/>
      <c r="BE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-0.72531149617150836</v>
      </c>
      <c r="BF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-194.75372172822352</v>
      </c>
      <c r="BG61" s="7">
        <f t="shared" si="26"/>
        <v>3.4963195263443068E-2</v>
      </c>
      <c r="BM61">
        <f>EXP(-Parameters!$B$56*A61)*AZ61*BF61</f>
        <v>0</v>
      </c>
      <c r="BN61">
        <f>-EXP((Parameters!$B$56)*F61)*SUM(BM61:BM69)</f>
        <v>0</v>
      </c>
      <c r="BO61">
        <f>X61^-Parameters!B$52/(1-2*Parameters!B$5*'6states'!D61/'6states'!G61)</f>
        <v>1.134802604756572</v>
      </c>
      <c r="BP61">
        <f t="shared" si="27"/>
        <v>1.0017524483249036</v>
      </c>
      <c r="BQ61">
        <f>$X61^-Parameters!$B$52/(1-2*Parameters!$B$5*'6states'!$E61/'6states'!$H61)</f>
        <v>1.1211480944858236</v>
      </c>
      <c r="BR61">
        <f t="shared" si="21"/>
        <v>1.0034329283357255</v>
      </c>
      <c r="BS61" s="7">
        <f>($X61^-Parameters!$B$52*(1/(1+EXP(-C61)) + IF(C61&lt;0,2*Parameters!$B$6*C61/F61,0)) + BK61*(1/(1+EXP((C61-Parameters!$B$22)*Parameters!$B$21))))/(1-IF(C61&gt;0,2*Parameters!$B$5*C61/F61,0))</f>
        <v>0.48645480778063949</v>
      </c>
      <c r="BT61">
        <f t="shared" si="22"/>
        <v>1.0039466506590264</v>
      </c>
      <c r="BU61" s="7">
        <f t="shared" si="33"/>
        <v>1.9123199290059789E-3</v>
      </c>
      <c r="BV61">
        <f>(1/$T61-1/Parameters!$B$13) * LN(Parameters!$B$18) / LN(P61)</f>
        <v>0.22251716671382488</v>
      </c>
      <c r="BW61">
        <f>(Parameters!$B$18*'6states'!T61^+Parameters!$B$19*Parameters!$B$25^'6states'!T61)^((1-'6states'!T61)/'6states'!T61)*Parameters!$B$18*Parameters!$B$26^('6states'!T61-1)</f>
        <v>0.29580401183706767</v>
      </c>
      <c r="BX61">
        <f t="shared" si="28"/>
        <v>0.21675447331101583</v>
      </c>
      <c r="BY61">
        <f t="shared" si="30"/>
        <v>0.14293125414439556</v>
      </c>
      <c r="BZ61">
        <f t="shared" si="31"/>
        <v>0.18538177966683755</v>
      </c>
    </row>
    <row r="62" spans="1:78" x14ac:dyDescent="0.25">
      <c r="A62">
        <f>A61+Parameters!$B$65</f>
        <v>58</v>
      </c>
      <c r="B62">
        <v>2083</v>
      </c>
      <c r="C62" s="74">
        <v>4.2504307292455043E-5</v>
      </c>
      <c r="D62" s="69">
        <v>9.3024969011830286E-2</v>
      </c>
      <c r="E62" s="75">
        <v>0.22109079173192714</v>
      </c>
      <c r="F62" s="7">
        <f>MAX((1-Parameters!$B$4)^Parameters!B$65*F61 + C61*Parameters!B$65 - IF(C61&gt;0,Parameters!$B$5,0)*C61^2/F61*Parameters!B$65, 0.0001)</f>
        <v>2.6094751755954996E-2</v>
      </c>
      <c r="G62" s="7">
        <f>(1-Parameters!$B$4)^Parameters!B$65*G61+D61*Parameters!B$65-Parameters!$B$5*D61^2/G61*Parameters!B$65</f>
        <v>1.2861675102813166</v>
      </c>
      <c r="H62" s="7">
        <f>(1-Parameters!$B$4)^Parameters!B$65*H61+E61*Parameters!B$65-Parameters!$B$5*E61^2/H61*Parameters!B$65</f>
        <v>3.2780297842651156</v>
      </c>
      <c r="I62" s="9">
        <f>I61 *(1-Parameters!$B$4)-C61*(C61&lt;0)*Parameters!B$65</f>
        <v>9.438728991184764E-4</v>
      </c>
      <c r="J62" s="23">
        <f>J61*(1+Parameters!$B$51)^Parameters!B$65</f>
        <v>9.6523436338286821</v>
      </c>
      <c r="K62" s="23">
        <f>K61*(1+Parameters!$B$53)^Parameters!B$65</f>
        <v>28.45681122530144</v>
      </c>
      <c r="L62" s="23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3.3192103278843255</v>
      </c>
      <c r="M62" s="8">
        <f>M61+L62*Parameters!B$65</f>
        <v>3143.2638331822914</v>
      </c>
      <c r="N62" s="7">
        <f>M62*Parameters!$B$45</f>
        <v>1.8859582999093747</v>
      </c>
      <c r="O62" s="9">
        <f>EXP(-Parameters!$B$46/2*N62^2)</f>
        <v>0.96488512225442302</v>
      </c>
      <c r="P62" s="8">
        <f>MAX((Parameters!$B$62 + Parameters!$B$31*'6states'!A62 - '6states'!M62 + Parameters!$B$47/Parameters!$B$45)/Parameters!B$62,1)</f>
        <v>45.846723336354181</v>
      </c>
      <c r="Q62" s="7">
        <f>Parameters!B$61*EXP(-Parameters!B$60*A62)</f>
        <v>0.10443951483463847</v>
      </c>
      <c r="R62" s="7">
        <f>(1-Parameters!B$61)*P62^-Parameters!B$63</f>
        <v>0.34106658607139179</v>
      </c>
      <c r="S62" s="7">
        <f>Parameters!B$61*EXP(-Parameters!B$60*A62)+(1-Parameters!B$61)*P62^-Parameters!B$63</f>
        <v>0.44550610090603027</v>
      </c>
      <c r="T62" s="7">
        <f>1-S62/Parameters!$B$12</f>
        <v>0.77724694954698492</v>
      </c>
      <c r="U62" s="7">
        <f t="shared" si="0"/>
        <v>4.4892763442129757</v>
      </c>
      <c r="V62" s="7">
        <f>(Parameters!$B$19*(F62+Parameters!$B$20)^T62+Parameters!$B$18*G62^T62)^(1/T62)</f>
        <v>0.32969364967097053</v>
      </c>
      <c r="W62" s="7">
        <f>(Parameters!$B$10*H62^Parameters!$B$9+Parameters!$B$11*V62^Parameters!$B$9)^(Parameters!$B$7/Parameters!$B$9)*O62</f>
        <v>1.339247553517755</v>
      </c>
      <c r="X62" s="7">
        <f>W62 - D62 - E62 - LN(1+EXP(Parameters!$B$21*C62))/Parameters!$B$21 - IF(C62&gt;0, 0,Parameters!$B$6*C62^2/F62)</f>
        <v>1.0227999822708387</v>
      </c>
      <c r="Y62" s="7">
        <f>EXP(-Parameters!$B$55*A62)</f>
        <v>0.41652866342304673</v>
      </c>
      <c r="Z62" s="7">
        <f>IF(X62&gt;0,X62^(1-Parameters!$B$52)/(1-Parameters!$B$52)*Y62*Parameters!$B$65,-10+X62*1000)</f>
        <v>-1.1807286442267664</v>
      </c>
      <c r="AB62" s="9"/>
      <c r="AC62" s="23">
        <f t="shared" si="6"/>
        <v>0.25925821368755564</v>
      </c>
      <c r="AD62" s="23">
        <f t="shared" si="7"/>
        <v>7.1675738684599208</v>
      </c>
      <c r="AE62" s="23">
        <f t="shared" si="8"/>
        <v>353.27795885434136</v>
      </c>
      <c r="AF62" s="23">
        <f t="shared" si="9"/>
        <v>90.55857706864569</v>
      </c>
      <c r="AG62" s="23">
        <f t="shared" si="10"/>
        <v>229.53145704821702</v>
      </c>
      <c r="AH62" s="23">
        <f t="shared" si="11"/>
        <v>367.85771551944913</v>
      </c>
      <c r="AI62" s="23">
        <f t="shared" si="12"/>
        <v>280.93750399111389</v>
      </c>
      <c r="AJ62" s="23"/>
      <c r="AK62" s="8">
        <f t="shared" si="1"/>
        <v>367.85771551944913</v>
      </c>
      <c r="AL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0.36175924437986268</v>
      </c>
      <c r="AM62" s="32">
        <f>((C63-C61)/2-(F63-F61)/F62/2*C62)/(F62/2/Parameters!$B$5-C62)-((D63-D61)/D62-(G63-G61)/G62)/(G62/2/Parameters!$B$5/D62-1)</f>
        <v>1.66964194496614E-3</v>
      </c>
      <c r="AN62" s="32">
        <f>+Parameters!$B$5*C62^2/F62^2-Parameters!$B$5*D62^2/G62^2</f>
        <v>-5.228579075859734E-3</v>
      </c>
      <c r="AO62" s="30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0.48912502107121225</v>
      </c>
      <c r="AP62" s="30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134.35037636025311</v>
      </c>
      <c r="AQ62" s="8">
        <f>1000*(AL62+AM62+AN62)/(EXP(-Parameters!$B$42*A62)*((C62&lt;0)*Parameters!$B$37*EXP(-Parameters!$B$38*AD62)+(C62&gt;=0)*Parameters!$B$41))</f>
        <v>681.89949045665094</v>
      </c>
      <c r="AR62" s="13">
        <f>1-W62/'6states,ExoDamages'!T62</f>
        <v>9.4669087682381914E-2</v>
      </c>
      <c r="AS62" s="21">
        <f>-Y62*W62*X62^(-Parameters!B$52)*Parameters!B$46*Parameters!B$45*N62</f>
        <v>-1.2307438865313935E-5</v>
      </c>
      <c r="AT62" s="7">
        <f>1000*EXP(-(Parameters!$B$54)*'6states'!A62)*AK62*Parameters!B$46*Parameters!B$45*N62</f>
        <v>1.0925027954433728</v>
      </c>
      <c r="AU62" s="7">
        <f>SUM(AT62:AT$204)*EXP(Parameters!$B$54*A62)</f>
        <v>614.81046723446786</v>
      </c>
      <c r="AV62" s="13">
        <f t="shared" si="32"/>
        <v>0.23457818849536913</v>
      </c>
      <c r="AZ62" s="5"/>
      <c r="BA62" s="5"/>
      <c r="BB62" s="5"/>
      <c r="BE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-0.71985912770547733</v>
      </c>
      <c r="BF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-197.72724879579158</v>
      </c>
      <c r="BG62" s="7">
        <f t="shared" si="26"/>
        <v>3.4908317681068515E-2</v>
      </c>
      <c r="BM62">
        <f>EXP(-Parameters!$B$56*A62)*AZ62*BF62</f>
        <v>0</v>
      </c>
      <c r="BN62">
        <f>-EXP((Parameters!$B$56)*F62)*SUM(BM62:BM70)</f>
        <v>0</v>
      </c>
      <c r="BO62">
        <f>X62^-Parameters!B$52/(1-2*Parameters!B$5*'6states'!D62/'6states'!G62)</f>
        <v>1.1340728984780799</v>
      </c>
      <c r="BP62">
        <f t="shared" si="27"/>
        <v>0.99935697514666122</v>
      </c>
      <c r="BQ62">
        <f>$X62^-Parameters!$B$52/(1-2*Parameters!$B$5*'6states'!$E62/'6states'!$H62)</f>
        <v>1.1212758136982566</v>
      </c>
      <c r="BR62">
        <f t="shared" si="21"/>
        <v>1.0001139182352992</v>
      </c>
      <c r="BS62" s="7">
        <f>($X62^-Parameters!$B$52*(1/(1+EXP(-C62)) + IF(C62&lt;0,2*Parameters!$B$6*C62/F62,0)) + BK62*(1/(1+EXP((C62-Parameters!$B$22)*Parameters!$B$21))))/(1-IF(C62&gt;0,2*Parameters!$B$5*C62/F62,0))</f>
        <v>0.48660759069997894</v>
      </c>
      <c r="BT62">
        <f t="shared" si="22"/>
        <v>1.0003140742303205</v>
      </c>
      <c r="BU62" s="7">
        <f t="shared" si="33"/>
        <v>1.5278291933945587E-4</v>
      </c>
      <c r="BV62">
        <f>(1/$T62-1/Parameters!$B$13) * LN(Parameters!$B$18) / LN(P62)</f>
        <v>0.22216993233409463</v>
      </c>
      <c r="BW62">
        <f>(Parameters!$B$18*'6states'!T62^+Parameters!$B$19*Parameters!$B$25^'6states'!T62)^((1-'6states'!T62)/'6states'!T62)*Parameters!$B$18*Parameters!$B$26^('6states'!T62-1)</f>
        <v>0.296275218663897</v>
      </c>
      <c r="BX62">
        <f t="shared" si="28"/>
        <v>0.2159239758112407</v>
      </c>
      <c r="BY62">
        <f t="shared" si="30"/>
        <v>0.14272494612842623</v>
      </c>
      <c r="BZ62">
        <f t="shared" si="31"/>
        <v>0.18564780330753339</v>
      </c>
    </row>
    <row r="63" spans="1:78" s="4" customFormat="1" x14ac:dyDescent="0.25">
      <c r="A63">
        <f>A62+Parameters!$B$65</f>
        <v>59</v>
      </c>
      <c r="B63">
        <v>2084</v>
      </c>
      <c r="C63" s="74">
        <v>4.2504307292455043E-5</v>
      </c>
      <c r="D63" s="69">
        <v>9.3024969011830286E-2</v>
      </c>
      <c r="E63" s="75">
        <v>0.22109079173192714</v>
      </c>
      <c r="F63" s="7">
        <f>MAX((1-Parameters!$B$4)^Parameters!B$65*F62 + C62*Parameters!B$65 - IF(C62&gt;0,Parameters!$B$5,0)*C62^2/F62*Parameters!B$65, 0.0001)</f>
        <v>2.4495826944867238E-2</v>
      </c>
      <c r="G63" s="7">
        <f>(1-Parameters!$B$4)^Parameters!B$65*G62+D62*Parameters!B$65-Parameters!$B$5*D62^2/G62*Parameters!B$65</f>
        <v>1.2915643019865577</v>
      </c>
      <c r="H63" s="7">
        <f>(1-Parameters!$B$4)^Parameters!B$65*H62+E62*Parameters!B$65-Parameters!$B$5*E62^2/H62*Parameters!B$65</f>
        <v>3.2780207594144368</v>
      </c>
      <c r="I63" s="9">
        <f>I62 *(1-Parameters!$B$4)-C62*(C62&lt;0)*Parameters!B$65</f>
        <v>8.8450329376392424E-4</v>
      </c>
      <c r="J63" s="23">
        <f>J62*(1+Parameters!$B$51)^Parameters!B$65</f>
        <v>9.6803354303667835</v>
      </c>
      <c r="K63" s="23">
        <f>K62*(1+Parameters!$B$53)^Parameters!B$65</f>
        <v>29.025947449807468</v>
      </c>
      <c r="L63" s="23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3.1559558734172524</v>
      </c>
      <c r="M63" s="8">
        <f>M62+L63*Parameters!B$65</f>
        <v>3146.4197890557084</v>
      </c>
      <c r="N63" s="7">
        <f>M63*Parameters!$B$45</f>
        <v>1.8878518734334249</v>
      </c>
      <c r="O63" s="9">
        <f>EXP(-Parameters!$B$46/2*N63^2)</f>
        <v>0.96481582942415045</v>
      </c>
      <c r="P63" s="8">
        <f>MAX((Parameters!$B$62 + Parameters!$B$31*'6states'!A63 - '6states'!M63 + Parameters!$B$47/Parameters!$B$45)/Parameters!B$62,1)</f>
        <v>46.847604218885834</v>
      </c>
      <c r="Q63" s="7">
        <f>Parameters!B$61*EXP(-Parameters!B$60*A63)</f>
        <v>0.10165737582364309</v>
      </c>
      <c r="R63" s="7">
        <f>(1-Parameters!B$61)*P63^-Parameters!B$63</f>
        <v>0.34033080872109528</v>
      </c>
      <c r="S63" s="7">
        <f>Parameters!B$61*EXP(-Parameters!B$60*A63)+(1-Parameters!B$61)*P63^-Parameters!B$63</f>
        <v>0.44198818454473837</v>
      </c>
      <c r="T63" s="7">
        <f>1-S63/Parameters!$B$12</f>
        <v>0.77900590772763079</v>
      </c>
      <c r="U63" s="7">
        <f t="shared" si="0"/>
        <v>4.5250078394291515</v>
      </c>
      <c r="V63" s="7">
        <f>(Parameters!$B$19*(F63+Parameters!$B$20)^T63+Parameters!$B$18*G63^T63)^(1/T63)</f>
        <v>0.32976589303732251</v>
      </c>
      <c r="W63" s="7">
        <f>(Parameters!$B$10*H63^Parameters!$B$9+Parameters!$B$11*V63^Parameters!$B$9)^(Parameters!$B$7/Parameters!$B$9)*O63</f>
        <v>1.3391782937551286</v>
      </c>
      <c r="X63" s="7">
        <f>W63 - D63 - E63 - LN(1+EXP(Parameters!$B$21*C63))/Parameters!$B$21 - IF(C63&gt;0, 0,Parameters!$B$6*C63^2/F63)</f>
        <v>1.0227307225082123</v>
      </c>
      <c r="Y63" s="16">
        <f>EXP(-Parameters!$B$55*A63)</f>
        <v>0.41028632884056476</v>
      </c>
      <c r="Z63" s="7">
        <f>IF(X63&gt;0,X63^(1-Parameters!$B$52)/(1-Parameters!$B$52)*Y63*Parameters!$B$65,-10+X63*1000)</f>
        <v>-1.1630611414756842</v>
      </c>
      <c r="AA63"/>
      <c r="AB63" s="9"/>
      <c r="AC63" s="23">
        <f t="shared" si="6"/>
        <v>0.24852853816705436</v>
      </c>
      <c r="AD63" s="23">
        <f t="shared" si="7"/>
        <v>6.8828596848909793</v>
      </c>
      <c r="AE63" s="23">
        <f t="shared" si="8"/>
        <v>362.90490966463733</v>
      </c>
      <c r="AF63" s="23">
        <f t="shared" si="9"/>
        <v>92.657919887625951</v>
      </c>
      <c r="AG63" s="23">
        <f t="shared" si="10"/>
        <v>234.85249047963885</v>
      </c>
      <c r="AH63" s="23">
        <f t="shared" si="11"/>
        <v>376.28353228138872</v>
      </c>
      <c r="AI63" s="23">
        <f t="shared" si="12"/>
        <v>287.36780653678596</v>
      </c>
      <c r="AJ63" s="23"/>
      <c r="AK63" s="25">
        <f t="shared" si="1"/>
        <v>376.28353228138872</v>
      </c>
      <c r="AL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0.36387643673289816</v>
      </c>
      <c r="AM63" s="32">
        <f>((C64-C62)/2-(F64-F62)/F63/2*C63)/(F63/2/Parameters!$B$5-C63)-((D64-D62)/D63-(G64-G62)/G63)/(G63/2/Parameters!$B$5/D63-1)</f>
        <v>1.5289090590013257E-3</v>
      </c>
      <c r="AN63" s="32">
        <f>+Parameters!$B$5*C63^2/F63^2-Parameters!$B$5*D63^2/G63^2</f>
        <v>-5.1845954211675229E-3</v>
      </c>
      <c r="AO63" s="30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0.48432546645270946</v>
      </c>
      <c r="AP63" s="30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136.08620908843702</v>
      </c>
      <c r="AQ63" s="8">
        <f>1000*(AL63+AM63+AN63)/(EXP(-Parameters!$B$42*A63)*((C63&lt;0)*Parameters!$B$37*EXP(-Parameters!$B$38*AD63)+(C63&gt;=0)*Parameters!$B$41))</f>
        <v>692.63763131694702</v>
      </c>
      <c r="AR63" s="13">
        <f>1-W63/'6states,ExoDamages'!T63</f>
        <v>9.4626114370514047E-2</v>
      </c>
      <c r="AS63" s="21">
        <f>-Y63*W63*X63^(-Parameters!B$52)*Parameters!B$46*Parameters!B$45*N63</f>
        <v>-1.2135646364318363E-5</v>
      </c>
      <c r="AT63" s="7">
        <f>1000*EXP(-(Parameters!$B$54)*'6states'!A63)*AK63*Parameters!B$46*Parameters!B$45*N63</f>
        <v>1.0800652484351212</v>
      </c>
      <c r="AU63" s="7">
        <f>SUM(AT63:AT$204)*EXP(Parameters!$B$54*A63)</f>
        <v>628.10782419226791</v>
      </c>
      <c r="AV63" s="13">
        <f t="shared" si="32"/>
        <v>0.23459032043458011</v>
      </c>
      <c r="AW63" s="16"/>
      <c r="AX63" s="16"/>
      <c r="AY63" s="16"/>
      <c r="AZ63" s="5"/>
      <c r="BA63" s="5"/>
      <c r="BB63" s="5"/>
      <c r="BC63"/>
      <c r="BD63"/>
      <c r="BE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-0.71455920235908554</v>
      </c>
      <c r="BF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-200.77749314014272</v>
      </c>
      <c r="BG63" s="7">
        <f t="shared" si="26"/>
        <v>3.484995212621899E-2</v>
      </c>
      <c r="BH63"/>
      <c r="BI63"/>
      <c r="BJ63"/>
      <c r="BK63"/>
      <c r="BM63">
        <f>EXP(-Parameters!$B$56*A63)*AZ63*BF63</f>
        <v>0</v>
      </c>
      <c r="BN63">
        <f>-EXP((Parameters!$B$56)*F63)*SUM(BM63:BM71)</f>
        <v>0</v>
      </c>
      <c r="BO63">
        <f>X63^-Parameters!B$52/(1-2*Parameters!B$5*'6states'!D63/'6states'!G63)</f>
        <v>1.1333756691687928</v>
      </c>
      <c r="BP63">
        <f t="shared" si="27"/>
        <v>0.99938519886135824</v>
      </c>
      <c r="BQ63">
        <f>$X63^-Parameters!$B$52/(1-2*Parameters!$B$5*'6states'!$E63/'6states'!$H63)</f>
        <v>1.1213788062303653</v>
      </c>
      <c r="BR63">
        <f t="shared" si="21"/>
        <v>1.000091852986438</v>
      </c>
      <c r="BS63" s="7">
        <f>($X63^-Parameters!$B$52*(1/(1+EXP(-C63)) + IF(C63&lt;0,2*Parameters!$B$6*C63/F63,0)) + BK63*(1/(1+EXP((C63-Parameters!$B$22)*Parameters!$B$21))))/(1-IF(C63&gt;0,2*Parameters!$B$5*C63/F63,0))</f>
        <v>0.48675592038923149</v>
      </c>
      <c r="BT63">
        <f t="shared" si="22"/>
        <v>1.0003048240349872</v>
      </c>
      <c r="BU63" s="7">
        <f t="shared" ref="BU63:BU81" si="34">BS63-BS62</f>
        <v>1.4832968925254653E-4</v>
      </c>
      <c r="BV63">
        <f>(1/$T63-1/Parameters!$B$13) * LN(Parameters!$B$18) / LN(P63)</f>
        <v>0.2218223093257381</v>
      </c>
      <c r="BW63">
        <f>(Parameters!$B$18*'6states'!T63^+Parameters!$B$19*Parameters!$B$25^'6states'!T63)^((1-'6states'!T63)/'6states'!T63)*Parameters!$B$18*Parameters!$B$26^('6states'!T63-1)</f>
        <v>0.29672671822788349</v>
      </c>
      <c r="BX63">
        <f t="shared" si="28"/>
        <v>0.21510763932933491</v>
      </c>
      <c r="BY63">
        <f t="shared" si="30"/>
        <v>0.14251835746567165</v>
      </c>
      <c r="BZ63">
        <f t="shared" si="31"/>
        <v>0.18590261955324483</v>
      </c>
    </row>
    <row r="64" spans="1:78" s="38" customFormat="1" x14ac:dyDescent="0.25">
      <c r="A64" s="38">
        <f>A63+Parameters!$B$65</f>
        <v>60</v>
      </c>
      <c r="B64">
        <v>2085</v>
      </c>
      <c r="C64" s="74">
        <v>3.5644225806812918E-5</v>
      </c>
      <c r="D64" s="69">
        <v>9.2901193178315564E-2</v>
      </c>
      <c r="E64" s="75">
        <v>0.22096317356685069</v>
      </c>
      <c r="F64" s="7">
        <f>MAX((1-Parameters!$B$4)^Parameters!B$65*F63 + C63*Parameters!B$65 - IF(C63&gt;0,Parameters!$B$5,0)*C63^2/F63*Parameters!B$65, 0.0001)</f>
        <v>2.2997469985331236E-2</v>
      </c>
      <c r="G64" s="39">
        <f>(1-Parameters!$B$4)^Parameters!B$65*G63+D63*Parameters!B$65-Parameters!$B$5*D63^2/G63*Parameters!B$65</f>
        <v>1.2966497493974907</v>
      </c>
      <c r="H64" s="39">
        <f>(1-Parameters!$B$4)^Parameters!B$65*H63+E63*Parameters!B$65-Parameters!$B$5*E63^2/H63*Parameters!B$65</f>
        <v>3.278012261172746</v>
      </c>
      <c r="I64" s="9">
        <f>I63 *(1-Parameters!$B$4)-C63*(C63&lt;0)*Parameters!B$65</f>
        <v>8.288680365861734E-4</v>
      </c>
      <c r="J64" s="41">
        <f>J63*(1+Parameters!$B$51)^Parameters!B$65</f>
        <v>9.7084084031148468</v>
      </c>
      <c r="K64" s="41">
        <f>K63*(1+Parameters!$B$53)^Parameters!B$65</f>
        <v>29.606466398803619</v>
      </c>
      <c r="L64" s="23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3.0010890683040321</v>
      </c>
      <c r="M64" s="37">
        <f>M63+L64*Parameters!B$65</f>
        <v>3149.4208781240122</v>
      </c>
      <c r="N64" s="39">
        <f>M64*Parameters!$B$45</f>
        <v>1.8896525268744071</v>
      </c>
      <c r="O64" s="9">
        <f>EXP(-Parameters!$B$46/2*N64^2)</f>
        <v>0.96474987700168069</v>
      </c>
      <c r="P64" s="8">
        <f>MAX((Parameters!$B$62 + Parameters!$B$31*'6states'!A64 - '6states'!M64 + Parameters!$B$47/Parameters!$B$45)/Parameters!B$62,1)</f>
        <v>47.851582437519752</v>
      </c>
      <c r="Q64" s="7">
        <f>Parameters!B$61*EXP(-Parameters!B$60*A64)</f>
        <v>9.8949349541807355E-2</v>
      </c>
      <c r="R64" s="7">
        <f>(1-Parameters!B$61)*P64^-Parameters!B$63</f>
        <v>0.33960992501287335</v>
      </c>
      <c r="S64" s="7">
        <f>Parameters!B$61*EXP(-Parameters!B$60*A64)+(1-Parameters!B$61)*P64^-Parameters!B$63</f>
        <v>0.43855927455468069</v>
      </c>
      <c r="T64" s="39">
        <f>1-S64/Parameters!$B$12</f>
        <v>0.78072036272265966</v>
      </c>
      <c r="U64" s="39">
        <f t="shared" si="0"/>
        <v>4.5603869671456119</v>
      </c>
      <c r="V64" s="7">
        <f>(Parameters!$B$19*(F64+Parameters!$B$20)^T64+Parameters!$B$18*G64^T64)^(1/T64)</f>
        <v>0.32986661147032342</v>
      </c>
      <c r="W64" s="39">
        <f>(Parameters!$B$10*H64^Parameters!$B$9+Parameters!$B$11*V64^Parameters!$B$9)^(Parameters!$B$7/Parameters!$B$9)*O64</f>
        <v>1.3391245814433839</v>
      </c>
      <c r="X64" s="7">
        <f>W64 - D64 - E64 - LN(1+EXP(Parameters!$B$21*C64))/Parameters!$B$21 - IF(C64&gt;0, 0,Parameters!$B$6*C64^2/F64)</f>
        <v>1.0229318543395185</v>
      </c>
      <c r="Y64" s="39">
        <f>EXP(-Parameters!$B$55*A64)</f>
        <v>0.40413754542145147</v>
      </c>
      <c r="Z64" s="39">
        <f>IF(X64&gt;0,X64^(1-Parameters!$B$52)/(1-Parameters!$B$52)*Y64*Parameters!$B$65,-10+X64*1000)</f>
        <v>-1.145552003061983</v>
      </c>
      <c r="AB64" s="40"/>
      <c r="AC64" s="23">
        <f t="shared" si="6"/>
        <v>0.23824292162211172</v>
      </c>
      <c r="AD64" s="23">
        <f t="shared" si="7"/>
        <v>6.610201138637481</v>
      </c>
      <c r="AE64" s="23">
        <f t="shared" si="8"/>
        <v>372.69819920836159</v>
      </c>
      <c r="AF64" s="23">
        <f t="shared" si="9"/>
        <v>94.814110079518542</v>
      </c>
      <c r="AG64" s="23">
        <f t="shared" si="10"/>
        <v>240.31761032182698</v>
      </c>
      <c r="AH64" s="23">
        <f t="shared" si="11"/>
        <v>384.90681099619235</v>
      </c>
      <c r="AI64" s="23">
        <f t="shared" si="12"/>
        <v>294.02300829685129</v>
      </c>
      <c r="AJ64" s="23"/>
      <c r="AK64" s="37">
        <f t="shared" si="1"/>
        <v>384.90681099619229</v>
      </c>
      <c r="AL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0.36602911252018877</v>
      </c>
      <c r="AM64" s="42">
        <f>((C65-C63)/2-(F65-F63)/F64/2*C64)/(F64/2/Parameters!$B$5-C64)-((D65-D63)/D64-(G65-G63)/G64)/(G64/2/Parameters!$B$5/D64-1)</f>
        <v>1.1398604605582399E-3</v>
      </c>
      <c r="AN64" s="42">
        <f>+Parameters!$B$5*C64^2/F64^2-Parameters!$B$5*D64^2/G64^2</f>
        <v>-5.1309045685942987E-3</v>
      </c>
      <c r="AO64" s="30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0.47957728306652636</v>
      </c>
      <c r="AP64" s="30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137.84569800995712</v>
      </c>
      <c r="AQ64" s="37">
        <f>1000*(AL64+AM64+AN64)/(EXP(-Parameters!$B$42*A64)*((C64&lt;0)*Parameters!$B$37*EXP(-Parameters!$B$38*AD64)+(C64&gt;=0)*Parameters!$B$41))</f>
        <v>703.1282394202226</v>
      </c>
      <c r="AR64" s="43">
        <f>1-W64/'6states,ExoDamages'!T64</f>
        <v>9.4578038953841648E-2</v>
      </c>
      <c r="AS64" s="21">
        <f>-Y64*W64*X64^(-Parameters!B$52)*Parameters!B$46*Parameters!B$45*N64</f>
        <v>-1.1961520615107937E-5</v>
      </c>
      <c r="AT64" s="39">
        <f>1000*EXP(-(Parameters!$B$54)*'6states'!A64)*AK64*Parameters!B$46*Parameters!B$45*N64</f>
        <v>1.0677281125888107</v>
      </c>
      <c r="AU64" s="39">
        <f>SUM(AT64:AT$204)*EXP(Parameters!$B$54*A64)</f>
        <v>641.67281793014843</v>
      </c>
      <c r="AV64" s="43">
        <f t="shared" si="32"/>
        <v>0.23440687694092957</v>
      </c>
      <c r="AW64" s="39"/>
      <c r="AX64" s="39"/>
      <c r="AY64" s="39"/>
      <c r="AZ64" s="5"/>
      <c r="BA64" s="5"/>
      <c r="BB64" s="5"/>
      <c r="BC64"/>
      <c r="BD64"/>
      <c r="BE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-0.70941555424286817</v>
      </c>
      <c r="BF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-203.90849547426012</v>
      </c>
      <c r="BG64" s="7">
        <f t="shared" si="26"/>
        <v>3.478789043552194E-2</v>
      </c>
      <c r="BH64"/>
      <c r="BI64"/>
      <c r="BJ64"/>
      <c r="BK64"/>
      <c r="BM64">
        <f>EXP(-Parameters!$B$56*A64)*AZ64*BF64</f>
        <v>0</v>
      </c>
      <c r="BN64">
        <f>-EXP((Parameters!$B$56)*F64)*SUM(BM64:BM72)</f>
        <v>0</v>
      </c>
      <c r="BO64">
        <f>X64^-Parameters!B$52/(1-2*Parameters!B$5*'6states'!D64/'6states'!G64)</f>
        <v>1.1320751129778648</v>
      </c>
      <c r="BP64">
        <f t="shared" si="27"/>
        <v>0.99885249328505366</v>
      </c>
      <c r="BQ64">
        <f>$X64^-Parameters!$B$52/(1-2*Parameters!$B$5*'6states'!$E64/'6states'!$H64)</f>
        <v>1.1209807169977635</v>
      </c>
      <c r="BR64">
        <f t="shared" si="21"/>
        <v>0.99964500021724145</v>
      </c>
      <c r="BS64" s="7">
        <f>($X64^-Parameters!$B$52*(1/(1+EXP(-C64)) + IF(C64&lt;0,2*Parameters!$B$6*C64/F64,0)) + BK64*(1/(1+EXP((C64-Parameters!$B$22)*Parameters!$B$21))))/(1-IF(C64&gt;0,2*Parameters!$B$5*C64/F64,0))</f>
        <v>0.48644419968519759</v>
      </c>
      <c r="BT64">
        <f t="shared" si="22"/>
        <v>0.99935959545436115</v>
      </c>
      <c r="BU64" s="7">
        <f t="shared" si="34"/>
        <v>-3.1172070403390206E-4</v>
      </c>
      <c r="BV64">
        <f>(1/$T64-1/Parameters!$B$13) * LN(Parameters!$B$18) / LN(P64)</f>
        <v>0.22147448621209384</v>
      </c>
      <c r="BW64">
        <f>(Parameters!$B$18*'6states'!T64^+Parameters!$B$19*Parameters!$B$25^'6states'!T64)^((1-'6states'!T64)/'6states'!T64)*Parameters!$B$18*Parameters!$B$26^('6states'!T64-1)</f>
        <v>0.29715945197506066</v>
      </c>
      <c r="BX64">
        <f t="shared" si="28"/>
        <v>0.2143052009411219</v>
      </c>
      <c r="BY64">
        <f t="shared" si="30"/>
        <v>0.14231160005512866</v>
      </c>
      <c r="BZ64">
        <f t="shared" si="31"/>
        <v>0.18614676996017321</v>
      </c>
    </row>
    <row r="65" spans="1:78" x14ac:dyDescent="0.25">
      <c r="A65">
        <f>A64+Parameters!$B$65</f>
        <v>61</v>
      </c>
      <c r="B65">
        <v>2086</v>
      </c>
      <c r="C65" s="74">
        <v>2.4340818829055694E-5</v>
      </c>
      <c r="D65" s="69">
        <v>9.2761149421987973E-2</v>
      </c>
      <c r="E65" s="75">
        <v>0.22077964027945571</v>
      </c>
      <c r="F65" s="7">
        <f>MAX((1-Parameters!$B$4)^Parameters!B$65*F64 + C64*Parameters!B$65 - IF(C64&gt;0,Parameters!$B$5,0)*C64^2/F64*Parameters!B$65, 0.0001)</f>
        <v>2.1586518103382205E-2</v>
      </c>
      <c r="G65" s="7">
        <f>(1-Parameters!$B$4)^Parameters!B$65*G64+D64*Parameters!B$65-Parameters!$B$5*D64^2/G64*Parameters!B$65</f>
        <v>1.3013355723384417</v>
      </c>
      <c r="H65" s="7">
        <f>(1-Parameters!$B$4)^Parameters!B$65*H64+E64*Parameters!B$65-Parameters!$B$5*E64^2/H64*Parameters!B$65</f>
        <v>3.2778938505016693</v>
      </c>
      <c r="I65" s="9">
        <f>I64 *(1-Parameters!$B$4)-C64*(C64&lt;0)*Parameters!B$65</f>
        <v>7.7673223708490317E-4</v>
      </c>
      <c r="J65" s="23">
        <f>J64*(1+Parameters!$B$51)^Parameters!B$65</f>
        <v>9.7365627874838783</v>
      </c>
      <c r="K65" s="23">
        <f>K64*(1+Parameters!$B$53)^Parameters!B$65</f>
        <v>30.198595726779693</v>
      </c>
      <c r="L65" s="23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2.853229138270359</v>
      </c>
      <c r="M65" s="8">
        <f>M64+L65*Parameters!B$65</f>
        <v>3152.2741072622825</v>
      </c>
      <c r="N65" s="7">
        <f>M65*Parameters!$B$45</f>
        <v>1.8913644643573693</v>
      </c>
      <c r="O65" s="9">
        <f>EXP(-Parameters!$B$46/2*N65^2)</f>
        <v>0.96468711985384126</v>
      </c>
      <c r="P65" s="8">
        <f>MAX((Parameters!$B$62 + Parameters!$B$31*'6states'!A65 - '6states'!M65 + Parameters!$B$47/Parameters!$B$45)/Parameters!B$62,1)</f>
        <v>48.858517854754353</v>
      </c>
      <c r="Q65" s="7">
        <f>Parameters!B$61*EXP(-Parameters!B$60*A65)</f>
        <v>9.6313461718039159E-2</v>
      </c>
      <c r="R65" s="7">
        <f>(1-Parameters!B$61)*P65^-Parameters!B$63</f>
        <v>0.33890343874270484</v>
      </c>
      <c r="S65" s="7">
        <f>Parameters!B$61*EXP(-Parameters!B$60*A65)+(1-Parameters!B$61)*P65^-Parameters!B$63</f>
        <v>0.43521690046074402</v>
      </c>
      <c r="T65" s="7">
        <f>1-S65/Parameters!$B$12</f>
        <v>0.78239154976962799</v>
      </c>
      <c r="U65" s="7">
        <f t="shared" si="0"/>
        <v>4.5954097781650765</v>
      </c>
      <c r="V65" s="7">
        <f>(Parameters!$B$19*(F65+Parameters!$B$20)^T65+Parameters!$B$18*G65^T65)^(1/T65)</f>
        <v>0.32996179096575468</v>
      </c>
      <c r="W65" s="7">
        <f>(Parameters!$B$10*H65^Parameters!$B$9+Parameters!$B$11*V65^Parameters!$B$9)^(Parameters!$B$7/Parameters!$B$9)*O65</f>
        <v>1.3390638964371617</v>
      </c>
      <c r="X65" s="7">
        <f>W65 - D65 - E65 - LN(1+EXP(Parameters!$B$21*C65))/Parameters!$B$21 - IF(C65&gt;0, 0,Parameters!$B$6*C65^2/F65)</f>
        <v>1.0232004235066565</v>
      </c>
      <c r="Y65" s="7">
        <f>EXP(-Parameters!$B$55*A65)</f>
        <v>0.39808091115496053</v>
      </c>
      <c r="Z65" s="7">
        <f>IF(X65&gt;0,X65^(1-Parameters!$B$52)/(1-Parameters!$B$52)*Y65*Parameters!$B$65,-10+X65*1000)</f>
        <v>-1.1282804405487412</v>
      </c>
      <c r="AC65" s="23">
        <f t="shared" si="6"/>
        <v>0.228382986202121</v>
      </c>
      <c r="AD65" s="23">
        <f t="shared" si="7"/>
        <v>6.3470952160540808</v>
      </c>
      <c r="AE65" s="23">
        <f t="shared" si="8"/>
        <v>382.63237943761669</v>
      </c>
      <c r="AF65" s="23">
        <f t="shared" si="9"/>
        <v>97.018838095581543</v>
      </c>
      <c r="AG65" s="23">
        <f t="shared" si="10"/>
        <v>245.90575503768713</v>
      </c>
      <c r="AH65" s="23">
        <f t="shared" si="11"/>
        <v>393.72565831890165</v>
      </c>
      <c r="AI65" s="23">
        <f t="shared" si="12"/>
        <v>300.8521560541098</v>
      </c>
      <c r="AJ65" s="23"/>
      <c r="AK65" s="25">
        <f t="shared" si="1"/>
        <v>393.72565831890159</v>
      </c>
      <c r="AL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0.36829883026657811</v>
      </c>
      <c r="AM65" s="32">
        <f>((C66-C64)/2-(F66-F64)/F65/2*C65)/(F65/2/Parameters!$B$5-C65)-((D66-D64)/D65-(G66-G64)/G65)/(G65/2/Parameters!$B$5/D65-1)</f>
        <v>1.0173246317248829E-3</v>
      </c>
      <c r="AN65" s="32">
        <f>+Parameters!$B$5*C65^2/F65^2-Parameters!$B$5*D65^2/G65^2</f>
        <v>-5.0797805364451252E-3</v>
      </c>
      <c r="AO65" s="30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0.47486811208359286</v>
      </c>
      <c r="AP65" s="30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139.62571953603592</v>
      </c>
      <c r="AQ65" s="8">
        <f>1000*(AL65+AM65+AN65)/(EXP(-Parameters!$B$42*A65)*((C65&lt;0)*Parameters!$B$37*EXP(-Parameters!$B$38*AD65)+(C65&gt;=0)*Parameters!$B$41))</f>
        <v>714.50711969011365</v>
      </c>
      <c r="AR65" s="13">
        <f>1-W65/'6states,ExoDamages'!T65</f>
        <v>9.4527741694514833E-2</v>
      </c>
      <c r="AS65" s="21">
        <f>-Y65*W65*X65^(-Parameters!B$52)*Parameters!B$46*Parameters!B$45*N65</f>
        <v>-1.1788219835574657E-5</v>
      </c>
      <c r="AT65" s="7">
        <f>1000*EXP(-(Parameters!$B$54)*'6states'!A65)*AK65*Parameters!B$46*Parameters!B$45*N65</f>
        <v>1.0554759343567333</v>
      </c>
      <c r="AU65" s="7">
        <f>SUM(AT65:AT$204)*EXP(Parameters!$B$54*A65)</f>
        <v>655.51039648654853</v>
      </c>
      <c r="AV65" s="13">
        <f t="shared" si="32"/>
        <v>0.23416741453083259</v>
      </c>
      <c r="AZ65" s="5"/>
      <c r="BA65" s="5"/>
      <c r="BB65" s="5"/>
      <c r="BE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-0.70409791406148725</v>
      </c>
      <c r="BF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-207.02627818763963</v>
      </c>
      <c r="BG65" s="7">
        <f t="shared" si="26"/>
        <v>3.473252882562327E-2</v>
      </c>
      <c r="BM65">
        <f>EXP(-Parameters!$B$56*A65)*AZ65*BF65</f>
        <v>0</v>
      </c>
      <c r="BN65">
        <f>-EXP((Parameters!$B$56)*F65)*SUM(BM65:BM73)</f>
        <v>0</v>
      </c>
      <c r="BO65">
        <f>X65^-Parameters!B$52/(1-2*Parameters!B$5*'6states'!D65/'6states'!G65)</f>
        <v>1.1307089191830249</v>
      </c>
      <c r="BP65">
        <f t="shared" si="27"/>
        <v>0.99879319509882503</v>
      </c>
      <c r="BQ65">
        <f>$X65^-Parameters!$B$52/(1-2*Parameters!$B$5*'6states'!$E65/'6states'!$H65)</f>
        <v>1.1204448043546065</v>
      </c>
      <c r="BR65">
        <f t="shared" si="21"/>
        <v>0.99952192519012073</v>
      </c>
      <c r="BS65" s="7">
        <f>($X65^-Parameters!$B$52*(1/(1+EXP(-C65)) + IF(C65&lt;0,2*Parameters!$B$6*C65/F65,0)) + BK65*(1/(1+EXP((C65-Parameters!$B$22)*Parameters!$B$21))))/(1-IF(C65&gt;0,2*Parameters!$B$5*C65/F65,0))</f>
        <v>0.48585743276386156</v>
      </c>
      <c r="BT65">
        <f t="shared" si="22"/>
        <v>0.99879376314546309</v>
      </c>
      <c r="BU65" s="7">
        <f t="shared" si="34"/>
        <v>-5.8676692133602382E-4</v>
      </c>
      <c r="BV65">
        <f>(1/$T65-1/Parameters!$B$13) * LN(Parameters!$B$18) / LN(P65)</f>
        <v>0.22112661509936546</v>
      </c>
      <c r="BW65">
        <f>(Parameters!$B$18*'6states'!T65^+Parameters!$B$19*Parameters!$B$25^'6states'!T65)^((1-'6states'!T65)/'6states'!T65)*Parameters!$B$18*Parameters!$B$26^('6states'!T65-1)</f>
        <v>0.29757431369068532</v>
      </c>
      <c r="BX65">
        <f t="shared" si="28"/>
        <v>0.21351637440788326</v>
      </c>
      <c r="BY65">
        <f t="shared" si="30"/>
        <v>0.14210476424834972</v>
      </c>
      <c r="BZ65">
        <f t="shared" si="31"/>
        <v>0.18638076813507831</v>
      </c>
    </row>
    <row r="66" spans="1:78" x14ac:dyDescent="0.25">
      <c r="A66">
        <f>A65+Parameters!$B$65</f>
        <v>62</v>
      </c>
      <c r="B66">
        <v>2087</v>
      </c>
      <c r="C66" s="74">
        <v>2.4340818829055694E-5</v>
      </c>
      <c r="D66" s="69">
        <v>9.2761149421987973E-2</v>
      </c>
      <c r="E66" s="75">
        <v>0.22077964027945571</v>
      </c>
      <c r="F66" s="7">
        <f>MAX((1-Parameters!$B$4)^Parameters!B$65*F65 + C65*Parameters!B$65 - IF(C65&gt;0,Parameters!$B$5,0)*C65^2/F65*Parameters!B$65, 0.0001)</f>
        <v>2.0253039486957926E-2</v>
      </c>
      <c r="G66" s="7">
        <f>(1-Parameters!$B$4)^Parameters!B$65*G65+D65*Parameters!B$65-Parameters!$B$5*D65^2/G65*Parameters!B$65</f>
        <v>1.3056305605430447</v>
      </c>
      <c r="H66" s="7">
        <f>(1-Parameters!$B$4)^Parameters!B$65*H65+E65*Parameters!B$65-Parameters!$B$5*E65^2/H65*Parameters!B$65</f>
        <v>3.277623550241902</v>
      </c>
      <c r="I66" s="9">
        <f>I65 *(1-Parameters!$B$4)-C65*(C65&lt;0)*Parameters!B$65</f>
        <v>7.2787577937226281E-4</v>
      </c>
      <c r="J66" s="23">
        <f>J65*(1+Parameters!$B$51)^Parameters!B$65</f>
        <v>9.7647988195675808</v>
      </c>
      <c r="K66" s="23">
        <f>K65*(1+Parameters!$B$53)^Parameters!B$65</f>
        <v>30.802567641315289</v>
      </c>
      <c r="L66" s="23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2.7113684017609474</v>
      </c>
      <c r="M66" s="8">
        <f>M65+L66*Parameters!B$65</f>
        <v>3154.9854756640434</v>
      </c>
      <c r="N66" s="7">
        <f>M66*Parameters!$B$45</f>
        <v>1.8929912853984259</v>
      </c>
      <c r="O66" s="9">
        <f>EXP(-Parameters!$B$46/2*N66^2)</f>
        <v>0.96462743407808216</v>
      </c>
      <c r="P66" s="8">
        <f>MAX((Parameters!$B$62 + Parameters!$B$31*'6states'!A66 - '6states'!M66 + Parameters!$B$47/Parameters!$B$45)/Parameters!B$62,1)</f>
        <v>49.868290486719133</v>
      </c>
      <c r="Q66" s="7">
        <f>Parameters!B$61*EXP(-Parameters!B$60*A66)</f>
        <v>9.3747790673377282E-2</v>
      </c>
      <c r="R66" s="7">
        <f>(1-Parameters!B$61)*P66^-Parameters!B$63</f>
        <v>0.33821086586410354</v>
      </c>
      <c r="S66" s="7">
        <f>Parameters!B$61*EXP(-Parameters!B$60*A66)+(1-Parameters!B$61)*P66^-Parameters!B$63</f>
        <v>0.43195865653748083</v>
      </c>
      <c r="T66" s="7">
        <f>1-S66/Parameters!$B$12</f>
        <v>0.78402067173125956</v>
      </c>
      <c r="U66" s="7">
        <f t="shared" si="0"/>
        <v>4.6300727389785754</v>
      </c>
      <c r="V66" s="7">
        <f>(Parameters!$B$19*(F66+Parameters!$B$20)^T66+Parameters!$B$18*G66^T66)^(1/T66)</f>
        <v>0.33004264069065825</v>
      </c>
      <c r="W66" s="7">
        <f>(Parameters!$B$10*H66^Parameters!$B$9+Parameters!$B$11*V66^Parameters!$B$9)^(Parameters!$B$7/Parameters!$B$9)*O66</f>
        <v>1.3389891778758884</v>
      </c>
      <c r="X66" s="7">
        <f>W66 - D66 - E66 - LN(1+EXP(Parameters!$B$21*C66))/Parameters!$B$21 - IF(C66&gt;0, 0,Parameters!$B$6*C66^2/F66)</f>
        <v>1.0231257049453832</v>
      </c>
      <c r="Y66" s="7">
        <f>EXP(-Parameters!$B$55*A66)</f>
        <v>0.39211504504167288</v>
      </c>
      <c r="Z66" s="7">
        <f>IF(X66&gt;0,X66^(1-Parameters!$B$52)/(1-Parameters!$B$52)*Y66*Parameters!$B$65,-10+X66*1000)</f>
        <v>-1.1113997969258345</v>
      </c>
      <c r="AC66" s="23">
        <f t="shared" si="6"/>
        <v>0.21893111464327022</v>
      </c>
      <c r="AD66" s="23">
        <f t="shared" si="7"/>
        <v>6.0917269614574447</v>
      </c>
      <c r="AE66" s="23">
        <f t="shared" si="8"/>
        <v>392.70870391995231</v>
      </c>
      <c r="AF66" s="23">
        <f t="shared" si="9"/>
        <v>99.27051463167237</v>
      </c>
      <c r="AG66" s="23">
        <f t="shared" si="10"/>
        <v>251.61289634732188</v>
      </c>
      <c r="AH66" s="23">
        <f t="shared" si="11"/>
        <v>402.742338068263</v>
      </c>
      <c r="AI66" s="23">
        <f t="shared" si="12"/>
        <v>307.73664593847604</v>
      </c>
      <c r="AJ66" s="23"/>
      <c r="AK66" s="25">
        <f t="shared" si="1"/>
        <v>402.742338068263</v>
      </c>
      <c r="AL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0.37009053424010258</v>
      </c>
      <c r="AM66" s="32">
        <f>((C67-C65)/2-(F67-F65)/F66/2*C66)/(F66/2/Parameters!$B$5-C66)-((D67-D65)/D66-(G67-G65)/G66)/(G66/2/Parameters!$B$5/D66-1)</f>
        <v>1.2118422986415406E-3</v>
      </c>
      <c r="AN66" s="32">
        <f>+Parameters!$B$5*C66^2/F66^2-Parameters!$B$5*D66^2/G66^2</f>
        <v>-5.0462334318583709E-3</v>
      </c>
      <c r="AO66" s="30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0.47018826028219773</v>
      </c>
      <c r="AP66" s="30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141.42363688009854</v>
      </c>
      <c r="AQ66" s="8">
        <f>1000*(AL66+AM66+AN66)/(EXP(-Parameters!$B$42*A66)*((C66&lt;0)*Parameters!$B$37*EXP(-Parameters!$B$38*AD66)+(C66&gt;=0)*Parameters!$B$41))</f>
        <v>725.68995042791505</v>
      </c>
      <c r="AR66" s="13">
        <f>1-W66/'6states,ExoDamages'!T66</f>
        <v>9.4492517810809029E-2</v>
      </c>
      <c r="AS66" s="21">
        <f>-Y66*W66*X66^(-Parameters!B$52)*Parameters!B$46*Parameters!B$45*N66</f>
        <v>-1.1622039598467627E-5</v>
      </c>
      <c r="AT66" s="7">
        <f>1000*EXP(-(Parameters!$B$54)*'6states'!A66)*AK66*Parameters!B$46*Parameters!B$45*N66</f>
        <v>1.0433056466529949</v>
      </c>
      <c r="AU66" s="7">
        <f>SUM(AT66:AT$204)*EXP(Parameters!$B$54*A66)</f>
        <v>669.62572541599434</v>
      </c>
      <c r="AV66" s="13">
        <f t="shared" si="32"/>
        <v>0.23418048159111951</v>
      </c>
      <c r="AZ66" s="5"/>
      <c r="BA66" s="5"/>
      <c r="BB66" s="5"/>
      <c r="BE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-0.69834797401917603</v>
      </c>
      <c r="BF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-210.0497154785721</v>
      </c>
      <c r="BG66" s="7">
        <f t="shared" si="26"/>
        <v>3.4692279632831141E-2</v>
      </c>
      <c r="BM66">
        <f>EXP(-Parameters!$B$56*A66)*AZ66*BF66</f>
        <v>0</v>
      </c>
      <c r="BN66">
        <f>-EXP((Parameters!$B$56)*F66)*SUM(BM66:BM74)</f>
        <v>0</v>
      </c>
      <c r="BO66">
        <f>X66^-Parameters!B$52/(1-2*Parameters!B$5*'6states'!D66/'6states'!G66)</f>
        <v>1.1302022351340499</v>
      </c>
      <c r="BP66">
        <f t="shared" si="27"/>
        <v>0.99955188816469143</v>
      </c>
      <c r="BQ66">
        <f>$X66^-Parameters!$B$52/(1-2*Parameters!$B$5*'6states'!$E66/'6states'!$H66)</f>
        <v>1.1205696571111372</v>
      </c>
      <c r="BR66">
        <f t="shared" si="21"/>
        <v>1.0001114314208477</v>
      </c>
      <c r="BS66" s="7">
        <f>($X66^-Parameters!$B$52*(1/(1+EXP(-C66)) + IF(C66&lt;0,2*Parameters!$B$6*C66/F66,0)) + BK66*(1/(1+EXP((C66-Parameters!$B$22)*Parameters!$B$21))))/(1-IF(C66&gt;0,2*Parameters!$B$5*C66/F66,0))</f>
        <v>0.48597765690883993</v>
      </c>
      <c r="BT66">
        <f t="shared" si="22"/>
        <v>1.000247447372153</v>
      </c>
      <c r="BU66" s="7">
        <f t="shared" si="34"/>
        <v>1.2022414497836476E-4</v>
      </c>
      <c r="BV66">
        <f>(1/$T66-1/Parameters!$B$13) * LN(Parameters!$B$18) / LN(P66)</f>
        <v>0.22077882277300384</v>
      </c>
      <c r="BW66">
        <f>(Parameters!$B$18*'6states'!T66^+Parameters!$B$19*Parameters!$B$25^'6states'!T66)^((1-'6states'!T66)/'6states'!T66)*Parameters!$B$18*Parameters!$B$26^('6states'!T66-1)</f>
        <v>0.29797215135064542</v>
      </c>
      <c r="BX66">
        <f t="shared" si="28"/>
        <v>0.2127408616140897</v>
      </c>
      <c r="BY66">
        <f t="shared" si="30"/>
        <v>0.14189792542351676</v>
      </c>
      <c r="BZ66">
        <f t="shared" si="31"/>
        <v>0.18660510088460036</v>
      </c>
    </row>
    <row r="67" spans="1:78" x14ac:dyDescent="0.25">
      <c r="A67">
        <f>A66+Parameters!$B$65</f>
        <v>63</v>
      </c>
      <c r="B67">
        <v>2088</v>
      </c>
      <c r="C67" s="74">
        <v>2.4340818829055694E-5</v>
      </c>
      <c r="D67" s="69">
        <v>9.2761149421987973E-2</v>
      </c>
      <c r="E67" s="75">
        <v>0.22077964027945571</v>
      </c>
      <c r="F67" s="7">
        <f>MAX((1-Parameters!$B$4)^Parameters!B$65*F66 + C66*Parameters!B$65 - IF(C66&gt;0,Parameters!$B$5,0)*C66^2/F66*Parameters!B$65, 0.0001)</f>
        <v>1.9003434868400775E-2</v>
      </c>
      <c r="G67" s="7">
        <f>(1-Parameters!$B$4)^Parameters!B$65*G66+D66*Parameters!B$65-Parameters!$B$5*D66^2/G66*Parameters!B$65</f>
        <v>1.3096771452591036</v>
      </c>
      <c r="H67" s="7">
        <f>(1-Parameters!$B$4)^Parameters!B$65*H66+E66*Parameters!B$65-Parameters!$B$5*E66^2/H66*Parameters!B$65</f>
        <v>3.2773690255294481</v>
      </c>
      <c r="I67" s="9">
        <f>I66 *(1-Parameters!$B$4)-C66*(C66&lt;0)*Parameters!B$65</f>
        <v>6.8209239284974755E-4</v>
      </c>
      <c r="J67" s="23">
        <f>J66*(1+Parameters!$B$51)^Parameters!B$65</f>
        <v>9.7931167361443254</v>
      </c>
      <c r="K67" s="23">
        <f>K66*(1+Parameters!$B$53)^Parameters!B$65</f>
        <v>31.418618994141596</v>
      </c>
      <c r="L67" s="23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2.5767758681035628</v>
      </c>
      <c r="M67" s="8">
        <f>M66+L67*Parameters!B$65</f>
        <v>3157.562251532147</v>
      </c>
      <c r="N67" s="7">
        <f>M67*Parameters!$B$45</f>
        <v>1.894537350919288</v>
      </c>
      <c r="O67" s="9">
        <f>EXP(-Parameters!$B$46/2*N67^2)</f>
        <v>0.96457066697764482</v>
      </c>
      <c r="P67" s="8">
        <f>MAX((Parameters!$B$62 + Parameters!$B$31*'6states'!A67 - '6states'!M67 + Parameters!$B$47/Parameters!$B$45)/Parameters!B$62,1)</f>
        <v>50.880754969357071</v>
      </c>
      <c r="Q67" s="7">
        <f>Parameters!B$61*EXP(-Parameters!B$60*A67)</f>
        <v>9.1250465920002147E-2</v>
      </c>
      <c r="R67" s="7">
        <f>(1-Parameters!B$61)*P67^-Parameters!B$63</f>
        <v>0.33753176442766714</v>
      </c>
      <c r="S67" s="7">
        <f>Parameters!B$61*EXP(-Parameters!B$60*A67)+(1-Parameters!B$61)*P67^-Parameters!B$63</f>
        <v>0.42878223034766927</v>
      </c>
      <c r="T67" s="7">
        <f>1-S67/Parameters!$B$12</f>
        <v>0.78560888482616531</v>
      </c>
      <c r="U67" s="7">
        <f t="shared" si="0"/>
        <v>4.6643723980313752</v>
      </c>
      <c r="V67" s="7">
        <f>(Parameters!$B$19*(F67+Parameters!$B$20)^T67+Parameters!$B$18*G67^T67)^(1/T67)</f>
        <v>0.3301495098586254</v>
      </c>
      <c r="W67" s="7">
        <f>(Parameters!$B$10*H67^Parameters!$B$9+Parameters!$B$11*V67^Parameters!$B$9)^(Parameters!$B$7/Parameters!$B$9)*O67</f>
        <v>1.3389297059013801</v>
      </c>
      <c r="X67" s="7">
        <f>W67 - D67 - E67 - LN(1+EXP(Parameters!$B$21*C67))/Parameters!$B$21 - IF(C67&gt;0, 0,Parameters!$B$6*C67^2/F67)</f>
        <v>1.0230662329708748</v>
      </c>
      <c r="Y67" s="7">
        <f>EXP(-Parameters!$B$55*A67)</f>
        <v>0.38623858677860945</v>
      </c>
      <c r="Z67" s="7">
        <f>IF(X67&gt;0,X67^(1-Parameters!$B$52)/(1-Parameters!$B$52)*Y67*Parameters!$B$65,-10+X67*1000)</f>
        <v>-1.0947660028897941</v>
      </c>
      <c r="AC67" s="23">
        <f t="shared" si="6"/>
        <v>0.20987041879085297</v>
      </c>
      <c r="AD67" s="23">
        <f t="shared" si="7"/>
        <v>5.847094728081081</v>
      </c>
      <c r="AE67" s="23">
        <f t="shared" si="8"/>
        <v>402.96958863296396</v>
      </c>
      <c r="AF67" s="23">
        <f t="shared" si="9"/>
        <v>101.58244927514909</v>
      </c>
      <c r="AG67" s="23">
        <f t="shared" si="10"/>
        <v>257.47276897888065</v>
      </c>
      <c r="AH67" s="23">
        <f t="shared" si="11"/>
        <v>411.97019795958312</v>
      </c>
      <c r="AI67" s="23">
        <f t="shared" si="12"/>
        <v>314.78336514988058</v>
      </c>
      <c r="AJ67" s="23"/>
      <c r="AK67" s="25">
        <f t="shared" si="1"/>
        <v>411.97019795958312</v>
      </c>
      <c r="AL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0.37168458326588927</v>
      </c>
      <c r="AM67" s="32">
        <f>((C68-C66)/2-(F68-F66)/F67/2*C67)/(F67/2/Parameters!$B$5-C67)-((D68-D66)/D67-(G68-G66)/G67)/(G67/2/Parameters!$B$5/D67-1)</f>
        <v>1.1538868541413026E-3</v>
      </c>
      <c r="AN67" s="32">
        <f>+Parameters!$B$5*C67^2/F67^2-Parameters!$B$5*D67^2/G67^2</f>
        <v>-5.0148932147967198E-3</v>
      </c>
      <c r="AO67" s="30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0.46555743743077183</v>
      </c>
      <c r="AP67" s="30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143.24560043336444</v>
      </c>
      <c r="AQ67" s="8">
        <f>1000*(AL67+AM67+AN67)/(EXP(-Parameters!$B$42*A67)*((C67&lt;0)*Parameters!$B$37*EXP(-Parameters!$B$38*AD67)+(C67&gt;=0)*Parameters!$B$41))</f>
        <v>736.12013884379996</v>
      </c>
      <c r="AR67" s="13">
        <f>1-W67/'6states,ExoDamages'!T67</f>
        <v>9.4452244042153466E-2</v>
      </c>
      <c r="AS67" s="21">
        <f>-Y67*W67*X67^(-Parameters!B$52)*Parameters!B$46*Parameters!B$45*N67</f>
        <v>-1.1457605176983259E-5</v>
      </c>
      <c r="AT67" s="7">
        <f>1000*EXP(-(Parameters!$B$54)*'6states'!A67)*AK67*Parameters!B$46*Parameters!B$45*N67</f>
        <v>1.0312427112184037</v>
      </c>
      <c r="AU67" s="7">
        <f>SUM(AT67:AT$204)*EXP(Parameters!$B$54*A67)</f>
        <v>684.024099939542</v>
      </c>
      <c r="AV67" s="13">
        <f t="shared" si="32"/>
        <v>0.23419088331390611</v>
      </c>
      <c r="AZ67" s="5"/>
      <c r="BA67" s="5"/>
      <c r="BB67" s="5"/>
      <c r="BE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-0.69272540053261078</v>
      </c>
      <c r="BF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-213.14204855655893</v>
      </c>
      <c r="BG67" s="7">
        <f t="shared" si="26"/>
        <v>3.4649434774977811E-2</v>
      </c>
      <c r="BM67">
        <f>EXP(-Parameters!$B$56*A67)*AZ67*BF67</f>
        <v>0</v>
      </c>
      <c r="BN67">
        <f>-EXP((Parameters!$B$56)*F67)*SUM(BM67:BM75)</f>
        <v>0</v>
      </c>
      <c r="BO67">
        <f>X67^-Parameters!B$52/(1-2*Parameters!B$5*'6states'!D67/'6states'!G67)</f>
        <v>1.1297127968578167</v>
      </c>
      <c r="BP67">
        <f t="shared" si="27"/>
        <v>0.99956694628534759</v>
      </c>
      <c r="BQ67">
        <f>$X67^-Parameters!$B$52/(1-2*Parameters!$B$5*'6states'!$E67/'6states'!$H67)</f>
        <v>1.1206711474606257</v>
      </c>
      <c r="BR67">
        <f t="shared" si="21"/>
        <v>1.0000905703173777</v>
      </c>
      <c r="BS67" s="7">
        <f>($X67^-Parameters!$B$52*(1/(1+EXP(-C67)) + IF(C67&lt;0,2*Parameters!$B$6*C67/F67,0)) + BK67*(1/(1+EXP((C67-Parameters!$B$22)*Parameters!$B$21))))/(1-IF(C67&gt;0,2*Parameters!$B$5*C67/F67,0))</f>
        <v>0.48609281116564473</v>
      </c>
      <c r="BT67">
        <f t="shared" si="22"/>
        <v>1.0002369538088176</v>
      </c>
      <c r="BU67" s="7">
        <f t="shared" si="34"/>
        <v>1.1515425680480584E-4</v>
      </c>
      <c r="BV67">
        <f>(1/$T67-1/Parameters!$B$13) * LN(Parameters!$B$18) / LN(P67)</f>
        <v>0.2204312560078367</v>
      </c>
      <c r="BW67">
        <f>(Parameters!$B$18*'6states'!T67^+Parameters!$B$19*Parameters!$B$25^'6states'!T67)^((1-'6states'!T67)/'6states'!T67)*Parameters!$B$18*Parameters!$B$26^('6states'!T67-1)</f>
        <v>0.29835376598570768</v>
      </c>
      <c r="BX67">
        <f t="shared" si="28"/>
        <v>0.21197840004608223</v>
      </c>
      <c r="BY67">
        <f t="shared" si="30"/>
        <v>0.14169117092388717</v>
      </c>
      <c r="BZ67">
        <f t="shared" si="31"/>
        <v>0.18682022767107753</v>
      </c>
    </row>
    <row r="68" spans="1:78" x14ac:dyDescent="0.25">
      <c r="A68">
        <f>A67+Parameters!$B$65</f>
        <v>64</v>
      </c>
      <c r="B68">
        <v>2089</v>
      </c>
      <c r="C68" s="74">
        <v>2.4340818829055694E-5</v>
      </c>
      <c r="D68" s="69">
        <v>9.2761149421987973E-2</v>
      </c>
      <c r="E68" s="75">
        <v>0.22077964027945571</v>
      </c>
      <c r="F68" s="7">
        <f>MAX((1-Parameters!$B$4)^Parameters!B$65*F67 + C67*Parameters!B$65 - IF(C67&gt;0,Parameters!$B$5,0)*C67^2/F67*Parameters!B$65, 0.0001)</f>
        <v>1.7832428456724714E-2</v>
      </c>
      <c r="G68" s="7">
        <f>(1-Parameters!$B$4)^Parameters!B$65*G67+D67*Parameters!B$65-Parameters!$B$5*D67^2/G67*Parameters!B$65</f>
        <v>1.313489562541581</v>
      </c>
      <c r="H68" s="7">
        <f>(1-Parameters!$B$4)^Parameters!B$65*H67+E67*Parameters!B$65-Parameters!$B$5*E67^2/H67*Parameters!B$65</f>
        <v>3.2771293554703473</v>
      </c>
      <c r="I68" s="9">
        <f>I67 *(1-Parameters!$B$4)-C67*(C67&lt;0)*Parameters!B$65</f>
        <v>6.3918878133949848E-4</v>
      </c>
      <c r="J68" s="23">
        <f>J67*(1+Parameters!$B$51)^Parameters!B$65</f>
        <v>9.821516774679143</v>
      </c>
      <c r="K68" s="23">
        <f>K67*(1+Parameters!$B$53)^Parameters!B$65</f>
        <v>32.046991374024429</v>
      </c>
      <c r="L68" s="23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2.4490819777788109</v>
      </c>
      <c r="M68" s="8">
        <f>M67+L68*Parameters!B$65</f>
        <v>3160.0113335099259</v>
      </c>
      <c r="N68" s="7">
        <f>M68*Parameters!$B$45</f>
        <v>1.8960068001059553</v>
      </c>
      <c r="O68" s="9">
        <f>EXP(-Parameters!$B$46/2*N68^2)</f>
        <v>0.9645166731533088</v>
      </c>
      <c r="P68" s="8">
        <f>MAX((Parameters!$B$62 + Parameters!$B$31*'6states'!A68 - '6states'!M68 + Parameters!$B$47/Parameters!$B$45)/Parameters!B$62,1)</f>
        <v>51.895773329801486</v>
      </c>
      <c r="Q68" s="7">
        <f>Parameters!B$61*EXP(-Parameters!B$60*A68)</f>
        <v>8.8819666797567476E-2</v>
      </c>
      <c r="R68" s="7">
        <f>(1-Parameters!B$61)*P68^-Parameters!B$63</f>
        <v>0.33686570977136199</v>
      </c>
      <c r="S68" s="7">
        <f>Parameters!B$61*EXP(-Parameters!B$60*A68)+(1-Parameters!B$61)*P68^-Parameters!B$63</f>
        <v>0.42568537656892946</v>
      </c>
      <c r="T68" s="7">
        <f>1-S68/Parameters!$B$12</f>
        <v>0.78715731171553527</v>
      </c>
      <c r="U68" s="7">
        <f t="shared" si="0"/>
        <v>4.6983056268463299</v>
      </c>
      <c r="V68" s="7">
        <f>(Parameters!$B$19*(F68+Parameters!$B$20)^T68+Parameters!$B$18*G68^T68)^(1/T68)</f>
        <v>0.33028032546303437</v>
      </c>
      <c r="W68" s="7">
        <f>(Parameters!$B$10*H68^Parameters!$B$9+Parameters!$B$11*V68^Parameters!$B$9)^(Parameters!$B$7/Parameters!$B$9)*O68</f>
        <v>1.3388843713010847</v>
      </c>
      <c r="X68" s="7">
        <f>W68 - D68 - E68 - LN(1+EXP(Parameters!$B$21*C68))/Parameters!$B$21 - IF(C68&gt;0, 0,Parameters!$B$6*C68^2/F68)</f>
        <v>1.0230208983705795</v>
      </c>
      <c r="Y68" s="7">
        <f>EXP(-Parameters!$B$55*A68)</f>
        <v>0.38045019644906247</v>
      </c>
      <c r="Z68" s="7">
        <f>IF(X68&gt;0,X68^(1-Parameters!$B$52)/(1-Parameters!$B$52)*Y68*Parameters!$B$65,-10+X68*1000)</f>
        <v>-1.0783759443739713</v>
      </c>
      <c r="AC68" s="23">
        <f t="shared" si="6"/>
        <v>0.20118470942431638</v>
      </c>
      <c r="AD68" s="23">
        <f t="shared" si="7"/>
        <v>5.6127579865807267</v>
      </c>
      <c r="AE68" s="23">
        <f t="shared" si="8"/>
        <v>413.42092303000641</v>
      </c>
      <c r="AF68" s="23">
        <f t="shared" si="9"/>
        <v>103.95575336538391</v>
      </c>
      <c r="AG68" s="23">
        <f t="shared" si="10"/>
        <v>263.4881897538466</v>
      </c>
      <c r="AH68" s="23">
        <f t="shared" si="11"/>
        <v>421.41394069602399</v>
      </c>
      <c r="AI68" s="23">
        <f t="shared" si="12"/>
        <v>321.99589257867621</v>
      </c>
      <c r="AJ68" s="23"/>
      <c r="AK68" s="25">
        <f t="shared" ref="AK68:AK131" si="35">W68*K68*J68</f>
        <v>421.41394069602393</v>
      </c>
      <c r="AL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0.37308714365248119</v>
      </c>
      <c r="AM68" s="32">
        <f>((C69-C67)/2-(F69-F67)/F68/2*C68)/(F68/2/Parameters!$B$5-C68)-((D69-D67)/D68-(G69-G67)/G68)/(G68/2/Parameters!$B$5/D68-1)</f>
        <v>1.1012460480998396E-3</v>
      </c>
      <c r="AN68" s="32">
        <f>+Parameters!$B$5*C68^2/F68^2-Parameters!$B$5*D68^2/G68^2</f>
        <v>-4.9855918487369776E-3</v>
      </c>
      <c r="AO68" s="30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0.46097528383729852</v>
      </c>
      <c r="AP68" s="30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145.09199979425193</v>
      </c>
      <c r="AQ68" s="8">
        <f>1000*(AL68+AM68+AN68)/(EXP(-Parameters!$B$42*A68)*((C68&lt;0)*Parameters!$B$37*EXP(-Parameters!$B$38*AD68)+(C68&gt;=0)*Parameters!$B$41))</f>
        <v>746.30622529556626</v>
      </c>
      <c r="AR68" s="13">
        <f>1-W68/'6states,ExoDamages'!T68</f>
        <v>9.4407362386022986E-2</v>
      </c>
      <c r="AS68" s="21">
        <f>-Y68*W68*X68^(-Parameters!B$52)*Parameters!B$46*Parameters!B$45*N68</f>
        <v>-1.1294941882856591E-5</v>
      </c>
      <c r="AT68" s="7">
        <f>1000*EXP(-(Parameters!$B$54)*'6states'!A68)*AK68*Parameters!B$46*Parameters!B$45*N68</f>
        <v>1.0192881437632502</v>
      </c>
      <c r="AU68" s="7">
        <f>SUM(AT68:AT$204)*EXP(Parameters!$B$54*A68)</f>
        <v>698.71068283508828</v>
      </c>
      <c r="AV68" s="13">
        <f t="shared" si="32"/>
        <v>0.23419881301292675</v>
      </c>
      <c r="AZ68" s="5"/>
      <c r="BA68" s="5"/>
      <c r="BB68" s="5"/>
      <c r="BE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-0.68723278518995212</v>
      </c>
      <c r="BF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-216.30656268021761</v>
      </c>
      <c r="BG68" s="7">
        <f t="shared" ref="BG68:BG99" si="36">I68/(F68+I68)</f>
        <v>3.460383425563468E-2</v>
      </c>
      <c r="BM68">
        <f>EXP(-Parameters!$B$56*A68)*AZ68*BF68</f>
        <v>0</v>
      </c>
      <c r="BN68">
        <f>-EXP((Parameters!$B$56)*F68)*SUM(BM68:BM76)</f>
        <v>0</v>
      </c>
      <c r="BO68">
        <f>X68^-Parameters!B$52/(1-2*Parameters!B$5*'6states'!D68/'6states'!G68)</f>
        <v>1.12923946587696</v>
      </c>
      <c r="BP68">
        <f t="shared" si="27"/>
        <v>0.99958101653608489</v>
      </c>
      <c r="BQ68">
        <f>$X68^-Parameters!$B$52/(1-2*Parameters!$B$5*'6states'!$E68/'6states'!$H68)</f>
        <v>1.1207509542292098</v>
      </c>
      <c r="BR68">
        <f t="shared" si="21"/>
        <v>1.0000712133695642</v>
      </c>
      <c r="BS68" s="7">
        <f>($X68^-Parameters!$B$52*(1/(1+EXP(-C68)) + IF(C68&lt;0,2*Parameters!$B$6*C68/F68,0)) + BK68*(1/(1+EXP((C68-Parameters!$B$22)*Parameters!$B$21))))/(1-IF(C68&gt;0,2*Parameters!$B$5*C68/F68,0))</f>
        <v>0.48620389172557754</v>
      </c>
      <c r="BT68">
        <f t="shared" si="22"/>
        <v>1.0002285171831002</v>
      </c>
      <c r="BU68" s="7">
        <f t="shared" si="34"/>
        <v>1.1108055993280797E-4</v>
      </c>
      <c r="BV68">
        <f>(1/$T68-1/Parameters!$B$13) * LN(Parameters!$B$18) / LN(P68)</f>
        <v>0.22008404839889126</v>
      </c>
      <c r="BW68">
        <f>(Parameters!$B$18*'6states'!T68^+Parameters!$B$19*Parameters!$B$25^'6states'!T68)^((1-'6states'!T68)/'6states'!T68)*Parameters!$B$18*Parameters!$B$26^('6states'!T68-1)</f>
        <v>0.29871991717470869</v>
      </c>
      <c r="BX68">
        <f t="shared" si="28"/>
        <v>0.21122872702265658</v>
      </c>
      <c r="BY68">
        <f t="shared" si="30"/>
        <v>0.14148458033384081</v>
      </c>
      <c r="BZ68">
        <f t="shared" si="31"/>
        <v>0.18702658379742687</v>
      </c>
    </row>
    <row r="69" spans="1:78" s="4" customFormat="1" x14ac:dyDescent="0.25">
      <c r="A69" s="4">
        <f>A68+Parameters!$B$65</f>
        <v>65</v>
      </c>
      <c r="B69">
        <v>2090</v>
      </c>
      <c r="C69" s="74">
        <v>2.4340818829055694E-5</v>
      </c>
      <c r="D69" s="69">
        <v>9.2761149421987973E-2</v>
      </c>
      <c r="E69" s="75">
        <v>0.22077964027945571</v>
      </c>
      <c r="F69" s="7">
        <f>MAX((1-Parameters!$B$4)^Parameters!B$65*F68 + C68*Parameters!B$65 - IF(C68&gt;0,Parameters!$B$5,0)*C68^2/F68*Parameters!B$65, 0.0001)</f>
        <v>1.673507630101688E-2</v>
      </c>
      <c r="G69" s="16">
        <f>(1-Parameters!$B$4)^Parameters!B$65*G68+D68*Parameters!B$65-Parameters!$B$5*D68^2/G68*Parameters!B$65</f>
        <v>1.3170812483863907</v>
      </c>
      <c r="H69" s="16">
        <f>(1-Parameters!$B$4)^Parameters!B$65*H68+E68*Parameters!B$65-Parameters!$B$5*E68^2/H68*Parameters!B$65</f>
        <v>3.2769036729485266</v>
      </c>
      <c r="I69" s="9">
        <f>I68 *(1-Parameters!$B$4)-C68*(C68&lt;0)*Parameters!B$65</f>
        <v>5.9898380699324402E-4</v>
      </c>
      <c r="J69" s="44">
        <f>J68*(1+Parameters!$B$51)^Parameters!B$65</f>
        <v>9.8499991733257115</v>
      </c>
      <c r="K69" s="44">
        <f>K68*(1+Parameters!$B$53)^Parameters!B$65</f>
        <v>32.687931201504917</v>
      </c>
      <c r="L69" s="23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2.3279359986973849</v>
      </c>
      <c r="M69" s="25">
        <f>M68+L69*Parameters!B$65</f>
        <v>3162.3392695086231</v>
      </c>
      <c r="N69" s="16">
        <f>M69*Parameters!$B$45</f>
        <v>1.8974035617051737</v>
      </c>
      <c r="O69" s="9">
        <f>EXP(-Parameters!$B$46/2*N69^2)</f>
        <v>0.96446531417791836</v>
      </c>
      <c r="P69" s="8">
        <f>MAX((Parameters!$B$62 + Parameters!$B$31*'6states'!A69 - '6states'!M69 + Parameters!$B$47/Parameters!$B$45)/Parameters!B$62,1)</f>
        <v>52.913214609827534</v>
      </c>
      <c r="Q69" s="7">
        <f>Parameters!B$61*EXP(-Parameters!B$60*A69)</f>
        <v>8.6453621145858195E-2</v>
      </c>
      <c r="R69" s="7">
        <f>(1-Parameters!B$61)*P69^-Parameters!B$63</f>
        <v>0.33621229382221862</v>
      </c>
      <c r="S69" s="7">
        <f>Parameters!B$61*EXP(-Parameters!B$60*A69)+(1-Parameters!B$61)*P69^-Parameters!B$63</f>
        <v>0.42266591496807682</v>
      </c>
      <c r="T69" s="16">
        <f>1-S69/Parameters!$B$12</f>
        <v>0.78866704251596165</v>
      </c>
      <c r="U69" s="16">
        <f t="shared" ref="U69:U132" si="37">1/(1-T69)</f>
        <v>4.7318696142106864</v>
      </c>
      <c r="V69" s="7">
        <f>(Parameters!$B$19*(F69+Parameters!$B$20)^T69+Parameters!$B$18*G69^T69)^(1/T69)</f>
        <v>0.33043312391894802</v>
      </c>
      <c r="W69" s="16">
        <f>(Parameters!$B$10*H69^Parameters!$B$9+Parameters!$B$11*V69^Parameters!$B$9)^(Parameters!$B$7/Parameters!$B$9)*O69</f>
        <v>1.3388521191820266</v>
      </c>
      <c r="X69" s="7">
        <f>W69 - D69 - E69 - LN(1+EXP(Parameters!$B$21*C69))/Parameters!$B$21 - IF(C69&gt;0, 0,Parameters!$B$6*C69^2/F69)</f>
        <v>1.0229886462515214</v>
      </c>
      <c r="Y69" s="16">
        <f>EXP(-Parameters!$B$55*A69)</f>
        <v>0.37474855421707526</v>
      </c>
      <c r="Z69" s="16">
        <f>IF(X69&gt;0,X69^(1-Parameters!$B$52)/(1-Parameters!$B$52)*Y69*Parameters!$B$65,-10+X69*1000)</f>
        <v>-1.0622265123584258</v>
      </c>
      <c r="AC69" s="23">
        <f t="shared" ref="AC69:AC132" si="38">I69*J69*K69</f>
        <v>0.19285846733113149</v>
      </c>
      <c r="AD69" s="23">
        <f t="shared" ref="AD69:AD132" si="39">F69*J69*K69</f>
        <v>5.3882945221590273</v>
      </c>
      <c r="AE69" s="23">
        <f t="shared" ref="AE69:AE132" si="40">G69*J69*K69</f>
        <v>424.06867756483041</v>
      </c>
      <c r="AF69" s="23">
        <f t="shared" ref="AF69:AF132" si="41">V69*J69*K69</f>
        <v>106.39156700135123</v>
      </c>
      <c r="AG69" s="23">
        <f t="shared" ref="AG69:AG132" si="42">AF69/AF$4*100</f>
        <v>269.66204838832681</v>
      </c>
      <c r="AH69" s="23">
        <f t="shared" ref="AH69:AH132" si="43">W69*J69*K69</f>
        <v>431.07837753516333</v>
      </c>
      <c r="AI69" s="23">
        <f t="shared" ref="AI69:AI132" si="44">X69*J69*K69</f>
        <v>329.37788986913756</v>
      </c>
      <c r="AJ69" s="23"/>
      <c r="AK69" s="25">
        <f t="shared" si="35"/>
        <v>431.07837753516333</v>
      </c>
      <c r="AL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0.37430444841922139</v>
      </c>
      <c r="AM69" s="42">
        <f>((C70-C68)/2-(F70-F68)/F69/2*C69)/(F69/2/Parameters!$B$5-C69)-((D70-D68)/D69-(G70-G68)/G69)/(G69/2/Parameters!$B$5/D69-1)</f>
        <v>9.4821947881617902E-4</v>
      </c>
      <c r="AN69" s="42">
        <f>+Parameters!$B$5*C69^2/F69^2-Parameters!$B$5*D69^2/G69^2</f>
        <v>-4.9581749658561009E-3</v>
      </c>
      <c r="AO69" s="30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0.4564414492632578</v>
      </c>
      <c r="AP69" s="30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146.96323557258566</v>
      </c>
      <c r="AQ69" s="25">
        <f>1000*(AL69+AM69+AN69)/(EXP(-Parameters!$B$42*A69)*((C69&lt;0)*Parameters!$B$37*EXP(-Parameters!$B$38*AD69)+(C69&gt;=0)*Parameters!$B$41))</f>
        <v>756.03565729513116</v>
      </c>
      <c r="AR69" s="43">
        <f>1-W69/'6states,ExoDamages'!T69</f>
        <v>9.4358295296619432E-2</v>
      </c>
      <c r="AS69" s="21">
        <f>-Y69*W69*X69^(-Parameters!B$52)*Parameters!B$46*Parameters!B$45*N69</f>
        <v>-1.113407127632851E-5</v>
      </c>
      <c r="AT69" s="16">
        <f>1000*EXP(-(Parameters!$B$54)*'6states'!A69)*AK69*Parameters!B$46*Parameters!B$45*N69</f>
        <v>1.0074428024272528</v>
      </c>
      <c r="AU69" s="16">
        <f>SUM(AT69:AT$204)*EXP(Parameters!$B$54*A69)</f>
        <v>713.69070384140832</v>
      </c>
      <c r="AV69" s="43">
        <f t="shared" si="32"/>
        <v>0.23420445471740803</v>
      </c>
      <c r="AW69" s="16"/>
      <c r="AX69" s="16"/>
      <c r="AY69" s="16"/>
      <c r="AZ69" s="5"/>
      <c r="BA69" s="5"/>
      <c r="BB69" s="5"/>
      <c r="BC69"/>
      <c r="BD69"/>
      <c r="BE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-0.6818728981619715</v>
      </c>
      <c r="BF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-219.54677324964442</v>
      </c>
      <c r="BG69" s="7">
        <f t="shared" si="36"/>
        <v>3.4555309215551396E-2</v>
      </c>
      <c r="BH69"/>
      <c r="BI69"/>
      <c r="BJ69"/>
      <c r="BK69"/>
      <c r="BM69">
        <f>EXP(-Parameters!$B$56*A69)*AZ69*BF69</f>
        <v>0</v>
      </c>
      <c r="BN69">
        <f>-EXP((Parameters!$B$56)*F69)*SUM(BM69:BM77)</f>
        <v>0</v>
      </c>
      <c r="BO69">
        <f>X69^-Parameters!B$52/(1-2*Parameters!B$5*'6states'!D69/'6states'!G69)</f>
        <v>1.1287812435997016</v>
      </c>
      <c r="BP69">
        <f t="shared" ref="BP69:BP100" si="45">BO69/BO68</f>
        <v>0.99959422045446966</v>
      </c>
      <c r="BQ69">
        <f>$X69^-Parameters!$B$52/(1-2*Parameters!$B$5*'6states'!$E69/'6states'!$H69)</f>
        <v>1.1208106761000878</v>
      </c>
      <c r="BR69">
        <f t="shared" si="21"/>
        <v>1.0000532873700911</v>
      </c>
      <c r="BS69" s="7">
        <f>($X69^-Parameters!$B$52*(1/(1+EXP(-C69)) + IF(C69&lt;0,2*Parameters!$B$6*C69/F69,0)) + BK69*(1/(1+EXP((C69-Parameters!$B$22)*Parameters!$B$21))))/(1-IF(C69&gt;0,2*Parameters!$B$5*C69/F69,0))</f>
        <v>0.48631187774547235</v>
      </c>
      <c r="BT69">
        <f t="shared" si="22"/>
        <v>1.0002221002787772</v>
      </c>
      <c r="BU69" s="7">
        <f t="shared" si="34"/>
        <v>1.0798601989481238E-4</v>
      </c>
      <c r="BV69">
        <f>(1/$T69-1/Parameters!$B$13) * LN(Parameters!$B$18) / LN(P69)</f>
        <v>0.21973732169340782</v>
      </c>
      <c r="BW69">
        <f>(Parameters!$B$18*'6states'!T69^+Parameters!$B$19*Parameters!$B$25^'6states'!T69)^((1-'6states'!T69)/'6states'!T69)*Parameters!$B$18*Parameters!$B$26^('6states'!T69-1)</f>
        <v>0.29907132533413266</v>
      </c>
      <c r="BX69">
        <f t="shared" ref="BX69:BX88" si="46">(LN(BW69)-LN(BW$4))/ LN(P69)</f>
        <v>0.21049158064985041</v>
      </c>
      <c r="BY69">
        <f t="shared" si="30"/>
        <v>0.1412782262621689</v>
      </c>
      <c r="BZ69">
        <f t="shared" si="31"/>
        <v>0.18722458177571577</v>
      </c>
    </row>
    <row r="70" spans="1:78" s="38" customFormat="1" x14ac:dyDescent="0.25">
      <c r="A70" s="38">
        <f>A69+Parameters!$B$65</f>
        <v>66</v>
      </c>
      <c r="B70">
        <v>2091</v>
      </c>
      <c r="C70" s="74">
        <v>1.7261101807794792E-5</v>
      </c>
      <c r="D70" s="69">
        <v>9.258071521116483E-2</v>
      </c>
      <c r="E70" s="75">
        <v>0.22086361996021298</v>
      </c>
      <c r="F70" s="7">
        <f>MAX((1-Parameters!$B$4)^Parameters!B$65*F69 + C69*Parameters!B$65 - IF(C69&gt;0,Parameters!$B$5,0)*C69^2/F69*Parameters!B$65, 0.0001)</f>
        <v>1.5706745417299547E-2</v>
      </c>
      <c r="G70" s="39">
        <f>(1-Parameters!$B$4)^Parameters!B$65*G69+D69*Parameters!B$65-Parameters!$B$5*D69^2/G69*Parameters!B$65</f>
        <v>1.3204648817132707</v>
      </c>
      <c r="H70" s="39">
        <f>(1-Parameters!$B$4)^Parameters!B$65*H69+E69*Parameters!B$65-Parameters!$B$5*E69^2/H69*Parameters!B$65</f>
        <v>3.2766911614829453</v>
      </c>
      <c r="I70" s="9">
        <f>I69 *(1-Parameters!$B$4)-C69*(C69&lt;0)*Parameters!B$65</f>
        <v>5.6130772553336899E-4</v>
      </c>
      <c r="J70" s="41">
        <f>J69*(1+Parameters!$B$51)^Parameters!B$65</f>
        <v>9.8785641709283549</v>
      </c>
      <c r="K70" s="41">
        <f>K69*(1+Parameters!$B$53)^Parameters!B$65</f>
        <v>33.341689825535013</v>
      </c>
      <c r="L70" s="23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2.2130050675658057</v>
      </c>
      <c r="M70" s="37">
        <f>M69+L70*Parameters!B$65</f>
        <v>3164.5522745761891</v>
      </c>
      <c r="N70" s="39">
        <f>M70*Parameters!$B$45</f>
        <v>1.8987313647457134</v>
      </c>
      <c r="O70" s="9">
        <f>EXP(-Parameters!$B$46/2*N70^2)</f>
        <v>0.9644164582828606</v>
      </c>
      <c r="P70" s="8">
        <f>MAX((Parameters!$B$62 + Parameters!$B$31*'6states'!A70 - '6states'!M70 + Parameters!$B$47/Parameters!$B$45)/Parameters!B$62,1)</f>
        <v>53.932954508476222</v>
      </c>
      <c r="Q70" s="7">
        <f>Parameters!B$61*EXP(-Parameters!B$60*A70)</f>
        <v>8.415060401280719E-2</v>
      </c>
      <c r="R70" s="7">
        <f>(1-Parameters!B$61)*P70^-Parameters!B$63</f>
        <v>0.33557112441636783</v>
      </c>
      <c r="S70" s="7">
        <f>Parameters!B$61*EXP(-Parameters!B$60*A70)+(1-Parameters!B$61)*P70^-Parameters!B$63</f>
        <v>0.41972172842917499</v>
      </c>
      <c r="T70" s="39">
        <f>1-S70/Parameters!$B$12</f>
        <v>0.79013913578541251</v>
      </c>
      <c r="U70" s="39">
        <f t="shared" si="37"/>
        <v>4.7650618601164121</v>
      </c>
      <c r="V70" s="7">
        <f>(Parameters!$B$19*(F70+Parameters!$B$20)^T70+Parameters!$B$18*G70^T70)^(1/T70)</f>
        <v>0.33060604737799348</v>
      </c>
      <c r="W70" s="39">
        <f>(Parameters!$B$10*H70^Parameters!$B$9+Parameters!$B$11*V70^Parameters!$B$9)^(Parameters!$B$7/Parameters!$B$9)*O70</f>
        <v>1.3388319482690598</v>
      </c>
      <c r="X70" s="7">
        <f>W70 - D70 - E70 - LN(1+EXP(Parameters!$B$21*C70))/Parameters!$B$21 - IF(C70&gt;0, 0,Parameters!$B$6*C70^2/F70)</f>
        <v>1.0230684807719628</v>
      </c>
      <c r="Y70" s="39">
        <f>EXP(-Parameters!$B$55*A70)</f>
        <v>0.36913236002650052</v>
      </c>
      <c r="Z70" s="39">
        <f>IF(X70&gt;0,X70^(1-Parameters!$B$52)/(1-Parameters!$B$52)*Y70*Parameters!$B$65,-10+X70*1000)</f>
        <v>-1.0462788064084401</v>
      </c>
      <c r="AC70" s="23">
        <f t="shared" si="38"/>
        <v>0.18487681557780244</v>
      </c>
      <c r="AD70" s="23">
        <f t="shared" si="39"/>
        <v>5.1732996781441143</v>
      </c>
      <c r="AE70" s="23">
        <f t="shared" si="40"/>
        <v>434.91890688213283</v>
      </c>
      <c r="AF70" s="23">
        <f t="shared" si="41"/>
        <v>108.89106005431942</v>
      </c>
      <c r="AG70" s="23">
        <f t="shared" si="42"/>
        <v>275.99731005983909</v>
      </c>
      <c r="AH70" s="23">
        <f t="shared" si="43"/>
        <v>440.96843127289947</v>
      </c>
      <c r="AI70" s="23">
        <f t="shared" si="44"/>
        <v>336.96604240287888</v>
      </c>
      <c r="AJ70" s="23"/>
      <c r="AK70" s="37">
        <f t="shared" si="35"/>
        <v>440.96843127289941</v>
      </c>
      <c r="AL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0.37572556533762302</v>
      </c>
      <c r="AM70" s="42">
        <f>((C71-C69)/2-(F71-F69)/F70/2*C70)/(F70/2/Parameters!$B$5-C70)-((D71-D69)/D70-(G71-G69)/G70)/(G70/2/Parameters!$B$5/D70-1)</f>
        <v>7.9876635021349971E-4</v>
      </c>
      <c r="AN70" s="42">
        <f>+Parameters!$B$5*C70^2/F70^2-Parameters!$B$5*D70^2/G70^2</f>
        <v>-4.914514713887084E-3</v>
      </c>
      <c r="AO70" s="30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0.45195559299569238</v>
      </c>
      <c r="AP70" s="30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148.85971992675462</v>
      </c>
      <c r="AQ70" s="37">
        <f>1000*(AL70+AM70+AN70)/(EXP(-Parameters!$B$42*A70)*((C70&lt;0)*Parameters!$B$37*EXP(-Parameters!$B$38*AD70)+(C70&gt;=0)*Parameters!$B$41))</f>
        <v>766.34644810524389</v>
      </c>
      <c r="AR70" s="43">
        <f>1-W70/'6states,ExoDamages'!T70</f>
        <v>9.4305445268753951E-2</v>
      </c>
      <c r="AS70" s="21">
        <f>-Y70*W70*X70^(-Parameters!B$52)*Parameters!B$46*Parameters!B$45*N70</f>
        <v>-1.0973563151142494E-5</v>
      </c>
      <c r="AT70" s="39">
        <f>1000*EXP(-(Parameters!$B$54)*'6states'!A70)*AK70*Parameters!B$46*Parameters!B$45*N70</f>
        <v>0.99570740083517839</v>
      </c>
      <c r="AU70" s="39">
        <f>SUM(AT70:AT$204)*EXP(Parameters!$B$54*A70)</f>
        <v>728.96945956471438</v>
      </c>
      <c r="AW70" s="39"/>
      <c r="AX70" s="39"/>
      <c r="AY70" s="39"/>
      <c r="AZ70" s="5"/>
      <c r="BA70" s="5"/>
      <c r="BB70" s="5"/>
      <c r="BC70"/>
      <c r="BD70"/>
      <c r="BE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-0.67664869617789813</v>
      </c>
      <c r="BF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-222.86644299322927</v>
      </c>
      <c r="BG70" s="7">
        <f t="shared" si="36"/>
        <v>3.4503681577943437E-2</v>
      </c>
      <c r="BH70"/>
      <c r="BI70"/>
      <c r="BJ70"/>
      <c r="BK70"/>
      <c r="BM70">
        <f>EXP(-Parameters!$B$56*A70)*AZ70*BF70</f>
        <v>0</v>
      </c>
      <c r="BN70">
        <f>-EXP((Parameters!$B$56)*F70)*SUM(BM70:BM78)</f>
        <v>0</v>
      </c>
      <c r="BO70">
        <f>X70^-Parameters!B$52/(1-2*Parameters!B$5*'6states'!D70/'6states'!G70)</f>
        <v>1.1278297486571167</v>
      </c>
      <c r="BP70">
        <f t="shared" si="45"/>
        <v>0.99915705992814829</v>
      </c>
      <c r="BQ70">
        <f>$X70^-Parameters!$B$52/(1-2*Parameters!$B$5*'6states'!$E70/'6states'!$H70)</f>
        <v>1.1207703205199595</v>
      </c>
      <c r="BR70">
        <f t="shared" si="21"/>
        <v>0.99996399429360483</v>
      </c>
      <c r="BS70" s="7">
        <f>($X70^-Parameters!$B$52*(1/(1+EXP(-C70)) + IF(C70&lt;0,2*Parameters!$B$6*C70/F70,0)) + BK70*(1/(1+EXP((C70-Parameters!$B$22)*Parameters!$B$21))))/(1-IF(C70&gt;0,2*Parameters!$B$5*C70/F70,0))</f>
        <v>0.48591241672236374</v>
      </c>
      <c r="BT70">
        <f t="shared" si="22"/>
        <v>0.99917859085622074</v>
      </c>
      <c r="BU70" s="7">
        <f t="shared" si="34"/>
        <v>-3.9946102310861598E-4</v>
      </c>
      <c r="BV70">
        <f>(1/$T70-1/Parameters!$B$13) * LN(Parameters!$B$18) / LN(P70)</f>
        <v>0.21939118696923174</v>
      </c>
      <c r="BW70">
        <f>(Parameters!$B$18*'6states'!T70^+Parameters!$B$19*Parameters!$B$25^'6states'!T70)^((1-'6states'!T70)/'6states'!T70)*Parameters!$B$18*Parameters!$B$26^('6states'!T70-1)</f>
        <v>0.29940867387767223</v>
      </c>
      <c r="BX70">
        <f t="shared" si="46"/>
        <v>0.20976670062227262</v>
      </c>
      <c r="BY70">
        <f t="shared" si="30"/>
        <v>0.14107217503499481</v>
      </c>
      <c r="BZ70">
        <f t="shared" si="31"/>
        <v>0.18741461261468728</v>
      </c>
    </row>
    <row r="71" spans="1:78" x14ac:dyDescent="0.25">
      <c r="A71">
        <f>A70+Parameters!$B$65</f>
        <v>67</v>
      </c>
      <c r="B71">
        <v>2092</v>
      </c>
      <c r="C71" s="74">
        <v>1.7261101807794792E-5</v>
      </c>
      <c r="D71" s="69">
        <v>9.258071521116483E-2</v>
      </c>
      <c r="E71" s="75">
        <v>0.22086361996021298</v>
      </c>
      <c r="F71" s="7">
        <f>MAX((1-Parameters!$B$4)^Parameters!B$65*F70 + C70*Parameters!B$65 - IF(C70&gt;0,Parameters!$B$5,0)*C70^2/F70*Parameters!B$65, 0.0001)</f>
        <v>1.4736033263080225E-2</v>
      </c>
      <c r="G71" s="7">
        <f>(1-Parameters!$B$4)^Parameters!B$65*G70+D70*Parameters!B$65-Parameters!$B$5*D70^2/G70*Parameters!B$65</f>
        <v>1.3234973170284923</v>
      </c>
      <c r="H71" s="7">
        <f>(1-Parameters!$B$4)^Parameters!B$65*H70+E70*Parameters!B$65-Parameters!$B$5*E70^2/H70*Parameters!B$65</f>
        <v>3.2765637128906113</v>
      </c>
      <c r="I71" s="9">
        <f>I70 *(1-Parameters!$B$4)-C70*(C70&lt;0)*Parameters!B$65</f>
        <v>5.2600146959732013E-4</v>
      </c>
      <c r="J71" s="23">
        <f>J70*(1+Parameters!$B$51)^Parameters!B$65</f>
        <v>9.9072120070240466</v>
      </c>
      <c r="K71" s="23">
        <f>K70*(1+Parameters!$B$53)^Parameters!B$65</f>
        <v>34.008523622045715</v>
      </c>
      <c r="L71" s="23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2.1029086347954391</v>
      </c>
      <c r="M71" s="8">
        <f>M70+L71*Parameters!B$65</f>
        <v>3166.6551832109844</v>
      </c>
      <c r="N71" s="7">
        <f>M71*Parameters!$B$45</f>
        <v>1.8999931099265905</v>
      </c>
      <c r="O71" s="9">
        <f>EXP(-Parameters!$B$46/2*N71^2)</f>
        <v>0.96437000358234404</v>
      </c>
      <c r="P71" s="8">
        <f>MAX((Parameters!$B$62 + Parameters!$B$31*'6states'!A71 - '6states'!M71 + Parameters!$B$47/Parameters!$B$45)/Parameters!B$62,1)</f>
        <v>54.954896335780312</v>
      </c>
      <c r="Q71" s="7">
        <f>Parameters!B$61*EXP(-Parameters!B$60*A71)</f>
        <v>8.1908936396928839E-2</v>
      </c>
      <c r="R71" s="7">
        <f>(1-Parameters!B$61)*P71^-Parameters!B$63</f>
        <v>0.33494181166142617</v>
      </c>
      <c r="S71" s="7">
        <f>Parameters!B$61*EXP(-Parameters!B$60*A71)+(1-Parameters!B$61)*P71^-Parameters!B$63</f>
        <v>0.41685074805835498</v>
      </c>
      <c r="T71" s="7">
        <f>1-S71/Parameters!$B$12</f>
        <v>0.79157462597082251</v>
      </c>
      <c r="U71" s="7">
        <f t="shared" si="37"/>
        <v>4.7978803188330126</v>
      </c>
      <c r="V71" s="7">
        <f>(Parameters!$B$19*(F71+Parameters!$B$20)^T71+Parameters!$B$18*G71^T71)^(1/T71)</f>
        <v>0.33075360554648747</v>
      </c>
      <c r="W71" s="7">
        <f>(Parameters!$B$10*H71^Parameters!$B$9+Parameters!$B$11*V71^Parameters!$B$9)^(Parameters!$B$7/Parameters!$B$9)*O71</f>
        <v>1.3388125451066077</v>
      </c>
      <c r="X71" s="7">
        <f>W71 - D71 - E71 - LN(1+EXP(Parameters!$B$21*C71))/Parameters!$B$21 - IF(C71&gt;0, 0,Parameters!$B$6*C71^2/F71)</f>
        <v>1.0230490776095107</v>
      </c>
      <c r="Y71" s="7">
        <f>EXP(-Parameters!$B$55*A71)</f>
        <v>0.3636003333045692</v>
      </c>
      <c r="Z71" s="7">
        <f>IF(X71&gt;0,X71^(1-Parameters!$B$52)/(1-Parameters!$B$52)*Y71*Parameters!$B$65,-10+X71*1000)</f>
        <v>-1.0306055205052338</v>
      </c>
      <c r="AC71" s="23">
        <f t="shared" si="38"/>
        <v>0.17722549292846887</v>
      </c>
      <c r="AD71" s="23">
        <f t="shared" si="39"/>
        <v>4.965006582318134</v>
      </c>
      <c r="AE71" s="23">
        <f t="shared" si="40"/>
        <v>445.92549252656232</v>
      </c>
      <c r="AF71" s="23">
        <f t="shared" si="41"/>
        <v>111.4406977336385</v>
      </c>
      <c r="AG71" s="23">
        <f t="shared" si="42"/>
        <v>282.45966923577373</v>
      </c>
      <c r="AH71" s="23">
        <f t="shared" si="43"/>
        <v>451.08564701725953</v>
      </c>
      <c r="AI71" s="23">
        <f t="shared" si="44"/>
        <v>344.695571303561</v>
      </c>
      <c r="AJ71" s="23"/>
      <c r="AK71" s="25">
        <f t="shared" si="35"/>
        <v>451.08564701725953</v>
      </c>
      <c r="AL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0.3768413903195042</v>
      </c>
      <c r="AM71" s="32">
        <f>((C72-C70)/2-(F72-F70)/F71/2*C71)/(F71/2/Parameters!$B$5-C71)-((D72-D70)/D71-(G72-G70)/G71)/(G71/2/Parameters!$B$5/D71-1)</f>
        <v>8.7358668023229907E-4</v>
      </c>
      <c r="AN71" s="32">
        <f>+Parameters!$B$5*C71^2/F71^2-Parameters!$B$5*D71^2/G71^2</f>
        <v>-4.8918500762040193E-3</v>
      </c>
      <c r="AO71" s="30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0.44750030769476068</v>
      </c>
      <c r="AP71" s="30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150.77612364383688</v>
      </c>
      <c r="AQ71" s="8">
        <f>1000*(AL71+AM71+AN71)/(EXP(-Parameters!$B$42*A71)*((C71&lt;0)*Parameters!$B$37*EXP(-Parameters!$B$38*AD71)+(C71&gt;=0)*Parameters!$B$41))</f>
        <v>776.57563395941168</v>
      </c>
      <c r="AR71" s="13">
        <f>1-W71/'6states,ExoDamages'!T71</f>
        <v>9.4256228829642463E-2</v>
      </c>
      <c r="AS71" s="21">
        <f>-Y71*W71*X71^(-Parameters!B$52)*Parameters!B$46*Parameters!B$45*N71</f>
        <v>-1.0816410166754051E-5</v>
      </c>
      <c r="AT71" s="7">
        <f>1000*EXP(-(Parameters!$B$54)*'6states'!A71)*AK71*Parameters!B$46*Parameters!B$45*N71</f>
        <v>0.98407457056767034</v>
      </c>
      <c r="AU71" s="7">
        <f>SUM(AT71:AT$204)*EXP(Parameters!$B$54*A71)</f>
        <v>744.55231330398772</v>
      </c>
      <c r="AZ71" s="5"/>
      <c r="BA71" s="5"/>
      <c r="BB71" s="5"/>
      <c r="BE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-0.67108482269219483</v>
      </c>
      <c r="BF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-226.1083768254253</v>
      </c>
      <c r="BG71" s="7">
        <f t="shared" si="36"/>
        <v>3.4464701385530087E-2</v>
      </c>
      <c r="BM71">
        <f>EXP(-Parameters!$B$56*A71)*AZ71*BF71</f>
        <v>0</v>
      </c>
      <c r="BN71">
        <f>-EXP((Parameters!$B$56)*F71)*SUM(BM71:BM79)</f>
        <v>0</v>
      </c>
      <c r="BO71">
        <f>X71^-Parameters!B$52/(1-2*Parameters!B$5*'6states'!D71/'6states'!G71)</f>
        <v>1.1274373180818749</v>
      </c>
      <c r="BP71">
        <f t="shared" si="45"/>
        <v>0.99965204803676344</v>
      </c>
      <c r="BQ71">
        <f>$X71^-Parameters!$B$52/(1-2*Parameters!$B$5*'6states'!$E71/'6states'!$H71)</f>
        <v>1.1208058098229607</v>
      </c>
      <c r="BR71">
        <f t="shared" ref="BR71:BR100" si="47">BQ71/BQ70</f>
        <v>1.0000316650988623</v>
      </c>
      <c r="BS71" s="7">
        <f>($X71^-Parameters!$B$52*(1/(1+EXP(-C71)) + IF(C71&lt;0,2*Parameters!$B$6*C71/F71,0)) + BK71*(1/(1+EXP((C71-Parameters!$B$22)*Parameters!$B$21))))/(1-IF(C71&gt;0,2*Parameters!$B$5*C71/F71,0))</f>
        <v>0.48599537773452817</v>
      </c>
      <c r="BT71">
        <f t="shared" ref="BT71:BT100" si="48">BS71/BS70</f>
        <v>1.0001707324392408</v>
      </c>
      <c r="BU71" s="7">
        <f t="shared" si="34"/>
        <v>8.2961012164428638E-5</v>
      </c>
      <c r="BV71">
        <f>(1/$T71-1/Parameters!$B$13) * LN(Parameters!$B$18) / LN(P71)</f>
        <v>0.21904572757465063</v>
      </c>
      <c r="BW71">
        <f>(Parameters!$B$18*'6states'!T71^+Parameters!$B$19*Parameters!$B$25^'6states'!T71)^((1-'6states'!T71)/'6states'!T71)*Parameters!$B$18*Parameters!$B$26^('6states'!T71-1)</f>
        <v>0.299732612705924</v>
      </c>
      <c r="BX71">
        <f t="shared" si="46"/>
        <v>0.20905380988559741</v>
      </c>
      <c r="BY71">
        <f t="shared" ref="BY71:BY80" si="49">1-2^-BV71</f>
        <v>0.14086647652850981</v>
      </c>
      <c r="BZ71">
        <f t="shared" ref="BZ71:BZ80" si="50">1-2^-BW71</f>
        <v>0.18759704784926601</v>
      </c>
    </row>
    <row r="72" spans="1:78" x14ac:dyDescent="0.25">
      <c r="A72">
        <f>A71+Parameters!$B$65</f>
        <v>68</v>
      </c>
      <c r="B72">
        <v>2093</v>
      </c>
      <c r="C72" s="74">
        <v>1.7261101807794792E-5</v>
      </c>
      <c r="D72" s="69">
        <v>9.258071521116483E-2</v>
      </c>
      <c r="E72" s="75">
        <v>0.22086361996021298</v>
      </c>
      <c r="F72" s="7">
        <f>MAX((1-Parameters!$B$4)^Parameters!B$65*F71 + C71*Parameters!B$65 - IF(C71&gt;0,Parameters!$B$5,0)*C71^2/F71*Parameters!B$65, 0.0001)</f>
        <v>1.3826377653790987E-2</v>
      </c>
      <c r="G72" s="7">
        <f>(1-Parameters!$B$4)^Parameters!B$65*G71+D71*Parameters!B$65-Parameters!$B$5*D71^2/G71*Parameters!B$65</f>
        <v>1.3263538846182246</v>
      </c>
      <c r="H72" s="7">
        <f>(1-Parameters!$B$4)^Parameters!B$65*H71+E71*Parameters!B$65-Parameters!$B$5*E71^2/H71*Parameters!B$65</f>
        <v>3.2764437017471053</v>
      </c>
      <c r="I72" s="9">
        <f>I71 *(1-Parameters!$B$4)-C71*(C71&lt;0)*Parameters!B$65</f>
        <v>4.9291597715964868E-4</v>
      </c>
      <c r="J72" s="23">
        <f>J71*(1+Parameters!$B$51)^Parameters!B$65</f>
        <v>9.9359429218444149</v>
      </c>
      <c r="K72" s="23">
        <f>K71*(1+Parameters!$B$53)^Parameters!B$65</f>
        <v>34.688694094486628</v>
      </c>
      <c r="L72" s="23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1.998452083593468</v>
      </c>
      <c r="M72" s="8">
        <f>M71+L72*Parameters!B$65</f>
        <v>3168.6536352945777</v>
      </c>
      <c r="N72" s="7">
        <f>M72*Parameters!$B$45</f>
        <v>1.9011921811767465</v>
      </c>
      <c r="O72" s="9">
        <f>EXP(-Parameters!$B$46/2*N72^2)</f>
        <v>0.96432582987612914</v>
      </c>
      <c r="P72" s="8">
        <f>MAX((Parameters!$B$62 + Parameters!$B$31*'6states'!A72 - '6states'!M72 + Parameters!$B$47/Parameters!$B$45)/Parameters!B$62,1)</f>
        <v>55.978927294108452</v>
      </c>
      <c r="Q72" s="7">
        <f>Parameters!B$61*EXP(-Parameters!B$60*A72)</f>
        <v>7.9726984023252581E-2</v>
      </c>
      <c r="R72" s="7">
        <f>(1-Parameters!B$61)*P72^-Parameters!B$63</f>
        <v>0.33432399452026584</v>
      </c>
      <c r="S72" s="7">
        <f>Parameters!B$61*EXP(-Parameters!B$60*A72)+(1-Parameters!B$61)*P72^-Parameters!B$63</f>
        <v>0.41405097854351841</v>
      </c>
      <c r="T72" s="7">
        <f>1-S72/Parameters!$B$12</f>
        <v>0.79297451072824077</v>
      </c>
      <c r="U72" s="7">
        <f t="shared" si="37"/>
        <v>4.8303230849381791</v>
      </c>
      <c r="V72" s="7">
        <f>(Parameters!$B$19*(F72+Parameters!$B$20)^T72+Parameters!$B$18*G72^T72)^(1/T72)</f>
        <v>0.33092026489482129</v>
      </c>
      <c r="W72" s="7">
        <f>(Parameters!$B$10*H72^Parameters!$B$9+Parameters!$B$11*V72^Parameters!$B$9)^(Parameters!$B$7/Parameters!$B$9)*O72</f>
        <v>1.3388040363350227</v>
      </c>
      <c r="X72" s="7">
        <f>W72 - D72 - E72 - LN(1+EXP(Parameters!$B$21*C72))/Parameters!$B$21 - IF(C72&gt;0, 0,Parameters!$B$6*C72^2/F72)</f>
        <v>1.0230405688379256</v>
      </c>
      <c r="Y72" s="7">
        <f>EXP(-Parameters!$B$55*A72)</f>
        <v>0.35815121266990152</v>
      </c>
      <c r="Z72" s="7">
        <f>IF(X72&gt;0,X72^(1-Parameters!$B$52)/(1-Parameters!$B$52)*Y72*Parameters!$B$65,-10+X72*1000)</f>
        <v>-1.0151632372889083</v>
      </c>
      <c r="AC72" s="23">
        <f t="shared" si="38"/>
        <v>0.16989082836360753</v>
      </c>
      <c r="AD72" s="23">
        <f t="shared" si="39"/>
        <v>4.7654668578734718</v>
      </c>
      <c r="AE72" s="23">
        <f t="shared" si="40"/>
        <v>457.14760852252897</v>
      </c>
      <c r="AF72" s="23">
        <f t="shared" si="41"/>
        <v>114.05659489726105</v>
      </c>
      <c r="AG72" s="23">
        <f t="shared" si="42"/>
        <v>289.08997093540665</v>
      </c>
      <c r="AH72" s="23">
        <f t="shared" si="43"/>
        <v>461.43873862670557</v>
      </c>
      <c r="AI72" s="23">
        <f t="shared" si="44"/>
        <v>352.60615955477198</v>
      </c>
      <c r="AJ72" s="23"/>
      <c r="AK72" s="25">
        <f t="shared" si="35"/>
        <v>461.43873862670563</v>
      </c>
      <c r="AL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0.37778264415763885</v>
      </c>
      <c r="AM72" s="32">
        <f>((C73-C71)/2-(F73-F71)/F72/2*C72)/(F72/2/Parameters!$B$5-C72)-((D73-D71)/D72-(G73-G71)/G72)/(G72/2/Parameters!$B$5/D72-1)</f>
        <v>8.3811508596955478E-4</v>
      </c>
      <c r="AN72" s="32">
        <f>+Parameters!$B$5*C72^2/F72^2-Parameters!$B$5*D72^2/G72^2</f>
        <v>-4.870609234249779E-3</v>
      </c>
      <c r="AO72" s="30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0.44309163202352558</v>
      </c>
      <c r="AP72" s="30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152.71812619918035</v>
      </c>
      <c r="AQ72" s="8">
        <f>1000*(AL72+AM72+AN72)/(EXP(-Parameters!$B$42*A72)*((C72&lt;0)*Parameters!$B$37*EXP(-Parameters!$B$38*AD72)+(C72&gt;=0)*Parameters!$B$41))</f>
        <v>786.3307071648029</v>
      </c>
      <c r="AR72" s="13">
        <f>1-W72/'6states,ExoDamages'!T72</f>
        <v>9.4203550315522522E-2</v>
      </c>
      <c r="AS72" s="21">
        <f>-Y72*W72*X72^(-Parameters!B$52)*Parameters!B$46*Parameters!B$45*N72</f>
        <v>-1.0661085115749017E-5</v>
      </c>
      <c r="AT72" s="7">
        <f>1000*EXP(-(Parameters!$B$54)*'6states'!A72)*AK72*Parameters!B$46*Parameters!B$45*N72</f>
        <v>0.97255307084804743</v>
      </c>
      <c r="AU72" s="7">
        <f>SUM(AT72:AT$204)*EXP(Parameters!$B$54*A72)</f>
        <v>760.4447812704052</v>
      </c>
      <c r="AZ72" s="5"/>
      <c r="BA72" s="5"/>
      <c r="BB72" s="5"/>
      <c r="BE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-0.66564160587691712</v>
      </c>
      <c r="BF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-229.42328724533164</v>
      </c>
      <c r="BG72" s="7">
        <f t="shared" si="36"/>
        <v>3.4423204793721712E-2</v>
      </c>
      <c r="BM72">
        <f>EXP(-Parameters!$B$56*A72)*AZ72*BF72</f>
        <v>0</v>
      </c>
      <c r="BN72">
        <f>-EXP((Parameters!$B$56)*F72)*SUM(BM72:BM80)</f>
        <v>0</v>
      </c>
      <c r="BO72">
        <f>X72^-Parameters!B$52/(1-2*Parameters!B$5*'6states'!D72/'6states'!G72)</f>
        <v>1.1270551469292307</v>
      </c>
      <c r="BP72">
        <f t="shared" si="45"/>
        <v>0.99966102669610546</v>
      </c>
      <c r="BQ72">
        <f>$X72^-Parameters!$B$52/(1-2*Parameters!$B$5*'6states'!$E72/'6states'!$H72)</f>
        <v>1.120824791499067</v>
      </c>
      <c r="BR72">
        <f t="shared" si="47"/>
        <v>1.0000169357402859</v>
      </c>
      <c r="BS72" s="7">
        <f>($X72^-Parameters!$B$52*(1/(1+EXP(-C72)) + IF(C72&lt;0,2*Parameters!$B$6*C72/F72,0)) + BK72*(1/(1+EXP((C72-Parameters!$B$22)*Parameters!$B$21))))/(1-IF(C72&gt;0,2*Parameters!$B$5*C72/F72,0))</f>
        <v>0.48607592925746479</v>
      </c>
      <c r="BT72">
        <f t="shared" si="48"/>
        <v>1.0001657454507327</v>
      </c>
      <c r="BU72" s="7">
        <f t="shared" si="34"/>
        <v>8.055152293662271E-5</v>
      </c>
      <c r="BV72">
        <f>(1/$T72-1/Parameters!$B$13) * LN(Parameters!$B$18) / LN(P72)</f>
        <v>0.21870103822420581</v>
      </c>
      <c r="BW72">
        <f>(Parameters!$B$18*'6states'!T72^+Parameters!$B$19*Parameters!$B$25^'6states'!T72)^((1-'6states'!T72)/'6states'!T72)*Parameters!$B$18*Parameters!$B$26^('6states'!T72-1)</f>
        <v>0.30004375701550384</v>
      </c>
      <c r="BX72">
        <f t="shared" si="46"/>
        <v>0.20835265534845096</v>
      </c>
      <c r="BY72">
        <f t="shared" si="49"/>
        <v>0.14066118743633882</v>
      </c>
      <c r="BZ72">
        <f t="shared" si="50"/>
        <v>0.18777223892752659</v>
      </c>
    </row>
    <row r="73" spans="1:78" x14ac:dyDescent="0.25">
      <c r="A73">
        <f>A72+Parameters!$B$65</f>
        <v>69</v>
      </c>
      <c r="B73">
        <v>2094</v>
      </c>
      <c r="C73" s="74">
        <v>1.7261101807794792E-5</v>
      </c>
      <c r="D73" s="69">
        <v>9.258071521116483E-2</v>
      </c>
      <c r="E73" s="75">
        <v>0.22086361996021298</v>
      </c>
      <c r="F73" s="7">
        <f>MAX((1-Parameters!$B$4)^Parameters!B$65*F72 + C72*Parameters!B$65 - IF(C72&gt;0,Parameters!$B$5,0)*C72^2/F72*Parameters!B$65, 0.0001)</f>
        <v>1.29739380521013E-2</v>
      </c>
      <c r="G73" s="7">
        <f>(1-Parameters!$B$4)^Parameters!B$65*G72+D72*Parameters!B$65-Parameters!$B$5*D72^2/G72*Parameters!B$65</f>
        <v>1.3290447218223287</v>
      </c>
      <c r="H73" s="7">
        <f>(1-Parameters!$B$4)^Parameters!B$65*H72+E72*Parameters!B$65-Parameters!$B$5*E72^2/H72*Parameters!B$65</f>
        <v>3.2763306939880512</v>
      </c>
      <c r="I73" s="9">
        <f>I72 *(1-Parameters!$B$4)-C72*(C72&lt;0)*Parameters!B$65</f>
        <v>4.6191156219630678E-4</v>
      </c>
      <c r="J73" s="23">
        <f>J72*(1+Parameters!$B$51)^Parameters!B$65</f>
        <v>9.9647571563177628</v>
      </c>
      <c r="K73" s="23">
        <f>K72*(1+Parameters!$B$53)^Parameters!B$65</f>
        <v>35.382467976376361</v>
      </c>
      <c r="L73" s="23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1.8993486365899737</v>
      </c>
      <c r="M73" s="8">
        <f>M72+L73*Parameters!B$65</f>
        <v>3170.5529839311675</v>
      </c>
      <c r="N73" s="7">
        <f>M73*Parameters!$B$45</f>
        <v>1.9023317903587003</v>
      </c>
      <c r="O73" s="9">
        <f>EXP(-Parameters!$B$46/2*N73^2)</f>
        <v>0.96428382279557934</v>
      </c>
      <c r="P73" s="8">
        <f>MAX((Parameters!$B$62 + Parameters!$B$31*'6states'!A73 - '6states'!M73 + Parameters!$B$47/Parameters!$B$45)/Parameters!B$62,1)</f>
        <v>57.004940321376651</v>
      </c>
      <c r="Q73" s="7">
        <f>Parameters!B$61*EXP(-Parameters!B$60*A73)</f>
        <v>7.7603156151864111E-2</v>
      </c>
      <c r="R73" s="7">
        <f>(1-Parameters!B$61)*P73^-Parameters!B$63</f>
        <v>0.33371732582891117</v>
      </c>
      <c r="S73" s="7">
        <f>Parameters!B$61*EXP(-Parameters!B$60*A73)+(1-Parameters!B$61)*P73^-Parameters!B$63</f>
        <v>0.41132048198077531</v>
      </c>
      <c r="T73" s="7">
        <f>1-S73/Parameters!$B$12</f>
        <v>0.7943397590096124</v>
      </c>
      <c r="U73" s="7">
        <f t="shared" si="37"/>
        <v>4.8623885452256141</v>
      </c>
      <c r="V73" s="7">
        <f>(Parameters!$B$19*(F73+Parameters!$B$20)^T73+Parameters!$B$18*G73^T73)^(1/T73)</f>
        <v>0.33110433401720341</v>
      </c>
      <c r="W73" s="7">
        <f>(Parameters!$B$10*H73^Parameters!$B$9+Parameters!$B$11*V73^Parameters!$B$9)^(Parameters!$B$7/Parameters!$B$9)*O73</f>
        <v>1.3388055483063841</v>
      </c>
      <c r="X73" s="7">
        <f>W73 - D73 - E73 - LN(1+EXP(Parameters!$B$21*C73))/Parameters!$B$21 - IF(C73&gt;0, 0,Parameters!$B$6*C73^2/F73)</f>
        <v>1.023042080809287</v>
      </c>
      <c r="Y73" s="7">
        <f>EXP(-Parameters!$B$55*A73)</f>
        <v>0.35278375564489362</v>
      </c>
      <c r="Z73" s="7">
        <f>IF(X73&gt;0,X73^(1-Parameters!$B$52)/(1-Parameters!$B$52)*Y73*Parameters!$B$65,-10+X73*1000)</f>
        <v>-0.99994890851184626</v>
      </c>
      <c r="AC73" s="23">
        <f t="shared" si="38"/>
        <v>0.16285971665330504</v>
      </c>
      <c r="AD73" s="23">
        <f t="shared" si="39"/>
        <v>4.574321251012071</v>
      </c>
      <c r="AE73" s="23">
        <f t="shared" si="40"/>
        <v>468.59153251411232</v>
      </c>
      <c r="AF73" s="23">
        <f t="shared" si="41"/>
        <v>116.74000487090247</v>
      </c>
      <c r="AG73" s="23">
        <f t="shared" si="42"/>
        <v>295.89139186145263</v>
      </c>
      <c r="AH73" s="23">
        <f t="shared" si="43"/>
        <v>472.03298227548402</v>
      </c>
      <c r="AI73" s="23">
        <f t="shared" si="44"/>
        <v>360.70182485321698</v>
      </c>
      <c r="AJ73" s="23"/>
      <c r="AK73" s="25">
        <f t="shared" si="35"/>
        <v>472.03298227548402</v>
      </c>
      <c r="AL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0.37855587909721711</v>
      </c>
      <c r="AM73" s="32">
        <f>((C74-C72)/2-(F74-F72)/F73/2*C73)/(F73/2/Parameters!$B$5-C73)-((D74-D72)/D73-(G74-G72)/G73)/(G73/2/Parameters!$B$5/D73-1)</f>
        <v>7.5667670442083901E-4</v>
      </c>
      <c r="AN73" s="32">
        <f>+Parameters!$B$5*C73^2/F73^2-Parameters!$B$5*D73^2/G73^2</f>
        <v>-4.8506888998482147E-3</v>
      </c>
      <c r="AO73" s="30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0.4387292209441645</v>
      </c>
      <c r="AP73" s="30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154.68614007138873</v>
      </c>
      <c r="AQ73" s="8">
        <f>1000*(AL73+AM73+AN73)/(EXP(-Parameters!$B$42*A73)*((C73&lt;0)*Parameters!$B$37*EXP(-Parameters!$B$38*AD73)+(C73&gt;=0)*Parameters!$B$41))</f>
        <v>795.74588796036358</v>
      </c>
      <c r="AR73" s="13">
        <f>1-W73/'6states,ExoDamages'!T73</f>
        <v>9.4147768925814335E-2</v>
      </c>
      <c r="AS73" s="21">
        <f>-Y73*W73*X73^(-Parameters!B$52)*Parameters!B$46*Parameters!B$45*N73</f>
        <v>-1.05075976324723E-5</v>
      </c>
      <c r="AT73" s="7">
        <f>1000*EXP(-(Parameters!$B$54)*'6states'!A73)*AK73*Parameters!B$46*Parameters!B$45*N73</f>
        <v>0.96114323327502926</v>
      </c>
      <c r="AU73" s="7">
        <f>SUM(AT73:AT$204)*EXP(Parameters!$B$54*A73)</f>
        <v>776.65236459985272</v>
      </c>
      <c r="AZ73" s="5"/>
      <c r="BA73" s="5"/>
      <c r="BB73" s="5"/>
      <c r="BE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-0.66032143752170658</v>
      </c>
      <c r="BF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-232.81461434642577</v>
      </c>
      <c r="BG73" s="7">
        <f t="shared" si="36"/>
        <v>3.4379036343542342E-2</v>
      </c>
      <c r="BM73">
        <f>EXP(-Parameters!$B$56*A73)*AZ73*BF73</f>
        <v>0</v>
      </c>
      <c r="BN73">
        <f>-EXP((Parameters!$B$56)*F73)*SUM(BM73:BM81)</f>
        <v>0</v>
      </c>
      <c r="BO73">
        <f>X73^-Parameters!B$52/(1-2*Parameters!B$5*'6states'!D73/'6states'!G73)</f>
        <v>1.1266827794636767</v>
      </c>
      <c r="BP73">
        <f t="shared" si="45"/>
        <v>0.99966961025237444</v>
      </c>
      <c r="BQ73">
        <f>$X73^-Parameters!$B$52/(1-2*Parameters!$B$5*'6states'!$E73/'6states'!$H73)</f>
        <v>1.1208285795114206</v>
      </c>
      <c r="BR73">
        <f t="shared" si="47"/>
        <v>1.0000033796650309</v>
      </c>
      <c r="BS73" s="7">
        <f>($X73^-Parameters!$B$52*(1/(1+EXP(-C73)) + IF(C73&lt;0,2*Parameters!$B$6*C73/F73,0)) + BK73*(1/(1+EXP((C73-Parameters!$B$22)*Parameters!$B$21))))/(1-IF(C73&gt;0,2*Parameters!$B$5*C73/F73,0))</f>
        <v>0.48615491383042125</v>
      </c>
      <c r="BT73">
        <f t="shared" si="48"/>
        <v>1.0001624943104612</v>
      </c>
      <c r="BU73" s="7">
        <f t="shared" si="34"/>
        <v>7.8984572956464216E-5</v>
      </c>
      <c r="BV73">
        <f>(1/$T73-1/Parameters!$B$13) * LN(Parameters!$B$18) / LN(P73)</f>
        <v>0.21835720555857438</v>
      </c>
      <c r="BW73">
        <f>(Parameters!$B$18*'6states'!T73^+Parameters!$B$19*Parameters!$B$25^'6states'!T73)^((1-'6states'!T73)/'6states'!T73)*Parameters!$B$18*Parameters!$B$26^('6states'!T73-1)</f>
        <v>0.30034269079277659</v>
      </c>
      <c r="BX73">
        <f t="shared" si="46"/>
        <v>0.20766298696870975</v>
      </c>
      <c r="BY73">
        <f t="shared" si="49"/>
        <v>0.14045635969515691</v>
      </c>
      <c r="BZ73">
        <f t="shared" si="50"/>
        <v>0.18794051923108357</v>
      </c>
    </row>
    <row r="74" spans="1:78" s="4" customFormat="1" x14ac:dyDescent="0.25">
      <c r="A74" s="4">
        <f>A73+Parameters!$B$65</f>
        <v>70</v>
      </c>
      <c r="B74">
        <v>2095</v>
      </c>
      <c r="C74" s="74">
        <v>1.7047344296896465E-5</v>
      </c>
      <c r="D74" s="69">
        <v>9.2599605231594051E-2</v>
      </c>
      <c r="E74" s="75">
        <v>0.22118781792547046</v>
      </c>
      <c r="F74" s="7">
        <f>MAX((1-Parameters!$B$4)^Parameters!B$65*F73 + C73*Parameters!B$65 - IF(C73&gt;0,Parameters!$B$5,0)*C73^2/F73*Parameters!B$65, 0.0001)</f>
        <v>1.2175115485497573E-2</v>
      </c>
      <c r="G74" s="16">
        <f>(1-Parameters!$B$4)^Parameters!B$65*G73+D73*Parameters!B$65-Parameters!$B$5*D73^2/G73*Parameters!B$65</f>
        <v>1.3315793890331706</v>
      </c>
      <c r="H74" s="16">
        <f>(1-Parameters!$B$4)^Parameters!B$65*H73+E73*Parameters!B$65-Parameters!$B$5*E73^2/H73*Parameters!B$65</f>
        <v>3.2762242808865985</v>
      </c>
      <c r="I74" s="9">
        <f>I73 *(1-Parameters!$B$4)-C73*(C73&lt;0)*Parameters!B$65</f>
        <v>4.3285732493415909E-4</v>
      </c>
      <c r="J74" s="44">
        <f>J73*(1+Parameters!$B$51)^Parameters!B$65</f>
        <v>9.9936549520710827</v>
      </c>
      <c r="K74" s="44">
        <f>K73*(1+Parameters!$B$53)^Parameters!B$65</f>
        <v>36.090117335903891</v>
      </c>
      <c r="L74" s="23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1.8053261262833611</v>
      </c>
      <c r="M74" s="25">
        <f>M73+L74*Parameters!B$65</f>
        <v>3172.358310057451</v>
      </c>
      <c r="N74" s="16">
        <f>M74*Parameters!$B$45</f>
        <v>1.9034149860344705</v>
      </c>
      <c r="O74" s="9">
        <f>EXP(-Parameters!$B$46/2*N74^2)</f>
        <v>0.96424387353437802</v>
      </c>
      <c r="P74" s="8">
        <f>MAX((Parameters!$B$62 + Parameters!$B$31*'6states'!A74 - '6states'!M74 + Parameters!$B$47/Parameters!$B$45)/Parameters!B$62,1)</f>
        <v>58.03283379885098</v>
      </c>
      <c r="Q74" s="7">
        <f>Parameters!B$61*EXP(-Parameters!B$60*A74)</f>
        <v>7.5535904418185432E-2</v>
      </c>
      <c r="R74" s="7">
        <f>(1-Parameters!B$61)*P74^-Parameters!B$63</f>
        <v>0.33312147171419992</v>
      </c>
      <c r="S74" s="7">
        <f>Parameters!B$61*EXP(-Parameters!B$60*A74)+(1-Parameters!B$61)*P74^-Parameters!B$63</f>
        <v>0.40865737613238534</v>
      </c>
      <c r="T74" s="16">
        <f>1-S74/Parameters!$B$12</f>
        <v>0.79567131193380736</v>
      </c>
      <c r="U74" s="16">
        <f t="shared" si="37"/>
        <v>4.8940753717170065</v>
      </c>
      <c r="V74" s="7">
        <f>(Parameters!$B$19*(F74+Parameters!$B$20)^T74+Parameters!$B$18*G74^T74)^(1/T74)</f>
        <v>0.33130421910746188</v>
      </c>
      <c r="W74" s="16">
        <f>(Parameters!$B$10*H74^Parameters!$B$9+Parameters!$B$11*V74^Parameters!$B$9)^(Parameters!$B$7/Parameters!$B$9)*O74</f>
        <v>1.338816255794351</v>
      </c>
      <c r="X74" s="7">
        <f>W74 - D74 - E74 - LN(1+EXP(Parameters!$B$21*C74))/Parameters!$B$21 - IF(C74&gt;0, 0,Parameters!$B$6*C74^2/F74)</f>
        <v>1.0227098074653354</v>
      </c>
      <c r="Y74" s="16">
        <f>EXP(-Parameters!$B$55*A74)</f>
        <v>0.34749673837241518</v>
      </c>
      <c r="Z74" s="16">
        <f>IF(X74&gt;0,X74^(1-Parameters!$B$52)/(1-Parameters!$B$52)*Y74*Parameters!$B$65,-10+X74*1000)</f>
        <v>-0.98507509907784152</v>
      </c>
      <c r="AC74" s="23">
        <f t="shared" si="38"/>
        <v>0.15611959494145583</v>
      </c>
      <c r="AD74" s="23">
        <f t="shared" si="39"/>
        <v>4.3912254418946235</v>
      </c>
      <c r="AE74" s="23">
        <f t="shared" si="40"/>
        <v>480.26364086566127</v>
      </c>
      <c r="AF74" s="23">
        <f t="shared" si="41"/>
        <v>119.49221489394863</v>
      </c>
      <c r="AG74" s="23">
        <f t="shared" si="42"/>
        <v>302.86719467484744</v>
      </c>
      <c r="AH74" s="23">
        <f t="shared" si="43"/>
        <v>482.87377737559012</v>
      </c>
      <c r="AI74" s="23">
        <f t="shared" si="44"/>
        <v>368.8629755969331</v>
      </c>
      <c r="AJ74" s="23"/>
      <c r="AK74" s="25">
        <f t="shared" si="35"/>
        <v>482.87377737559012</v>
      </c>
      <c r="AL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0.37918603320670735</v>
      </c>
      <c r="AM74" s="42">
        <f>((C75-C73)/2-(F75-F73)/F74/2*C74)/(F74/2/Parameters!$B$5-C74)-((D75-D73)/D74-(G75-G73)/G74)/(G74/2/Parameters!$B$5/D74-1)</f>
        <v>7.7032201638508029E-4</v>
      </c>
      <c r="AN74" s="42">
        <f>+Parameters!$B$5*C74^2/F74^2-Parameters!$B$5*D74^2/G74^2</f>
        <v>-4.8340155537427553E-3</v>
      </c>
      <c r="AO74" s="30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0.4344127383207782</v>
      </c>
      <c r="AP74" s="30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156.68058927815196</v>
      </c>
      <c r="AQ74" s="25">
        <f>1000*(AL74+AM74+AN74)/(EXP(-Parameters!$B$42*A74)*((C74&lt;0)*Parameters!$B$37*EXP(-Parameters!$B$38*AD74)+(C74&gt;=0)*Parameters!$B$41))</f>
        <v>805.16090286892222</v>
      </c>
      <c r="AR74" s="43">
        <f>1-W74/'6states,ExoDamages'!T74</f>
        <v>9.4089224279027772E-2</v>
      </c>
      <c r="AS74" s="21">
        <f>-Y74*W74*X74^(-Parameters!B$52)*Parameters!B$46*Parameters!B$45*N74</f>
        <v>-1.0360643579845824E-5</v>
      </c>
      <c r="AT74" s="16">
        <f>1000*EXP(-(Parameters!$B$54)*'6states'!A74)*AK74*Parameters!B$46*Parameters!B$45*N74</f>
        <v>0.94984528575900551</v>
      </c>
      <c r="AU74" s="16">
        <f>SUM(AT74:AT$204)*EXP(Parameters!$B$54*A74)</f>
        <v>793.18063035511989</v>
      </c>
      <c r="AW74" s="16"/>
      <c r="AX74" s="16"/>
      <c r="AY74" s="16"/>
      <c r="AZ74" s="5"/>
      <c r="BA74" s="5"/>
      <c r="BB74" s="5"/>
      <c r="BC74"/>
      <c r="BD74"/>
      <c r="BE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-0.65512687598443753</v>
      </c>
      <c r="BF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-236.28603842965819</v>
      </c>
      <c r="BG74" s="7">
        <f t="shared" si="36"/>
        <v>3.4332031916821437E-2</v>
      </c>
      <c r="BH74"/>
      <c r="BI74"/>
      <c r="BJ74"/>
      <c r="BK74"/>
      <c r="BM74">
        <f>EXP(-Parameters!$B$56*A74)*AZ74*BF74</f>
        <v>0</v>
      </c>
      <c r="BN74">
        <f>-EXP((Parameters!$B$56)*F74)*SUM(BM74:BM82)</f>
        <v>0</v>
      </c>
      <c r="BO74">
        <f>X74^-Parameters!B$52/(1-2*Parameters!B$5*'6states'!D74/'6states'!G74)</f>
        <v>1.1268669146876971</v>
      </c>
      <c r="BP74">
        <f t="shared" si="45"/>
        <v>1.0001634312935075</v>
      </c>
      <c r="BQ74">
        <f>$X74^-Parameters!$B$52/(1-2*Parameters!$B$5*'6states'!$E74/'6states'!$H74)</f>
        <v>1.1215824516860045</v>
      </c>
      <c r="BR74">
        <f t="shared" si="47"/>
        <v>1.000672602562394</v>
      </c>
      <c r="BS74" s="7">
        <f>($X74^-Parameters!$B$52*(1/(1+EXP(-C74)) + IF(C74&lt;0,2*Parameters!$B$6*C74/F74,0)) + BK74*(1/(1+EXP((C74-Parameters!$B$22)*Parameters!$B$21))))/(1-IF(C74&gt;0,2*Parameters!$B$5*C74/F74,0))</f>
        <v>0.48643612978418971</v>
      </c>
      <c r="BT74">
        <f t="shared" si="48"/>
        <v>1.0005784492674419</v>
      </c>
      <c r="BU74" s="7">
        <f t="shared" si="34"/>
        <v>2.8121595376845443E-4</v>
      </c>
      <c r="BV74">
        <f>(1/$T74-1/Parameters!$B$13) * LN(Parameters!$B$18) / LN(P74)</f>
        <v>0.21801430889843673</v>
      </c>
      <c r="BW74">
        <f>(Parameters!$B$18*'6states'!T74^+Parameters!$B$19*Parameters!$B$25^'6states'!T74)^((1-'6states'!T74)/'6states'!T74)*Parameters!$B$18*Parameters!$B$26^('6states'!T74-1)</f>
        <v>0.30062996851789436</v>
      </c>
      <c r="BX74">
        <f t="shared" si="46"/>
        <v>0.20698455815353958</v>
      </c>
      <c r="BY74">
        <f t="shared" si="49"/>
        <v>0.1402520409279383</v>
      </c>
      <c r="BZ74">
        <f t="shared" si="50"/>
        <v>0.1881022050818989</v>
      </c>
    </row>
    <row r="75" spans="1:78" s="38" customFormat="1" x14ac:dyDescent="0.25">
      <c r="A75" s="38">
        <f>A74+Parameters!$B$65</f>
        <v>71</v>
      </c>
      <c r="B75">
        <v>2096</v>
      </c>
      <c r="C75" s="74">
        <v>1.7559462714752116E-5</v>
      </c>
      <c r="D75" s="69">
        <v>9.2598988663839268E-2</v>
      </c>
      <c r="E75" s="75">
        <v>0.22173333325540737</v>
      </c>
      <c r="F75" s="7">
        <f>MAX((1-Parameters!$B$4)^Parameters!B$65*F74 + C74*Parameters!B$65 - IF(C74&gt;0,Parameters!$B$5,0)*C74^2/F74*Parameters!B$65, 0.0001)</f>
        <v>1.1426324196418602E-2</v>
      </c>
      <c r="G75" s="39">
        <f>(1-Parameters!$B$4)^Parameters!B$65*G74+D74*Parameters!B$65-Parameters!$B$5*D74^2/G74*Parameters!B$65</f>
        <v>1.3339831646529139</v>
      </c>
      <c r="H75" s="39">
        <f>(1-Parameters!$B$4)^Parameters!B$65*H74+E74*Parameters!B$65-Parameters!$B$5*E74^2/H74*Parameters!B$65</f>
        <v>3.2764045324481796</v>
      </c>
      <c r="I75" s="9">
        <f>I74 *(1-Parameters!$B$4)-C74*(C74&lt;0)*Parameters!B$65</f>
        <v>4.0563059919580048E-4</v>
      </c>
      <c r="J75" s="41">
        <f>J74*(1+Parameters!$B$51)^Parameters!B$65</f>
        <v>10.022636551432088</v>
      </c>
      <c r="K75" s="41">
        <f>K74*(1+Parameters!$B$53)^Parameters!B$65</f>
        <v>36.811919682621969</v>
      </c>
      <c r="L75" s="23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1.7160924230408898</v>
      </c>
      <c r="M75" s="37">
        <f>M74+L75*Parameters!B$65</f>
        <v>3174.0744024804917</v>
      </c>
      <c r="N75" s="39">
        <f>M75*Parameters!$B$45</f>
        <v>1.904444641488295</v>
      </c>
      <c r="O75" s="9">
        <f>EXP(-Parameters!$B$46/2*N75^2)</f>
        <v>0.96420587933932589</v>
      </c>
      <c r="P75" s="8">
        <f>MAX((Parameters!$B$62 + Parameters!$B$31*'6states'!A75 - '6states'!M75 + Parameters!$B$47/Parameters!$B$45)/Parameters!B$62,1)</f>
        <v>59.062511950390174</v>
      </c>
      <c r="Q75" s="7">
        <f>Parameters!B$61*EXP(-Parameters!B$60*A75)</f>
        <v>7.3523721704148601E-2</v>
      </c>
      <c r="R75" s="7">
        <f>(1-Parameters!B$61)*P75^-Parameters!B$63</f>
        <v>0.33253611065189748</v>
      </c>
      <c r="S75" s="7">
        <f>Parameters!B$61*EXP(-Parameters!B$60*A75)+(1-Parameters!B$61)*P75^-Parameters!B$63</f>
        <v>0.40605983235604609</v>
      </c>
      <c r="T75" s="39">
        <f>1-S75/Parameters!$B$12</f>
        <v>0.79697008382197698</v>
      </c>
      <c r="U75" s="39">
        <f t="shared" si="37"/>
        <v>4.9253825191119542</v>
      </c>
      <c r="V75" s="7">
        <f>(Parameters!$B$19*(F75+Parameters!$B$20)^T75+Parameters!$B$18*G75^T75)^(1/T75)</f>
        <v>0.33152188572508023</v>
      </c>
      <c r="W75" s="39">
        <f>(Parameters!$B$10*H75^Parameters!$B$9+Parameters!$B$11*V75^Parameters!$B$9)^(Parameters!$B$7/Parameters!$B$9)*O75</f>
        <v>1.3388604280895859</v>
      </c>
      <c r="X75" s="7">
        <f>W75 - D75 - E75 - LN(1+EXP(Parameters!$B$21*C75))/Parameters!$B$21 - IF(C75&gt;0, 0,Parameters!$B$6*C75^2/F75)</f>
        <v>1.0222088242745764</v>
      </c>
      <c r="Y75" s="39">
        <f>EXP(-Parameters!$B$55*A75)</f>
        <v>0.34228895533675241</v>
      </c>
      <c r="Z75" s="39">
        <f>IF(X75&gt;0,X75^(1-Parameters!$B$52)/(1-Parameters!$B$52)*Y75*Parameters!$B$65,-10+X75*1000)</f>
        <v>-0.97047862098520721</v>
      </c>
      <c r="AC75" s="23">
        <f t="shared" si="38"/>
        <v>0.14965842029904833</v>
      </c>
      <c r="AD75" s="23">
        <f t="shared" si="39"/>
        <v>4.2157707836911751</v>
      </c>
      <c r="AE75" s="23">
        <f t="shared" si="40"/>
        <v>492.17641253714191</v>
      </c>
      <c r="AF75" s="23">
        <f t="shared" si="41"/>
        <v>122.31582580442269</v>
      </c>
      <c r="AG75" s="23">
        <f t="shared" si="42"/>
        <v>310.02397150811277</v>
      </c>
      <c r="AH75" s="23">
        <f t="shared" si="43"/>
        <v>493.97589103497165</v>
      </c>
      <c r="AI75" s="23">
        <f t="shared" si="44"/>
        <v>377.14649279413732</v>
      </c>
      <c r="AJ75" s="23"/>
      <c r="AK75" s="37">
        <f t="shared" si="35"/>
        <v>493.97589103497165</v>
      </c>
      <c r="AO75" s="39"/>
      <c r="AP75" s="39"/>
      <c r="AR75" s="43">
        <f>1-W75/'6states,ExoDamages'!T75</f>
        <v>9.4009850425254005E-2</v>
      </c>
      <c r="AS75" s="21">
        <f>-Y75*W75*X75^(-Parameters!B$52)*Parameters!B$46*Parameters!B$45*N75</f>
        <v>-1.0217987279715635E-5</v>
      </c>
      <c r="AT75" s="39">
        <f>1000*EXP(-(Parameters!$B$54)*'6states'!A75)*AK75*Parameters!B$46*Parameters!B$45*N75</f>
        <v>0.93867691171725731</v>
      </c>
      <c r="AU75" s="39">
        <f>SUM(AT75:AT$204)*EXP(Parameters!$B$54*A75)</f>
        <v>810.03521102118839</v>
      </c>
      <c r="AW75" s="39"/>
      <c r="AX75" s="39"/>
      <c r="AY75" s="39"/>
      <c r="AZ75" s="5"/>
      <c r="BA75" s="5"/>
      <c r="BB75" s="5"/>
      <c r="BC75"/>
      <c r="BD75"/>
      <c r="BE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-0.65004269871879694</v>
      </c>
      <c r="BF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-239.83487342932321</v>
      </c>
      <c r="BG75" s="7">
        <f t="shared" si="36"/>
        <v>3.4282635980501741E-2</v>
      </c>
      <c r="BH75"/>
      <c r="BI75"/>
      <c r="BJ75"/>
      <c r="BK75"/>
      <c r="BM75">
        <f>EXP(-Parameters!$B$56*A75)*AZ75*BF75</f>
        <v>0</v>
      </c>
      <c r="BN75">
        <f>-EXP((Parameters!$B$56)*F75)*SUM(BM75:BM83)</f>
        <v>0</v>
      </c>
      <c r="BO75">
        <f>X75^-Parameters!B$52/(1-2*Parameters!B$5*'6states'!D75/'6states'!G75)</f>
        <v>1.127283179718529</v>
      </c>
      <c r="BP75">
        <f t="shared" si="45"/>
        <v>1.0003694003483519</v>
      </c>
      <c r="BQ75">
        <f>$X75^-Parameters!$B$52/(1-2*Parameters!$B$5*'6states'!$E75/'6states'!$H75)</f>
        <v>1.1227471827439774</v>
      </c>
      <c r="BR75">
        <f t="shared" si="47"/>
        <v>1.0010384711852633</v>
      </c>
      <c r="BS75" s="7">
        <f>($X75^-Parameters!$B$52*(1/(1+EXP(-C75)) + IF(C75&lt;0,2*Parameters!$B$6*C75/F75,0)) + BK75*(1/(1+EXP((C75-Parameters!$B$22)*Parameters!$B$21))))/(1-IF(C75&gt;0,2*Parameters!$B$5*C75/F75,0))</f>
        <v>0.48689149308502444</v>
      </c>
      <c r="BT75">
        <f t="shared" si="48"/>
        <v>1.0009361214616947</v>
      </c>
      <c r="BU75" s="7">
        <f t="shared" si="34"/>
        <v>4.5536330083473242E-4</v>
      </c>
      <c r="BV75">
        <f>(1/$T75-1/Parameters!$B$13) * LN(Parameters!$B$18) / LN(P75)</f>
        <v>0.21767242039286264</v>
      </c>
      <c r="BW75">
        <f>(Parameters!$B$18*'6states'!T75^+Parameters!$B$19*Parameters!$B$25^'6states'!T75)^((1-'6states'!T75)/'6states'!T75)*Parameters!$B$18*Parameters!$B$26^('6states'!T75-1)</f>
        <v>0.30090611681172541</v>
      </c>
      <c r="BX75">
        <f t="shared" si="46"/>
        <v>0.2063171255384211</v>
      </c>
      <c r="BY75">
        <f t="shared" si="49"/>
        <v>0.14004827452694202</v>
      </c>
      <c r="BZ75">
        <f t="shared" si="50"/>
        <v>0.18825759671230369</v>
      </c>
    </row>
    <row r="76" spans="1:78" x14ac:dyDescent="0.25">
      <c r="A76">
        <f>A75+Parameters!$B$65</f>
        <v>72</v>
      </c>
      <c r="B76">
        <v>2097</v>
      </c>
      <c r="C76" s="74">
        <v>1.7559462714752116E-5</v>
      </c>
      <c r="D76" s="69">
        <v>9.2598988663839268E-2</v>
      </c>
      <c r="E76" s="75">
        <v>0.22173333325540737</v>
      </c>
      <c r="F76" s="7">
        <f>MAX((1-Parameters!$B$4)^Parameters!B$65*F75 + C75*Parameters!B$65 - IF(C75&gt;0,Parameters!$B$5,0)*C75^2/F75*Parameters!B$65, 0.0001)</f>
        <v>1.072514088258362E-2</v>
      </c>
      <c r="G76" s="7">
        <f>(1-Parameters!$B$4)^Parameters!B$65*G75+D75*Parameters!B$65-Parameters!$B$5*D75^2/G75*Parameters!B$65</f>
        <v>1.3362468154716622</v>
      </c>
      <c r="H76" s="7">
        <f>(1-Parameters!$B$4)^Parameters!B$65*H75+E75*Parameters!B$65-Parameters!$B$5*E75^2/H75*Parameters!B$65</f>
        <v>3.2770460375022581</v>
      </c>
      <c r="I76" s="9">
        <f>I75 *(1-Parameters!$B$4)-C75*(C75&lt;0)*Parameters!B$65</f>
        <v>3.8011643450638465E-4</v>
      </c>
      <c r="J76" s="23">
        <f>J75*(1+Parameters!$B$51)^Parameters!B$65</f>
        <v>10.05170219743124</v>
      </c>
      <c r="K76" s="23">
        <f>K75*(1+Parameters!$B$53)^Parameters!B$65</f>
        <v>37.548158076274412</v>
      </c>
      <c r="L76" s="23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1.6315195755173697</v>
      </c>
      <c r="M76" s="8">
        <f>M75+L76*Parameters!B$65</f>
        <v>3175.7059220560091</v>
      </c>
      <c r="N76" s="7">
        <f>M76*Parameters!$B$45</f>
        <v>1.9054235532336052</v>
      </c>
      <c r="O76" s="9">
        <f>EXP(-Parameters!$B$46/2*N76^2)</f>
        <v>0.96416973991847144</v>
      </c>
      <c r="P76" s="8">
        <f>MAX((Parameters!$B$62 + Parameters!$B$31*'6states'!A76 - '6states'!M76 + Parameters!$B$47/Parameters!$B$45)/Parameters!B$62,1)</f>
        <v>60.093881558879822</v>
      </c>
      <c r="Q76" s="7">
        <f>Parameters!B$61*EXP(-Parameters!B$60*A76)</f>
        <v>7.1565141039439908E-2</v>
      </c>
      <c r="R76" s="7">
        <f>(1-Parameters!B$61)*P76^-Parameters!B$63</f>
        <v>0.33196093463155735</v>
      </c>
      <c r="S76" s="7">
        <f>Parameters!B$61*EXP(-Parameters!B$60*A76)+(1-Parameters!B$61)*P76^-Parameters!B$63</f>
        <v>0.40352607567099724</v>
      </c>
      <c r="T76" s="7">
        <f>1-S76/Parameters!$B$12</f>
        <v>0.79823696216450135</v>
      </c>
      <c r="U76" s="7">
        <f t="shared" si="37"/>
        <v>4.9563091968079878</v>
      </c>
      <c r="V76" s="7">
        <f>(Parameters!$B$19*(F76+Parameters!$B$20)^T76+Parameters!$B$18*G76^T76)^(1/T76)</f>
        <v>0.33175276785788221</v>
      </c>
      <c r="W76" s="7">
        <f>(Parameters!$B$10*H76^Parameters!$B$9+Parameters!$B$11*V76^Parameters!$B$9)^(Parameters!$B$7/Parameters!$B$9)*O76</f>
        <v>1.3389510165505001</v>
      </c>
      <c r="X76" s="7">
        <f>W76 - D76 - E76 - LN(1+EXP(Parameters!$B$21*C76))/Parameters!$B$21 - IF(C76&gt;0, 0,Parameters!$B$6*C76^2/F76)</f>
        <v>1.0222994127354905</v>
      </c>
      <c r="Y76" s="7">
        <f>EXP(-Parameters!$B$55*A76)</f>
        <v>0.33715921908873309</v>
      </c>
      <c r="Z76" s="7">
        <f>IF(X76&gt;0,X76^(1-Parameters!$B$52)/(1-Parameters!$B$52)*Y76*Parameters!$B$65,-10+X76*1000)</f>
        <v>-0.95590482988509962</v>
      </c>
      <c r="AC76" s="23">
        <f t="shared" si="38"/>
        <v>0.14346464820643184</v>
      </c>
      <c r="AD76" s="23">
        <f t="shared" si="39"/>
        <v>4.0479138074689969</v>
      </c>
      <c r="AE76" s="23">
        <f t="shared" si="40"/>
        <v>504.33015227966132</v>
      </c>
      <c r="AF76" s="23">
        <f t="shared" si="41"/>
        <v>125.21109273806391</v>
      </c>
      <c r="AG76" s="23">
        <f t="shared" si="42"/>
        <v>317.3623690330478</v>
      </c>
      <c r="AH76" s="23">
        <f t="shared" si="43"/>
        <v>505.35077970125309</v>
      </c>
      <c r="AI76" s="23">
        <f t="shared" si="44"/>
        <v>385.83921213560569</v>
      </c>
      <c r="AJ76" s="23"/>
      <c r="AK76" s="25">
        <f t="shared" si="35"/>
        <v>505.35077970125309</v>
      </c>
      <c r="AL76" s="4"/>
      <c r="AM76" s="4"/>
      <c r="AN76" s="4"/>
      <c r="AO76" s="16"/>
      <c r="AP76" s="16"/>
      <c r="AR76" s="13">
        <f>1-W76/'6states,ExoDamages'!T76</f>
        <v>9.3902225427013097E-2</v>
      </c>
      <c r="AS76" s="21">
        <f>-Y76*W76*X76^(-Parameters!B$52)*Parameters!B$46*Parameters!B$45*N76</f>
        <v>-1.0069504849885232E-5</v>
      </c>
      <c r="AT76" s="7">
        <f>1000*EXP(-(Parameters!$B$54)*'6states'!A76)*AK76*Parameters!B$46*Parameters!B$45*N76</f>
        <v>0.92764703872322107</v>
      </c>
      <c r="AU76" s="7">
        <f>SUM(AT76:AT$204)*EXP(Parameters!$B$54*A76)</f>
        <v>827.22158419400284</v>
      </c>
      <c r="AZ76" s="5"/>
      <c r="BA76" s="5"/>
      <c r="BB76" s="5"/>
      <c r="BE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-0.64513437314428457</v>
      </c>
      <c r="BF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-243.48848796609221</v>
      </c>
      <c r="BG76" s="7">
        <f t="shared" si="36"/>
        <v>3.4228512104930629E-2</v>
      </c>
      <c r="BM76">
        <f>EXP(-Parameters!$B$56*A76)*AZ76*BF76</f>
        <v>0</v>
      </c>
      <c r="BN76">
        <f>-EXP((Parameters!$B$56)*F76)*SUM(BM76:BM84)</f>
        <v>0</v>
      </c>
      <c r="BO76">
        <f>X76^-Parameters!B$52/(1-2*Parameters!B$5*'6states'!D76/'6states'!G76)</f>
        <v>1.1268405894373461</v>
      </c>
      <c r="BP76">
        <f t="shared" si="45"/>
        <v>0.99960738322974585</v>
      </c>
      <c r="BQ76">
        <f>$X76^-Parameters!$B$52/(1-2*Parameters!$B$5*'6states'!$E76/'6states'!$H76)</f>
        <v>1.1225784741784586</v>
      </c>
      <c r="BR76">
        <f t="shared" si="47"/>
        <v>0.99984973592620685</v>
      </c>
      <c r="BS76" s="7">
        <f>($X76^-Parameters!$B$52*(1/(1+EXP(-C76)) + IF(C76&lt;0,2*Parameters!$B$6*C76/F76,0)) + BK76*(1/(1+EXP((C76-Parameters!$B$22)*Parameters!$B$21))))/(1-IF(C76&gt;0,2*Parameters!$B$5*C76/F76,0))</f>
        <v>0.48693139364301413</v>
      </c>
      <c r="BT76">
        <f t="shared" si="48"/>
        <v>1.0000819495895006</v>
      </c>
      <c r="BU76" s="7">
        <f t="shared" si="34"/>
        <v>3.990055798969161E-5</v>
      </c>
      <c r="BV76">
        <f>(1/$T76-1/Parameters!$B$13) * LN(Parameters!$B$18) / LN(P76)</f>
        <v>0.21733160796400428</v>
      </c>
      <c r="BW76">
        <f>(Parameters!$B$18*'6states'!T76^+Parameters!$B$19*Parameters!$B$25^'6states'!T76)^((1-'6states'!T76)/'6states'!T76)*Parameters!$B$18*Parameters!$B$26^('6states'!T76-1)</f>
        <v>0.30117163577063655</v>
      </c>
      <c r="BX76">
        <f t="shared" si="46"/>
        <v>0.20566045169655595</v>
      </c>
      <c r="BY76">
        <f t="shared" si="49"/>
        <v>0.1398451014040355</v>
      </c>
      <c r="BZ76">
        <f t="shared" si="50"/>
        <v>0.1884069790552011</v>
      </c>
    </row>
    <row r="77" spans="1:78" x14ac:dyDescent="0.25">
      <c r="A77">
        <f>A76+Parameters!$B$65</f>
        <v>73</v>
      </c>
      <c r="B77">
        <v>2098</v>
      </c>
      <c r="C77" s="74">
        <v>1.7559462714752116E-5</v>
      </c>
      <c r="D77" s="69">
        <v>9.2598988663839268E-2</v>
      </c>
      <c r="E77" s="75">
        <v>0.22173333325540737</v>
      </c>
      <c r="F77" s="7">
        <f>MAX((1-Parameters!$B$4)^Parameters!B$65*F76 + C76*Parameters!B$65 - IF(C76&gt;0,Parameters!$B$5,0)*C76^2/F76*Parameters!B$65, 0.0001)</f>
        <v>1.0068060235002452E-2</v>
      </c>
      <c r="G77" s="7">
        <f>(1-Parameters!$B$4)^Parameters!B$65*G76+D76*Parameters!B$65-Parameters!$B$5*D76^2/G76*Parameters!B$65</f>
        <v>1.3383789715759986</v>
      </c>
      <c r="H77" s="7">
        <f>(1-Parameters!$B$4)^Parameters!B$65*H76+E76*Parameters!B$65-Parameters!$B$5*E76^2/H76*Parameters!B$65</f>
        <v>3.2776501294162865</v>
      </c>
      <c r="I77" s="9">
        <f>I76 *(1-Parameters!$B$4)-C76*(C76&lt;0)*Parameters!B$65</f>
        <v>3.5620711077593306E-4</v>
      </c>
      <c r="J77" s="23">
        <f>J76*(1+Parameters!$B$51)^Parameters!B$65</f>
        <v>10.08085213380379</v>
      </c>
      <c r="K77" s="23">
        <f>K76*(1+Parameters!$B$53)^Parameters!B$65</f>
        <v>38.299121237799902</v>
      </c>
      <c r="L77" s="23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1.5512896617825251</v>
      </c>
      <c r="M77" s="8">
        <f>M76+L77*Parameters!B$65</f>
        <v>3177.2572117177915</v>
      </c>
      <c r="N77" s="7">
        <f>M77*Parameters!$B$45</f>
        <v>1.9063543270306746</v>
      </c>
      <c r="O77" s="9">
        <f>EXP(-Parameters!$B$46/2*N77^2)</f>
        <v>0.9641353616854933</v>
      </c>
      <c r="P77" s="8">
        <f>MAX((Parameters!$B$62 + Parameters!$B$31*'6states'!A77 - '6states'!M77 + Parameters!$B$47/Parameters!$B$45)/Parameters!B$62,1)</f>
        <v>61.12685576564418</v>
      </c>
      <c r="Q77" s="7">
        <f>Parameters!B$61*EXP(-Parameters!B$60*A77)</f>
        <v>6.9658734532013489E-2</v>
      </c>
      <c r="R77" s="7">
        <f>(1-Parameters!B$61)*P77^-Parameters!B$63</f>
        <v>0.33139564632038471</v>
      </c>
      <c r="S77" s="7">
        <f>Parameters!B$61*EXP(-Parameters!B$60*A77)+(1-Parameters!B$61)*P77^-Parameters!B$63</f>
        <v>0.4010543808523982</v>
      </c>
      <c r="T77" s="7">
        <f>1-S77/Parameters!$B$12</f>
        <v>0.79947280957380085</v>
      </c>
      <c r="U77" s="7">
        <f t="shared" si="37"/>
        <v>4.9868548892277733</v>
      </c>
      <c r="V77" s="7">
        <f>(Parameters!$B$19*(F77+Parameters!$B$20)^T77+Parameters!$B$18*G77^T77)^(1/T77)</f>
        <v>0.33199502181691964</v>
      </c>
      <c r="W77" s="7">
        <f>(Parameters!$B$10*H77^Parameters!$B$9+Parameters!$B$11*V77^Parameters!$B$9)^(Parameters!$B$7/Parameters!$B$9)*O77</f>
        <v>1.3390449723442388</v>
      </c>
      <c r="X77" s="7">
        <f>W77 - D77 - E77 - LN(1+EXP(Parameters!$B$21*C77))/Parameters!$B$21 - IF(C77&gt;0, 0,Parameters!$B$6*C77^2/F77)</f>
        <v>1.0223933685292292</v>
      </c>
      <c r="Y77" s="7">
        <f>EXP(-Parameters!$B$55*A77)</f>
        <v>0.33210635997497118</v>
      </c>
      <c r="Z77" s="7">
        <f>IF(X77&gt;0,X77^(1-Parameters!$B$52)/(1-Parameters!$B$52)*Y77*Parameters!$B$65,-10+X77*1000)</f>
        <v>-0.94154881232510268</v>
      </c>
      <c r="AC77" s="23">
        <f t="shared" si="38"/>
        <v>0.13752721192611791</v>
      </c>
      <c r="AD77" s="23">
        <f t="shared" si="39"/>
        <v>3.8871550054347059</v>
      </c>
      <c r="AE77" s="23">
        <f t="shared" si="40"/>
        <v>516.73176332848288</v>
      </c>
      <c r="AF77" s="23">
        <f t="shared" si="41"/>
        <v>128.17922029791364</v>
      </c>
      <c r="AG77" s="23">
        <f t="shared" si="42"/>
        <v>324.88544045896981</v>
      </c>
      <c r="AH77" s="23">
        <f t="shared" si="43"/>
        <v>516.98889808527429</v>
      </c>
      <c r="AI77" s="23">
        <f t="shared" si="44"/>
        <v>394.7335839514547</v>
      </c>
      <c r="AJ77" s="23"/>
      <c r="AK77" s="25">
        <f t="shared" si="35"/>
        <v>516.98889808527429</v>
      </c>
      <c r="AL77" s="4"/>
      <c r="AM77" s="4"/>
      <c r="AN77" s="4"/>
      <c r="AO77" s="16"/>
      <c r="AP77" s="16"/>
      <c r="AR77" s="13">
        <f>1-W77/'6states,ExoDamages'!T77</f>
        <v>9.3795290381537888E-2</v>
      </c>
      <c r="AS77" s="21">
        <f>-Y77*W77*X77^(-Parameters!B$52)*Parameters!B$46*Parameters!B$45*N77</f>
        <v>-9.9229077953556555E-6</v>
      </c>
      <c r="AT77" s="7">
        <f>1000*EXP(-(Parameters!$B$54)*'6states'!A77)*AK77*Parameters!B$46*Parameters!B$45*N77</f>
        <v>0.9167256823486758</v>
      </c>
      <c r="AU77" s="7">
        <f>SUM(AT77:AT$204)*EXP(Parameters!$B$54*A77)</f>
        <v>844.74514501966826</v>
      </c>
      <c r="AZ77" s="5"/>
      <c r="BA77" s="5"/>
      <c r="BB77" s="5"/>
      <c r="BE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-0.6403615866655018</v>
      </c>
      <c r="BF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-247.23578214610365</v>
      </c>
      <c r="BG77" s="7">
        <f t="shared" si="36"/>
        <v>3.4170949282127695E-2</v>
      </c>
      <c r="BM77">
        <f>EXP(-Parameters!$B$56*A77)*AZ77*BF77</f>
        <v>0</v>
      </c>
      <c r="BN77">
        <f>-EXP((Parameters!$B$56)*F77)*SUM(BM77:BM85)</f>
        <v>0</v>
      </c>
      <c r="BO77">
        <f>X77^-Parameters!B$52/(1-2*Parameters!B$5*'6states'!D77/'6states'!G77)</f>
        <v>1.1264120715496484</v>
      </c>
      <c r="BP77">
        <f t="shared" si="45"/>
        <v>0.99961971738352828</v>
      </c>
      <c r="BQ77">
        <f>$X77^-Parameters!$B$52/(1-2*Parameters!$B$5*'6states'!$E77/'6states'!$H77)</f>
        <v>1.1224068314284039</v>
      </c>
      <c r="BR77">
        <f t="shared" si="47"/>
        <v>0.99984709955339179</v>
      </c>
      <c r="BS77" s="7">
        <f>($X77^-Parameters!$B$52*(1/(1+EXP(-C77)) + IF(C77&lt;0,2*Parameters!$B$6*C77/F77,0)) + BK77*(1/(1+EXP((C77-Parameters!$B$22)*Parameters!$B$21))))/(1-IF(C77&gt;0,2*Parameters!$B$5*C77/F77,0))</f>
        <v>0.48697539495788628</v>
      </c>
      <c r="BT77">
        <f t="shared" si="48"/>
        <v>1.000090364506061</v>
      </c>
      <c r="BU77" s="7">
        <f t="shared" si="34"/>
        <v>4.4001314872144093E-5</v>
      </c>
      <c r="BV77">
        <f>(1/$T77-1/Parameters!$B$13) * LN(Parameters!$B$18) / LN(P77)</f>
        <v>0.21699193264719982</v>
      </c>
      <c r="BW77">
        <f>(Parameters!$B$18*'6states'!T77^+Parameters!$B$19*Parameters!$B$25^'6states'!T77)^((1-'6states'!T77)/'6states'!T77)*Parameters!$B$18*Parameters!$B$26^('6states'!T77-1)</f>
        <v>0.30142700064255573</v>
      </c>
      <c r="BX77">
        <f t="shared" si="46"/>
        <v>0.20501430200543339</v>
      </c>
      <c r="BY77">
        <f t="shared" si="49"/>
        <v>0.13964255840119766</v>
      </c>
      <c r="BZ77">
        <f t="shared" si="50"/>
        <v>0.1885506227225433</v>
      </c>
    </row>
    <row r="78" spans="1:78" x14ac:dyDescent="0.25">
      <c r="A78">
        <f>A77+Parameters!$B$65</f>
        <v>74</v>
      </c>
      <c r="B78">
        <v>2099</v>
      </c>
      <c r="C78" s="74">
        <v>1.7559462714752116E-5</v>
      </c>
      <c r="D78" s="69">
        <v>9.2598988663839268E-2</v>
      </c>
      <c r="E78" s="75">
        <v>0.22173333325540737</v>
      </c>
      <c r="F78" s="7">
        <f>MAX((1-Parameters!$B$4)^Parameters!B$65*F77 + C77*Parameters!B$65 - IF(C77&gt;0,Parameters!$B$5,0)*C77^2/F77*Parameters!B$65, 0.0001)</f>
        <v>9.4523080838971978E-3</v>
      </c>
      <c r="G78" s="7">
        <f>(1-Parameters!$B$4)^Parameters!B$65*G77+D77*Parameters!B$65-Parameters!$B$5*D77^2/G77*Parameters!B$65</f>
        <v>1.3403872377632888</v>
      </c>
      <c r="H78" s="7">
        <f>(1-Parameters!$B$4)^Parameters!B$65*H77+E77*Parameters!B$65-Parameters!$B$5*E77^2/H77*Parameters!B$65</f>
        <v>3.2782189891063265</v>
      </c>
      <c r="I78" s="9">
        <f>I77 *(1-Parameters!$B$4)-C77*(C77&lt;0)*Parameters!B$65</f>
        <v>3.3380168350812689E-4</v>
      </c>
      <c r="J78" s="23">
        <f>J77*(1+Parameters!$B$51)^Parameters!B$65</f>
        <v>10.110086604991819</v>
      </c>
      <c r="K78" s="23">
        <f>K77*(1+Parameters!$B$53)^Parameters!B$65</f>
        <v>39.065103662555899</v>
      </c>
      <c r="L78" s="23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1.4751819894685434</v>
      </c>
      <c r="M78" s="8">
        <f>M77+L78*Parameters!B$65</f>
        <v>3178.7323937072601</v>
      </c>
      <c r="N78" s="7">
        <f>M78*Parameters!$B$45</f>
        <v>1.9072394362243559</v>
      </c>
      <c r="O78" s="9">
        <f>EXP(-Parameters!$B$46/2*N78^2)</f>
        <v>0.96410265564367226</v>
      </c>
      <c r="P78" s="8">
        <f>MAX((Parameters!$B$62 + Parameters!$B$31*'6states'!A78 - '6states'!M78 + Parameters!$B$47/Parameters!$B$45)/Parameters!B$62,1)</f>
        <v>62.161352125854798</v>
      </c>
      <c r="Q78" s="7">
        <f>Parameters!B$61*EXP(-Parameters!B$60*A78)</f>
        <v>6.780311232709485E-2</v>
      </c>
      <c r="R78" s="7">
        <f>(1-Parameters!B$61)*P78^-Parameters!B$63</f>
        <v>0.33083995956525397</v>
      </c>
      <c r="S78" s="7">
        <f>Parameters!B$61*EXP(-Parameters!B$60*A78)+(1-Parameters!B$61)*P78^-Parameters!B$63</f>
        <v>0.39864307189234882</v>
      </c>
      <c r="T78" s="7">
        <f>1-S78/Parameters!$B$12</f>
        <v>0.80067846405382559</v>
      </c>
      <c r="U78" s="7">
        <f t="shared" si="37"/>
        <v>5.0170193363854274</v>
      </c>
      <c r="V78" s="7">
        <f>(Parameters!$B$19*(F78+Parameters!$B$20)^T78+Parameters!$B$18*G78^T78)^(1/T78)</f>
        <v>0.33224741529649338</v>
      </c>
      <c r="W78" s="7">
        <f>(Parameters!$B$10*H78^Parameters!$B$9+Parameters!$B$11*V78^Parameters!$B$9)^(Parameters!$B$7/Parameters!$B$9)*O78</f>
        <v>1.3391418662028545</v>
      </c>
      <c r="X78" s="7">
        <f>W78 - D78 - E78 - LN(1+EXP(Parameters!$B$21*C78))/Parameters!$B$21 - IF(C78&gt;0, 0,Parameters!$B$6*C78^2/F78)</f>
        <v>1.0224902623878449</v>
      </c>
      <c r="Y78" s="7">
        <f>EXP(-Parameters!$B$55*A78)</f>
        <v>0.32712922587116899</v>
      </c>
      <c r="Z78" s="7">
        <f>IF(X78&gt;0,X78^(1-Parameters!$B$52)/(1-Parameters!$B$52)*Y78*Parameters!$B$65,-10+X78*1000)</f>
        <v>-0.92740746706545774</v>
      </c>
      <c r="AC78" s="23">
        <f t="shared" si="38"/>
        <v>0.13183550272925987</v>
      </c>
      <c r="AD78" s="23">
        <f t="shared" si="39"/>
        <v>3.7332040243053322</v>
      </c>
      <c r="AE78" s="23">
        <f t="shared" si="40"/>
        <v>529.38805905724223</v>
      </c>
      <c r="AF78" s="23">
        <f t="shared" si="41"/>
        <v>131.22164204137084</v>
      </c>
      <c r="AG78" s="23">
        <f t="shared" si="42"/>
        <v>332.5968193071771</v>
      </c>
      <c r="AH78" s="23">
        <f t="shared" si="43"/>
        <v>528.8961975901907</v>
      </c>
      <c r="AI78" s="23">
        <f t="shared" si="44"/>
        <v>403.83414595448693</v>
      </c>
      <c r="AJ78" s="23"/>
      <c r="AK78" s="25">
        <f t="shared" si="35"/>
        <v>528.89619759019058</v>
      </c>
      <c r="AL78" s="4"/>
      <c r="AM78" s="4"/>
      <c r="AN78" s="4"/>
      <c r="AO78" s="16"/>
      <c r="AP78" s="16"/>
      <c r="AR78" s="13">
        <f>1-W78/'6states,ExoDamages'!T78</f>
        <v>9.3689158316192289E-2</v>
      </c>
      <c r="AS78" s="21">
        <f>-Y78*W78*X78^(-Parameters!B$52)*Parameters!B$46*Parameters!B$45*N78</f>
        <v>-9.7781921135446146E-6</v>
      </c>
      <c r="AT78" s="7">
        <f>1000*EXP(-(Parameters!$B$54)*'6states'!A78)*AK78*Parameters!B$46*Parameters!B$45*N78</f>
        <v>0.90591298219828176</v>
      </c>
      <c r="AU78" s="7">
        <f>SUM(AT78:AT$204)*EXP(Parameters!$B$54*A78)</f>
        <v>862.61170346432687</v>
      </c>
      <c r="AZ78" s="5"/>
      <c r="BA78" s="5"/>
      <c r="BB78" s="5"/>
      <c r="BE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-0.63572770427071568</v>
      </c>
      <c r="BF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-251.08166205341357</v>
      </c>
      <c r="BG78" s="7">
        <f t="shared" si="36"/>
        <v>3.410974242491361E-2</v>
      </c>
      <c r="BM78">
        <f>EXP(-Parameters!$B$56*A78)*AZ78*BF78</f>
        <v>0</v>
      </c>
      <c r="BN78">
        <f>-EXP((Parameters!$B$56)*F78)*SUM(BM78:BM86)</f>
        <v>0</v>
      </c>
      <c r="BO78">
        <f>X78^-Parameters!B$52/(1-2*Parameters!B$5*'6states'!D78/'6states'!G78)</f>
        <v>1.1259970363814413</v>
      </c>
      <c r="BP78">
        <f t="shared" si="45"/>
        <v>0.9996315423292329</v>
      </c>
      <c r="BQ78">
        <f>$X78^-Parameters!$B$52/(1-2*Parameters!$B$5*'6states'!$E78/'6states'!$H78)</f>
        <v>1.1222327740680864</v>
      </c>
      <c r="BR78">
        <f t="shared" si="47"/>
        <v>0.99984492489225496</v>
      </c>
      <c r="BS78" s="7">
        <f>($X78^-Parameters!$B$52*(1/(1+EXP(-C78)) + IF(C78&lt;0,2*Parameters!$B$6*C78/F78,0)) + BK78*(1/(1+EXP((C78-Parameters!$B$22)*Parameters!$B$21))))/(1-IF(C78&gt;0,2*Parameters!$B$5*C78/F78,0))</f>
        <v>0.48702415076439443</v>
      </c>
      <c r="BT78">
        <f t="shared" si="48"/>
        <v>1.0001001196508343</v>
      </c>
      <c r="BU78" s="7">
        <f t="shared" si="34"/>
        <v>4.875580650814948E-5</v>
      </c>
      <c r="BV78">
        <f>(1/$T78-1/Parameters!$B$13) * LN(Parameters!$B$18) / LN(P78)</f>
        <v>0.21665345045529613</v>
      </c>
      <c r="BW78">
        <f>(Parameters!$B$18*'6states'!T78^+Parameters!$B$19*Parameters!$B$25^'6states'!T78)^((1-'6states'!T78)/'6states'!T78)*Parameters!$B$18*Parameters!$B$26^('6states'!T78-1)</f>
        <v>0.30167266306544532</v>
      </c>
      <c r="BX78">
        <f t="shared" si="46"/>
        <v>0.20437844625493304</v>
      </c>
      <c r="BY78">
        <f t="shared" si="49"/>
        <v>0.13944067939746785</v>
      </c>
      <c r="BZ78">
        <f t="shared" si="50"/>
        <v>0.18868878473415085</v>
      </c>
    </row>
    <row r="79" spans="1:78" s="4" customFormat="1" x14ac:dyDescent="0.25">
      <c r="A79" s="4">
        <f>A78+Parameters!$B$65</f>
        <v>75</v>
      </c>
      <c r="B79">
        <v>2100</v>
      </c>
      <c r="C79" s="74">
        <v>1.7559462714752116E-5</v>
      </c>
      <c r="D79" s="69">
        <v>9.2598988663839268E-2</v>
      </c>
      <c r="E79" s="75">
        <v>0.22173333325540737</v>
      </c>
      <c r="F79" s="7">
        <f>MAX((1-Parameters!$B$4)^Parameters!B$65*F78 + C78*Parameters!B$65 - IF(C78&gt;0,Parameters!$B$5,0)*C78^2/F78*Parameters!B$65, 0.0001)</f>
        <v>8.8752847480881476E-3</v>
      </c>
      <c r="G79" s="16">
        <f>(1-Parameters!$B$4)^Parameters!B$65*G78+D78*Parameters!B$65-Parameters!$B$5*D78^2/G78*Parameters!B$65</f>
        <v>1.3422787829716574</v>
      </c>
      <c r="H79" s="16">
        <f>(1-Parameters!$B$4)^Parameters!B$65*H78+E78*Parameters!B$65-Parameters!$B$5*E78^2/H78*Parameters!B$65</f>
        <v>3.2787546704763639</v>
      </c>
      <c r="I79" s="9">
        <f>I78 *(1-Parameters!$B$4)-C78*(C78&lt;0)*Parameters!B$65</f>
        <v>3.1280555761546572E-4</v>
      </c>
      <c r="J79" s="44">
        <f>J78*(1+Parameters!$B$51)^Parameters!B$65</f>
        <v>10.139405856146295</v>
      </c>
      <c r="K79" s="44">
        <f>K78*(1+Parameters!$B$53)^Parameters!B$65</f>
        <v>39.846405735807018</v>
      </c>
      <c r="L79" s="23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1.4029871114240688</v>
      </c>
      <c r="M79" s="25">
        <f>M78+L79*Parameters!B$65</f>
        <v>3180.1353808186841</v>
      </c>
      <c r="N79" s="16">
        <f>M79*Parameters!$B$45</f>
        <v>1.9080812284912103</v>
      </c>
      <c r="O79" s="9">
        <f>EXP(-Parameters!$B$46/2*N79^2)</f>
        <v>0.96407153716847249</v>
      </c>
      <c r="P79" s="8">
        <f>MAX((Parameters!$B$62 + Parameters!$B$31*'6states'!A79 - '6states'!M79 + Parameters!$B$47/Parameters!$B$45)/Parameters!B$62,1)</f>
        <v>63.197292383626319</v>
      </c>
      <c r="Q79" s="7">
        <f>Parameters!B$61*EXP(-Parameters!B$60*A79)</f>
        <v>6.5996921593915112E-2</v>
      </c>
      <c r="R79" s="7">
        <f>(1-Parameters!B$61)*P79^-Parameters!B$63</f>
        <v>0.33029359891575871</v>
      </c>
      <c r="S79" s="7">
        <f>Parameters!B$61*EXP(-Parameters!B$60*A79)+(1-Parameters!B$61)*P79^-Parameters!B$63</f>
        <v>0.39629052050967384</v>
      </c>
      <c r="T79" s="16">
        <f>1-S79/Parameters!$B$12</f>
        <v>0.80185473974516308</v>
      </c>
      <c r="U79" s="16">
        <f t="shared" si="37"/>
        <v>5.0468025261562577</v>
      </c>
      <c r="V79" s="7">
        <f>(Parameters!$B$19*(F79+Parameters!$B$20)^T79+Parameters!$B$18*G79^T79)^(1/T79)</f>
        <v>0.33250879333574318</v>
      </c>
      <c r="W79" s="16">
        <f>(Parameters!$B$10*H79^Parameters!$B$9+Parameters!$B$11*V79^Parameters!$B$9)^(Parameters!$B$7/Parameters!$B$9)*O79</f>
        <v>1.3392412953463848</v>
      </c>
      <c r="X79" s="7">
        <f>W79 - D79 - E79 - LN(1+EXP(Parameters!$B$21*C79))/Parameters!$B$21 - IF(C79&gt;0, 0,Parameters!$B$6*C79^2/F79)</f>
        <v>1.0225896915313752</v>
      </c>
      <c r="Y79" s="16">
        <f>EXP(-Parameters!$B$55*A79)</f>
        <v>0.32222668191941661</v>
      </c>
      <c r="Z79" s="16">
        <f>IF(X79&gt;0,X79^(1-Parameters!$B$52)/(1-Parameters!$B$52)*Y79*Parameters!$B$65,-10+X79*1000)</f>
        <v>-0.91347772423092666</v>
      </c>
      <c r="AC79" s="23">
        <f t="shared" si="38"/>
        <v>0.12637935094048047</v>
      </c>
      <c r="AD79" s="23">
        <f t="shared" si="39"/>
        <v>3.5857826006217639</v>
      </c>
      <c r="AE79" s="23">
        <f t="shared" si="40"/>
        <v>542.30597009299731</v>
      </c>
      <c r="AF79" s="23">
        <f t="shared" si="41"/>
        <v>134.33983016194313</v>
      </c>
      <c r="AG79" s="23">
        <f t="shared" si="42"/>
        <v>340.50023702676941</v>
      </c>
      <c r="AH79" s="23">
        <f t="shared" si="43"/>
        <v>541.07876774564136</v>
      </c>
      <c r="AI79" s="23">
        <f t="shared" si="44"/>
        <v>413.14554152848513</v>
      </c>
      <c r="AJ79" s="23"/>
      <c r="AK79" s="25">
        <f t="shared" si="35"/>
        <v>541.07876774564136</v>
      </c>
      <c r="AO79" s="16"/>
      <c r="AP79" s="16"/>
      <c r="AR79" s="43">
        <f>1-W79/'6states,ExoDamages'!T79</f>
        <v>9.3583934282941539E-2</v>
      </c>
      <c r="AS79" s="21">
        <f>-Y79*W79*X79^(-Parameters!B$52)*Parameters!B$46*Parameters!B$45*N79</f>
        <v>-9.635352206554559E-6</v>
      </c>
      <c r="AT79" s="16">
        <f>1000*EXP(-(Parameters!$B$54)*'6states'!A79)*AK79*Parameters!B$46*Parameters!B$45*N79</f>
        <v>0.89520899127854914</v>
      </c>
      <c r="AU79" s="16">
        <f>SUM(AT79:AT$204)*EXP(Parameters!$B$54*A79)</f>
        <v>880.82713073769901</v>
      </c>
      <c r="AW79" s="16"/>
      <c r="AX79" s="16"/>
      <c r="AY79" s="16"/>
      <c r="AZ79" s="5"/>
      <c r="BA79" s="5"/>
      <c r="BB79" s="5"/>
      <c r="BC79"/>
      <c r="BD79"/>
      <c r="BE79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-0.63123629961360461</v>
      </c>
      <c r="BF79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-255.03138257315209</v>
      </c>
      <c r="BG79" s="7">
        <f t="shared" si="36"/>
        <v>3.4044676010779748E-2</v>
      </c>
      <c r="BH79"/>
      <c r="BI79"/>
      <c r="BJ79"/>
      <c r="BK79"/>
      <c r="BM79">
        <f>EXP(-Parameters!$B$56*A79)*AZ79*BF79</f>
        <v>0</v>
      </c>
      <c r="BN79">
        <f>-EXP((Parameters!$B$56)*F79)*SUM(BM79:BM87)</f>
        <v>0</v>
      </c>
      <c r="BO79">
        <f>X79^-Parameters!B$52/(1-2*Parameters!B$5*'6states'!D79/'6states'!G79)</f>
        <v>1.1255949400536343</v>
      </c>
      <c r="BP79">
        <f t="shared" si="45"/>
        <v>0.99964289752564606</v>
      </c>
      <c r="BQ79">
        <f>$X79^-Parameters!$B$52/(1-2*Parameters!$B$5*'6states'!$E79/'6states'!$H79)</f>
        <v>1.1220567890439934</v>
      </c>
      <c r="BR79">
        <f t="shared" si="47"/>
        <v>0.99984318313619103</v>
      </c>
      <c r="BS79" s="7">
        <f>($X79^-Parameters!$B$52*(1/(1+EXP(-C79)) + IF(C79&lt;0,2*Parameters!$B$6*C79/F79,0)) + BK79*(1/(1+EXP((C79-Parameters!$B$22)*Parameters!$B$21))))/(1-IF(C79&gt;0,2*Parameters!$B$5*C79/F79,0))</f>
        <v>0.48707831758783565</v>
      </c>
      <c r="BT79">
        <f t="shared" si="48"/>
        <v>1.0001112199946476</v>
      </c>
      <c r="BU79" s="7">
        <f t="shared" si="34"/>
        <v>5.4166823441226253E-5</v>
      </c>
      <c r="BV79">
        <f>(1/$T79-1/Parameters!$B$13) * LN(Parameters!$B$18) / LN(P79)</f>
        <v>0.21631621280913454</v>
      </c>
      <c r="BW79">
        <f>(Parameters!$B$18*'6states'!T79^+Parameters!$B$19*Parameters!$B$25^'6states'!T79)^((1-'6states'!T79)/'6states'!T79)*Parameters!$B$18*Parameters!$B$26^('6states'!T79-1)</f>
        <v>0.30190905233762932</v>
      </c>
      <c r="BX79">
        <f t="shared" si="46"/>
        <v>0.20375265876604473</v>
      </c>
      <c r="BY79" s="53">
        <f t="shared" si="49"/>
        <v>0.13923949556200976</v>
      </c>
      <c r="BZ79">
        <f t="shared" si="50"/>
        <v>0.18882170926141484</v>
      </c>
    </row>
    <row r="80" spans="1:78" x14ac:dyDescent="0.25">
      <c r="A80">
        <f>A79+Parameters!$B$65</f>
        <v>76</v>
      </c>
      <c r="B80">
        <v>2101</v>
      </c>
      <c r="C80" s="74">
        <v>1.7559462714752116E-5</v>
      </c>
      <c r="D80" s="69">
        <v>9.2598988663839268E-2</v>
      </c>
      <c r="E80" s="75">
        <v>0.22173333325540737</v>
      </c>
      <c r="F80" s="7">
        <f>MAX((1-Parameters!$B$4)^Parameters!B$65*F79 + C79*Parameters!B$65 - IF(C79&gt;0,Parameters!$B$5,0)*C79^2/F79*Parameters!B$65, 0.0001)</f>
        <v>8.3345540593212884E-3</v>
      </c>
      <c r="G80" s="7">
        <f>(1-Parameters!$B$4)^Parameters!B$65*G79+D79*Parameters!B$65-Parameters!$B$5*D79^2/G79*Parameters!B$65</f>
        <v>1.3440603647886373</v>
      </c>
      <c r="H80" s="7">
        <f>(1-Parameters!$B$4)^Parameters!B$65*H79+E79*Parameters!B$65-Parameters!$B$5*E79^2/H79*Parameters!B$65</f>
        <v>3.2792591078015985</v>
      </c>
      <c r="I80" s="9">
        <f>I79 *(1-Parameters!$B$4)-C79*(C79&lt;0)*Parameters!B$65</f>
        <v>2.9313008804145293E-4</v>
      </c>
      <c r="J80" s="23">
        <f>J79*(1+Parameters!$B$51)^Parameters!B$65</f>
        <v>10.168810133129119</v>
      </c>
      <c r="K80" s="23">
        <f>K79*(1+Parameters!$B$53)^Parameters!B$65</f>
        <v>40.643333850523156</v>
      </c>
      <c r="L80" s="23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1.3345062531860683</v>
      </c>
      <c r="M80" s="8">
        <f>M79+L80*Parameters!B$65</f>
        <v>3181.4698870718703</v>
      </c>
      <c r="N80" s="7">
        <f>M80*Parameters!$B$45</f>
        <v>1.9088819322431221</v>
      </c>
      <c r="O80" s="9">
        <f>EXP(-Parameters!$B$46/2*N80^2)</f>
        <v>0.96404192579955517</v>
      </c>
      <c r="P80" s="8">
        <f>MAX((Parameters!$B$62 + Parameters!$B$31*'6states'!A80 - '6states'!M80 + Parameters!$B$47/Parameters!$B$45)/Parameters!B$62,1)</f>
        <v>64.234602258562603</v>
      </c>
      <c r="Q80" s="7">
        <f>Parameters!B$61*EXP(-Parameters!B$60*A80)</f>
        <v>6.4238845539437511E-2</v>
      </c>
      <c r="R80" s="7">
        <f>(1-Parameters!B$61)*P80^-Parameters!B$63</f>
        <v>0.32975629916748</v>
      </c>
      <c r="S80" s="7">
        <f>Parameters!B$61*EXP(-Parameters!B$60*A80)+(1-Parameters!B$61)*P80^-Parameters!B$63</f>
        <v>0.39399514470691754</v>
      </c>
      <c r="T80" s="7">
        <f>1-S80/Parameters!$B$12</f>
        <v>0.80300242764654128</v>
      </c>
      <c r="U80" s="7">
        <f t="shared" si="37"/>
        <v>5.0762046864505068</v>
      </c>
      <c r="V80" s="7">
        <f>(Parameters!$B$19*(F80+Parameters!$B$20)^T80+Parameters!$B$18*G80^T80)^(1/T80)</f>
        <v>0.33277807472802295</v>
      </c>
      <c r="W80" s="7">
        <f>(Parameters!$B$10*H80^Parameters!$B$9+Parameters!$B$11*V80^Parameters!$B$9)^(Parameters!$B$7/Parameters!$B$9)*O80</f>
        <v>1.3393428828078804</v>
      </c>
      <c r="X80" s="7">
        <f>W80 - D80 - E80 - LN(1+EXP(Parameters!$B$21*C80))/Parameters!$B$21 - IF(C80&gt;0, 0,Parameters!$B$6*C80^2/F80)</f>
        <v>1.0226912789928708</v>
      </c>
      <c r="Y80" s="7">
        <f>EXP(-Parameters!$B$55*A80)</f>
        <v>0.31739761026942775</v>
      </c>
      <c r="Z80" s="7">
        <f>IF(X80&gt;0,X80^(1-Parameters!$B$52)/(1-Parameters!$B$52)*Y80*Parameters!$B$65,-10+X80*1000)</f>
        <v>-0.89975654574643837</v>
      </c>
      <c r="AC80" s="23">
        <f t="shared" si="38"/>
        <v>0.1211490077671795</v>
      </c>
      <c r="AD80" s="23">
        <f t="shared" si="39"/>
        <v>3.4446240616756558</v>
      </c>
      <c r="AE80" s="23">
        <f t="shared" si="40"/>
        <v>555.49254824468903</v>
      </c>
      <c r="AF80" s="23">
        <f t="shared" si="41"/>
        <v>137.53529645947177</v>
      </c>
      <c r="AG80" s="23">
        <f t="shared" si="42"/>
        <v>348.59952545379758</v>
      </c>
      <c r="AH80" s="23">
        <f t="shared" si="43"/>
        <v>553.54283961891531</v>
      </c>
      <c r="AI80" s="23">
        <f t="shared" si="44"/>
        <v>422.67252239426557</v>
      </c>
      <c r="AJ80" s="23"/>
      <c r="AK80" s="25">
        <f t="shared" si="35"/>
        <v>553.5428396189152</v>
      </c>
      <c r="AL80" s="4"/>
      <c r="AM80" s="4"/>
      <c r="AN80" s="4"/>
      <c r="AO80" s="16"/>
      <c r="AP80" s="16"/>
      <c r="AR80" s="13">
        <f>1-W80/'6states,ExoDamages'!T80</f>
        <v>9.3479715301185151E-2</v>
      </c>
      <c r="AS80" s="21">
        <f>-Y80*W80*X80^(-Parameters!B$52)*Parameters!B$46*Parameters!B$45*N80</f>
        <v>-9.4943810106513646E-6</v>
      </c>
      <c r="AT80" s="7">
        <f>1000*EXP(-(Parameters!$B$54)*'6states'!A80)*AK80*Parameters!B$46*Parameters!B$45*N80</f>
        <v>0.88461368272199092</v>
      </c>
      <c r="AU80" s="7">
        <f>SUM(AT80:AT$204)*EXP(Parameters!$B$54*A80)</f>
        <v>899.39735823424871</v>
      </c>
      <c r="AZ80" s="5"/>
      <c r="BA80" s="5"/>
      <c r="BB80" s="5"/>
      <c r="BE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-0.62689116343695328</v>
      </c>
      <c r="BF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-259.09057284375251</v>
      </c>
      <c r="BG80" s="7">
        <f t="shared" si="36"/>
        <v>3.3975523794650637E-2</v>
      </c>
      <c r="BM80">
        <f>EXP(-Parameters!$B$56*A80)*AZ80*BF80</f>
        <v>0</v>
      </c>
      <c r="BN80">
        <f>-EXP((Parameters!$B$56)*F80)*SUM(BM80:BM88)</f>
        <v>0</v>
      </c>
      <c r="BO80">
        <f>X80^-Parameters!B$52/(1-2*Parameters!B$5*'6states'!D80/'6states'!G80)</f>
        <v>1.1252052788308002</v>
      </c>
      <c r="BP80">
        <f t="shared" si="45"/>
        <v>0.99965381754220084</v>
      </c>
      <c r="BQ80">
        <f>$X80^-Parameters!$B$52/(1-2*Parameters!$B$5*'6states'!$E80/'6states'!$H80)</f>
        <v>1.1218793312595132</v>
      </c>
      <c r="BR80">
        <f t="shared" si="47"/>
        <v>0.99984184598657311</v>
      </c>
      <c r="BS80" s="7">
        <f>($X80^-Parameters!$B$52*(1/(1+EXP(-C80)) + IF(C80&lt;0,2*Parameters!$B$6*C80/F80,0)) + BK80*(1/(1+EXP((C80-Parameters!$B$22)*Parameters!$B$21))))/(1-IF(C80&gt;0,2*Parameters!$B$5*C80/F80,0))</f>
        <v>0.48713855584601878</v>
      </c>
      <c r="BT80">
        <f t="shared" si="48"/>
        <v>1.0001236726333487</v>
      </c>
      <c r="BU80" s="7">
        <f t="shared" si="34"/>
        <v>6.0238258183131776E-5</v>
      </c>
      <c r="BV80">
        <f>(1/$T80-1/Parameters!$B$13) * LN(Parameters!$B$18) / LN(P80)</f>
        <v>0.2159802669242763</v>
      </c>
      <c r="BW80">
        <f>(Parameters!$B$18*'6states'!T80^+Parameters!$B$19*Parameters!$B$25^'6states'!T80)^((1-'6states'!T80)/'6states'!T80)*Parameters!$B$18*Parameters!$B$26^('6states'!T80-1)</f>
        <v>0.30213657661581678</v>
      </c>
      <c r="BX80">
        <f t="shared" si="46"/>
        <v>0.20313671847510725</v>
      </c>
      <c r="BY80">
        <f t="shared" si="49"/>
        <v>0.13903903558144293</v>
      </c>
      <c r="BZ80">
        <f t="shared" si="50"/>
        <v>0.18894962832755291</v>
      </c>
    </row>
    <row r="81" spans="1:76" x14ac:dyDescent="0.25">
      <c r="A81">
        <f>A80+Parameters!$B$65</f>
        <v>77</v>
      </c>
      <c r="B81">
        <v>2102</v>
      </c>
      <c r="C81" s="74">
        <v>1.7559462714752116E-5</v>
      </c>
      <c r="D81" s="69">
        <v>9.2598988663839268E-2</v>
      </c>
      <c r="E81" s="75">
        <v>0.22173333325540737</v>
      </c>
      <c r="F81" s="7">
        <f>MAX((1-Parameters!$B$4)^Parameters!B$65*F80 + C80*Parameters!B$65 - IF(C80&gt;0,Parameters!$B$5,0)*C80^2/F80*Parameters!B$65, 0.0001)</f>
        <v>7.8278330769562861E-3</v>
      </c>
      <c r="G81" s="7">
        <f>(1-Parameters!$B$4)^Parameters!B$65*G80+D80*Parameters!B$65-Parameters!$B$5*D80^2/G80*Parameters!B$65</f>
        <v>1.3457383526396176</v>
      </c>
      <c r="H81" s="7">
        <f>(1-Parameters!$B$4)^Parameters!B$65*H80+E80*Parameters!B$65-Parameters!$B$5*E80^2/H80*Parameters!B$65</f>
        <v>3.279734122684097</v>
      </c>
      <c r="I81" s="9">
        <f>I80 *(1-Parameters!$B$4)-C80*(C80&lt;0)*Parameters!B$65</f>
        <v>2.7469220550364556E-4</v>
      </c>
      <c r="J81" s="23">
        <f>J80*(1+Parameters!$B$51)^Parameters!B$65</f>
        <v>10.198299682515193</v>
      </c>
      <c r="K81" s="23">
        <f>K80*(1+Parameters!$B$53)^Parameters!B$65</f>
        <v>41.456200527533618</v>
      </c>
      <c r="L81" s="23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1.2695507696119019</v>
      </c>
      <c r="M81" s="8">
        <f>M80+L81*Parameters!B$65</f>
        <v>3182.7394378414824</v>
      </c>
      <c r="N81" s="7">
        <f>M81*Parameters!$B$45</f>
        <v>1.9096436627048894</v>
      </c>
      <c r="O81" s="9">
        <f>EXP(-Parameters!$B$46/2*N81^2)</f>
        <v>0.96401374504190562</v>
      </c>
      <c r="P81" s="8">
        <f>MAX((Parameters!$B$62 + Parameters!$B$31*'6states'!A81 - '6states'!M81 + Parameters!$B$47/Parameters!$B$45)/Parameters!B$62,1)</f>
        <v>65.273211243170365</v>
      </c>
      <c r="Q81" s="7">
        <f>Parameters!B$61*EXP(-Parameters!B$60*A81)</f>
        <v>6.2527602448356992E-2</v>
      </c>
      <c r="R81" s="7">
        <f>(1-Parameters!B$61)*P81^-Parameters!B$63</f>
        <v>0.32922780492492226</v>
      </c>
      <c r="S81" s="7">
        <f>Parameters!B$61*EXP(-Parameters!B$60*A81)+(1-Parameters!B$61)*P81^-Parameters!B$63</f>
        <v>0.39175540737327924</v>
      </c>
      <c r="T81" s="7">
        <f>1-S81/Parameters!$B$12</f>
        <v>0.80412229631336041</v>
      </c>
      <c r="U81" s="7">
        <f t="shared" si="37"/>
        <v>5.1052262773091099</v>
      </c>
      <c r="V81" s="7">
        <f>(Parameters!$B$19*(F81+Parameters!$B$20)^T81+Parameters!$B$18*G81^T81)^(1/T81)</f>
        <v>0.33305424853783577</v>
      </c>
      <c r="W81" s="7">
        <f>(Parameters!$B$10*H81^Parameters!$B$9+Parameters!$B$11*V81^Parameters!$B$9)^(Parameters!$B$7/Parameters!$B$9)*O81</f>
        <v>1.3394462766610993</v>
      </c>
      <c r="X81" s="7">
        <f>W81 - D81 - E81 - LN(1+EXP(Parameters!$B$21*C81))/Parameters!$B$21 - IF(C81&gt;0, 0,Parameters!$B$6*C81^2/F81)</f>
        <v>1.0227946728460897</v>
      </c>
      <c r="Y81" s="7">
        <f>EXP(-Parameters!$B$55*A81)</f>
        <v>0.31264090982365395</v>
      </c>
      <c r="Z81" s="7">
        <f>IF(X81&gt;0,X81^(1-Parameters!$B$52)/(1-Parameters!$B$52)*Y81*Parameters!$B$65,-10+X81*1000)</f>
        <v>-0.88624092575736924</v>
      </c>
      <c r="AC81" s="23">
        <f t="shared" si="38"/>
        <v>0.11613512788085477</v>
      </c>
      <c r="AD81" s="23">
        <f t="shared" si="39"/>
        <v>3.309472847092628</v>
      </c>
      <c r="AE81" s="23">
        <f t="shared" si="40"/>
        <v>568.95497049660059</v>
      </c>
      <c r="AF81" s="23">
        <f t="shared" si="41"/>
        <v>140.80959332022331</v>
      </c>
      <c r="AG81" s="23">
        <f t="shared" si="42"/>
        <v>356.89861929542241</v>
      </c>
      <c r="AH81" s="23">
        <f t="shared" si="43"/>
        <v>566.29478926917375</v>
      </c>
      <c r="AI81" s="23">
        <f t="shared" si="44"/>
        <v>432.4199513016805</v>
      </c>
      <c r="AJ81" s="23"/>
      <c r="AK81" s="25">
        <f t="shared" si="35"/>
        <v>566.29478926917375</v>
      </c>
      <c r="AL81" s="4"/>
      <c r="AM81" s="4"/>
      <c r="AN81" s="4"/>
      <c r="AO81" s="16"/>
      <c r="AP81" s="16"/>
      <c r="AR81" s="13">
        <f>1-W81/'6states,ExoDamages'!T81</f>
        <v>9.3376590387621028E-2</v>
      </c>
      <c r="AS81" s="21">
        <f>-Y81*W81*X81^(-Parameters!B$52)*Parameters!B$46*Parameters!B$45*N81</f>
        <v>-9.3552701179315244E-6</v>
      </c>
      <c r="AT81" s="7">
        <f>1000*EXP(-(Parameters!$B$54)*'6states'!A81)*AK81*Parameters!B$46*Parameters!B$45*N81</f>
        <v>0.87412695595803269</v>
      </c>
      <c r="AU81" s="7">
        <f>SUM(AT81:AT$204)*EXP(Parameters!$B$54*A81)</f>
        <v>918.32837635077328</v>
      </c>
      <c r="AZ81" s="5"/>
      <c r="BA81" s="5"/>
      <c r="BB81" s="5"/>
      <c r="BE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-0.62269631208483367</v>
      </c>
      <c r="BF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-263.26526339659483</v>
      </c>
      <c r="BG81" s="7">
        <f t="shared" si="36"/>
        <v>3.3902048550010673E-2</v>
      </c>
      <c r="BM81">
        <f>EXP(-Parameters!$B$56*A81)*AZ81*BF81</f>
        <v>0</v>
      </c>
      <c r="BN81">
        <f>-EXP((Parameters!$B$56)*F81)*SUM(BM81:BM89)</f>
        <v>0</v>
      </c>
      <c r="BO81">
        <f>X81^-Parameters!B$52/(1-2*Parameters!B$5*'6states'!D81/'6states'!G81)</f>
        <v>1.1248275842202424</v>
      </c>
      <c r="BP81">
        <f t="shared" si="45"/>
        <v>0.99966433270651711</v>
      </c>
      <c r="BQ81">
        <f>$X81^-Parameters!$B$52/(1-2*Parameters!$B$5*'6states'!$E81/'6states'!$H81)</f>
        <v>1.1217008243364073</v>
      </c>
      <c r="BR81">
        <f t="shared" si="47"/>
        <v>0.9998408858081862</v>
      </c>
      <c r="BS81" s="7">
        <f>($X81^-Parameters!$B$52*(1/(1+EXP(-C81)) + IF(C81&lt;0,2*Parameters!$B$6*C81/F81,0)) + BK81*(1/(1+EXP((C81-Parameters!$B$22)*Parameters!$B$21))))/(1-IF(C81&gt;0,2*Parameters!$B$5*C81/F81,0))</f>
        <v>0.48720553098236336</v>
      </c>
      <c r="BT81">
        <f t="shared" si="48"/>
        <v>1.0001374868310891</v>
      </c>
      <c r="BU81" s="7">
        <f t="shared" si="34"/>
        <v>6.6975136344571418E-5</v>
      </c>
      <c r="BW81">
        <f>(Parameters!$B$18*'6states'!T81^+Parameters!$B$19*Parameters!$B$25^'6states'!T81)^((1-'6states'!T81)/'6states'!T81)*Parameters!$B$18*Parameters!$B$26^('6states'!T81-1)</f>
        <v>0.30235562404504496</v>
      </c>
      <c r="BX81">
        <f t="shared" si="46"/>
        <v>0.20253040898855909</v>
      </c>
    </row>
    <row r="82" spans="1:76" x14ac:dyDescent="0.25">
      <c r="A82">
        <f>A81+Parameters!$B$65</f>
        <v>78</v>
      </c>
      <c r="B82">
        <v>2103</v>
      </c>
      <c r="C82" s="74">
        <v>1.7559462714752116E-5</v>
      </c>
      <c r="D82" s="69">
        <v>9.2598988663839268E-2</v>
      </c>
      <c r="E82" s="75">
        <v>0.22173333325540737</v>
      </c>
      <c r="F82" s="7">
        <f>MAX((1-Parameters!$B$4)^Parameters!B$65*F81 + C81*Parameters!B$65 - IF(C81&gt;0,Parameters!$B$5,0)*C81^2/F81*Parameters!B$65, 0.0001)</f>
        <v>7.3529824495921839E-3</v>
      </c>
      <c r="G82" s="7">
        <f>(1-Parameters!$B$4)^Parameters!B$65*G81+D81*Parameters!B$65-Parameters!$B$5*D81^2/G81*Parameters!B$65</f>
        <v>1.3473187497197794</v>
      </c>
      <c r="H82" s="7">
        <f>(1-Parameters!$B$4)^Parameters!B$65*H81+E81*Parameters!B$65-Parameters!$B$5*E81^2/H81*Parameters!B$65</f>
        <v>3.2801814306053982</v>
      </c>
      <c r="I82" s="9">
        <f>I81 *(1-Parameters!$B$4)-C81*(C81&lt;0)*Parameters!B$65</f>
        <v>2.5741406577746629E-4</v>
      </c>
      <c r="J82" s="23">
        <f>J81*(1+Parameters!$B$51)^Parameters!B$65</f>
        <v>10.227874751594486</v>
      </c>
      <c r="K82" s="23">
        <f>K81*(1+Parameters!$B$53)^Parameters!B$65</f>
        <v>42.285324538084289</v>
      </c>
      <c r="L82" s="23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1.2079416291868079</v>
      </c>
      <c r="M82" s="8">
        <f>M81+L82*Parameters!B$65</f>
        <v>3183.9473794706691</v>
      </c>
      <c r="N82" s="7">
        <f>M82*Parameters!$B$45</f>
        <v>1.9103684276824013</v>
      </c>
      <c r="O82" s="9">
        <f>EXP(-Parameters!$B$46/2*N82^2)</f>
        <v>0.96398692217575954</v>
      </c>
      <c r="P82" s="8">
        <f>MAX((Parameters!$B$62 + Parameters!$B$31*'6states'!A82 - '6states'!M82 + Parameters!$B$47/Parameters!$B$45)/Parameters!B$62,1)</f>
        <v>66.313052410586621</v>
      </c>
      <c r="Q82" s="7">
        <f>Parameters!B$61*EXP(-Parameters!B$60*A82)</f>
        <v>6.0861944748672944E-2</v>
      </c>
      <c r="R82" s="7">
        <f>(1-Parameters!B$61)*P82^-Parameters!B$63</f>
        <v>0.32870787018351438</v>
      </c>
      <c r="S82" s="7">
        <f>Parameters!B$61*EXP(-Parameters!B$60*A82)+(1-Parameters!B$61)*P82^-Parameters!B$63</f>
        <v>0.38956981493218734</v>
      </c>
      <c r="T82" s="7">
        <f>1-S82/Parameters!$B$12</f>
        <v>0.80521509253390633</v>
      </c>
      <c r="U82" s="7">
        <f t="shared" si="37"/>
        <v>5.1338679829394414</v>
      </c>
      <c r="V82" s="7">
        <f>(Parameters!$B$19*(F82+Parameters!$B$20)^T82+Parameters!$B$18*G82^T82)^(1/T82)</f>
        <v>0.33333637072655525</v>
      </c>
      <c r="W82" s="7">
        <f>(Parameters!$B$10*H82^Parameters!$B$9+Parameters!$B$11*V82^Parameters!$B$9)^(Parameters!$B$7/Parameters!$B$9)*O82</f>
        <v>1.3395511491720409</v>
      </c>
      <c r="X82" s="7">
        <f>W82 - D82 - E82 - LN(1+EXP(Parameters!$B$21*C82))/Parameters!$B$21 - IF(C82&gt;0, 0,Parameters!$B$6*C82^2/F82)</f>
        <v>1.0228995453570313</v>
      </c>
      <c r="Y82" s="7">
        <f>EXP(-Parameters!$B$55*A82)</f>
        <v>0.30795549598621846</v>
      </c>
      <c r="Z82" s="7">
        <f>IF(X82&gt;0,X82^(1-Parameters!$B$52)/(1-Parameters!$B$52)*Y82*Parameters!$B$65,-10+X82*1000)</f>
        <v>-0.87292789102682</v>
      </c>
      <c r="AC82" s="23">
        <f t="shared" si="38"/>
        <v>0.11132875271931326</v>
      </c>
      <c r="AD82" s="23">
        <f t="shared" si="39"/>
        <v>3.1800840502157111</v>
      </c>
      <c r="AE82" s="23">
        <f t="shared" si="40"/>
        <v>582.70054306713041</v>
      </c>
      <c r="AF82" s="23">
        <f t="shared" si="41"/>
        <v>144.16431470785059</v>
      </c>
      <c r="AG82" s="23">
        <f t="shared" si="42"/>
        <v>365.40155864162273</v>
      </c>
      <c r="AH82" s="23">
        <f t="shared" si="43"/>
        <v>579.3411412489362</v>
      </c>
      <c r="AI82" s="23">
        <f t="shared" si="44"/>
        <v>442.39280475138531</v>
      </c>
      <c r="AJ82" s="23"/>
      <c r="AK82" s="25">
        <f t="shared" si="35"/>
        <v>579.3411412489362</v>
      </c>
      <c r="AL82" s="4"/>
      <c r="AM82" s="4"/>
      <c r="AN82" s="4"/>
      <c r="AO82" s="16"/>
      <c r="AP82" s="16"/>
      <c r="AR82" s="13">
        <f>1-W82/'6states,ExoDamages'!T82</f>
        <v>9.3274640658653873E-2</v>
      </c>
      <c r="AS82" s="21">
        <f>-Y82*W82*X82^(-Parameters!B$52)*Parameters!B$46*Parameters!B$45*N82</f>
        <v>-9.2180098905153922E-6</v>
      </c>
      <c r="AT82" s="7">
        <f>1000*EXP(-(Parameters!$B$54)*'6states'!A82)*AK82*Parameters!B$46*Parameters!B$45*N82</f>
        <v>0.86374864238449278</v>
      </c>
      <c r="AU82" s="7">
        <f>SUM(AT82:AT$204)*EXP(Parameters!$B$54*A82)</f>
        <v>937.62623317505813</v>
      </c>
      <c r="AZ82" s="5"/>
      <c r="BA82" s="5"/>
      <c r="BB82" s="5"/>
      <c r="BE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-0.61865599605660326</v>
      </c>
      <c r="BF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-267.561915061967</v>
      </c>
      <c r="BG82" s="7">
        <f t="shared" si="36"/>
        <v>3.3824001845055407E-2</v>
      </c>
      <c r="BM82">
        <f>EXP(-Parameters!$B$56*A82)*AZ82*BF82</f>
        <v>0</v>
      </c>
      <c r="BN82">
        <f>-EXP((Parameters!$B$56)*F82)*SUM(BM82:BM90)</f>
        <v>0</v>
      </c>
      <c r="BO82">
        <f>X82^-Parameters!B$52/(1-2*Parameters!B$5*'6states'!D82/'6states'!G82)</f>
        <v>1.1244614187256146</v>
      </c>
      <c r="BP82">
        <f t="shared" si="45"/>
        <v>0.99967446967005014</v>
      </c>
      <c r="BQ82">
        <f>$X82^-Parameters!$B$52/(1-2*Parameters!$B$5*'6states'!$E82/'6states'!$H82)</f>
        <v>1.1215216615185961</v>
      </c>
      <c r="BR82">
        <f t="shared" si="47"/>
        <v>0.99984027575452916</v>
      </c>
      <c r="BS82" s="7">
        <f>($X82^-Parameters!$B$52*(1/(1+EXP(-C82)) + IF(C82&lt;0,2*Parameters!$B$6*C82/F82,0)) + BK82*(1/(1+EXP((C82-Parameters!$B$22)*Parameters!$B$21))))/(1-IF(C82&gt;0,2*Parameters!$B$5*C82/F82,0))</f>
        <v>0.48727991460538178</v>
      </c>
      <c r="BT82">
        <f t="shared" si="48"/>
        <v>1.000152674011866</v>
      </c>
      <c r="BU82" s="7">
        <f t="shared" ref="BU82:BU100" si="51">BS82-BS81</f>
        <v>7.4383623018425826E-5</v>
      </c>
      <c r="BW82">
        <f>(Parameters!$B$18*'6states'!T82^+Parameters!$B$19*Parameters!$B$25^'6states'!T82)^((1-'6states'!T82)/'6states'!T82)*Parameters!$B$18*Parameters!$B$26^('6states'!T82-1)</f>
        <v>0.30256656382452884</v>
      </c>
      <c r="BX82">
        <f t="shared" si="46"/>
        <v>0.20193351861252096</v>
      </c>
    </row>
    <row r="83" spans="1:76" x14ac:dyDescent="0.25">
      <c r="A83">
        <f>A82+Parameters!$B$65</f>
        <v>79</v>
      </c>
      <c r="B83">
        <v>2104</v>
      </c>
      <c r="C83" s="74">
        <v>1.7559462714752116E-5</v>
      </c>
      <c r="D83" s="69">
        <v>9.2598988663839268E-2</v>
      </c>
      <c r="E83" s="75">
        <v>0.22173333325540737</v>
      </c>
      <c r="F83" s="7">
        <f>MAX((1-Parameters!$B$4)^Parameters!B$65*F82 + C82*Parameters!B$65 - IF(C82&gt;0,Parameters!$B$5,0)*C82^2/F82*Parameters!B$65, 0.0001)</f>
        <v>6.9079973829395723E-3</v>
      </c>
      <c r="G83" s="7">
        <f>(1-Parameters!$B$4)^Parameters!B$65*G82+D82*Parameters!B$65-Parameters!$B$5*D82^2/G82*Parameters!B$65</f>
        <v>1.3488072137311635</v>
      </c>
      <c r="H83" s="7">
        <f>(1-Parameters!$B$4)^Parameters!B$65*H82+E82*Parameters!B$65-Parameters!$B$5*E82^2/H82*Parameters!B$65</f>
        <v>3.2806026470992715</v>
      </c>
      <c r="I83" s="9">
        <f>I82 *(1-Parameters!$B$4)-C82*(C82&lt;0)*Parameters!B$65</f>
        <v>2.4122272104006368E-4</v>
      </c>
      <c r="J83" s="23">
        <f>J82*(1+Parameters!$B$51)^Parameters!B$65</f>
        <v>10.257535588374109</v>
      </c>
      <c r="K83" s="23">
        <f>K82*(1+Parameters!$B$53)^Parameters!B$65</f>
        <v>43.131031028845975</v>
      </c>
      <c r="L83" s="23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1.1495089245976193</v>
      </c>
      <c r="M83" s="8">
        <f>M82+L83*Parameters!B$65</f>
        <v>3185.0968883952669</v>
      </c>
      <c r="N83" s="7">
        <f>M83*Parameters!$B$45</f>
        <v>1.9110581330371599</v>
      </c>
      <c r="O83" s="9">
        <f>EXP(-Parameters!$B$46/2*N83^2)</f>
        <v>0.96396138807500931</v>
      </c>
      <c r="P83" s="8">
        <f>MAX((Parameters!$B$62 + Parameters!$B$31*'6states'!A83 - '6states'!M83 + Parameters!$B$47/Parameters!$B$45)/Parameters!B$62,1)</f>
        <v>67.354062232094662</v>
      </c>
      <c r="Q83" s="7">
        <f>Parameters!B$61*EXP(-Parameters!B$60*A83)</f>
        <v>5.9240658102153877E-2</v>
      </c>
      <c r="R83" s="7">
        <f>(1-Parameters!B$61)*P83^-Parameters!B$63</f>
        <v>0.32819625793004192</v>
      </c>
      <c r="S83" s="7">
        <f>Parameters!B$61*EXP(-Parameters!B$60*A83)+(1-Parameters!B$61)*P83^-Parameters!B$63</f>
        <v>0.38743691603219582</v>
      </c>
      <c r="T83" s="7">
        <f>1-S83/Parameters!$B$12</f>
        <v>0.80628154198390212</v>
      </c>
      <c r="U83" s="7">
        <f t="shared" si="37"/>
        <v>5.162130703708681</v>
      </c>
      <c r="V83" s="7">
        <f>(Parameters!$B$19*(F83+Parameters!$B$20)^T83+Parameters!$B$18*G83^T83)^(1/T83)</f>
        <v>0.33362356088725892</v>
      </c>
      <c r="W83" s="7">
        <f>(Parameters!$B$10*H83^Parameters!$B$9+Parameters!$B$11*V83^Parameters!$B$9)^(Parameters!$B$7/Parameters!$B$9)*O83</f>
        <v>1.3396571958927204</v>
      </c>
      <c r="X83" s="7">
        <f>W83 - D83 - E83 - LN(1+EXP(Parameters!$B$21*C83))/Parameters!$B$21 - IF(C83&gt;0, 0,Parameters!$B$6*C83^2/F83)</f>
        <v>1.0230055920777108</v>
      </c>
      <c r="Y83" s="7">
        <f>EXP(-Parameters!$B$55*A83)</f>
        <v>0.30334030041561322</v>
      </c>
      <c r="Z83" s="7">
        <f>IF(X83&gt;0,X83^(1-Parameters!$B$52)/(1-Parameters!$B$52)*Y83*Parameters!$B$65,-10+X83*1000)</f>
        <v>-0.85981450130400172</v>
      </c>
      <c r="AC83" s="23">
        <f t="shared" si="38"/>
        <v>0.10672129447993836</v>
      </c>
      <c r="AD83" s="23">
        <f t="shared" si="39"/>
        <v>3.056222978468492</v>
      </c>
      <c r="AE83" s="23">
        <f t="shared" si="40"/>
        <v>596.73670553347745</v>
      </c>
      <c r="AF83" s="23">
        <f t="shared" si="41"/>
        <v>147.60109716605575</v>
      </c>
      <c r="AG83" s="23">
        <f t="shared" si="42"/>
        <v>374.11249150656403</v>
      </c>
      <c r="AH83" s="23">
        <f t="shared" si="43"/>
        <v>592.68857215689138</v>
      </c>
      <c r="AI83" s="23">
        <f t="shared" si="44"/>
        <v>452.59617575002972</v>
      </c>
      <c r="AJ83" s="23"/>
      <c r="AK83" s="25">
        <f t="shared" si="35"/>
        <v>592.68857215689138</v>
      </c>
      <c r="AL83" s="4"/>
      <c r="AM83" s="4"/>
      <c r="AN83" s="4"/>
      <c r="AO83" s="16"/>
      <c r="AP83" s="16"/>
      <c r="AR83" s="13">
        <f>1-W83/'6states,ExoDamages'!T83</f>
        <v>9.3173939492627422E-2</v>
      </c>
      <c r="AS83" s="21">
        <f>-Y83*W83*X83^(-Parameters!B$52)*Parameters!B$46*Parameters!B$45*N83</f>
        <v>-9.0825895676049654E-6</v>
      </c>
      <c r="AT83" s="7">
        <f>1000*EXP(-(Parameters!$B$54)*'6states'!A83)*AK83*Parameters!B$46*Parameters!B$45*N83</f>
        <v>0.85347851058775803</v>
      </c>
      <c r="AU83" s="7">
        <f>SUM(AT83:AT$204)*EXP(Parameters!$B$54*A83)</f>
        <v>957.29703303993881</v>
      </c>
      <c r="AZ83" s="5"/>
      <c r="BA83" s="5"/>
      <c r="BB83" s="5"/>
      <c r="BE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-0.61477470854678407</v>
      </c>
      <c r="BF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-271.9874497176524</v>
      </c>
      <c r="BG83" s="7">
        <f t="shared" si="36"/>
        <v>3.3741123861298704E-2</v>
      </c>
      <c r="BM83">
        <f>EXP(-Parameters!$B$56*A83)*AZ83*BF83</f>
        <v>0</v>
      </c>
      <c r="BN83">
        <f>-EXP((Parameters!$B$56)*F83)*SUM(BM83:BM91)</f>
        <v>0</v>
      </c>
      <c r="BO83">
        <f>X83^-Parameters!B$52/(1-2*Parameters!B$5*'6states'!D83/'6states'!G83)</f>
        <v>1.124106372171213</v>
      </c>
      <c r="BP83">
        <f t="shared" si="45"/>
        <v>0.99968425190185362</v>
      </c>
      <c r="BQ83">
        <f>$X83^-Parameters!$B$52/(1-2*Parameters!$B$5*'6states'!$E83/'6states'!$H83)</f>
        <v>1.1213422066881729</v>
      </c>
      <c r="BR83">
        <f t="shared" si="47"/>
        <v>0.99983998986682054</v>
      </c>
      <c r="BS83" s="7">
        <f>($X83^-Parameters!$B$52*(1/(1+EXP(-C83)) + IF(C83&lt;0,2*Parameters!$B$6*C83/F83,0)) + BK83*(1/(1+EXP((C83-Parameters!$B$22)*Parameters!$B$21))))/(1-IF(C83&gt;0,2*Parameters!$B$5*C83/F83,0))</f>
        <v>0.48736238561029499</v>
      </c>
      <c r="BT83">
        <f t="shared" si="48"/>
        <v>1.0001692477002257</v>
      </c>
      <c r="BU83" s="7">
        <f t="shared" si="51"/>
        <v>8.2471004913209356E-5</v>
      </c>
      <c r="BW83">
        <f>(Parameters!$B$18*'6states'!T83^+Parameters!$B$19*Parameters!$B$25^'6states'!T83)^((1-'6states'!T83)/'6states'!T83)*Parameters!$B$18*Parameters!$B$26^('6states'!T83-1)</f>
        <v>0.30276974721317323</v>
      </c>
      <c r="BX83">
        <f t="shared" si="46"/>
        <v>0.20134584036094466</v>
      </c>
    </row>
    <row r="84" spans="1:76" s="4" customFormat="1" x14ac:dyDescent="0.25">
      <c r="A84" s="4">
        <f>A83+Parameters!$B$65</f>
        <v>80</v>
      </c>
      <c r="B84">
        <v>2105</v>
      </c>
      <c r="C84" s="74">
        <v>1.1156252290996332E-5</v>
      </c>
      <c r="D84" s="69">
        <v>9.2549513957260937E-2</v>
      </c>
      <c r="E84" s="75">
        <v>0.22285564485476389</v>
      </c>
      <c r="F84" s="7">
        <f>MAX((1-Parameters!$B$4)^Parameters!B$65*F83 + C83*Parameters!B$65 - IF(C83&gt;0,Parameters!$B$5,0)*C83^2/F83*Parameters!B$65, 0.0001)</f>
        <v>6.4909991758077207E-3</v>
      </c>
      <c r="G84" s="16">
        <f>(1-Parameters!$B$4)^Parameters!B$65*G83+D83*Parameters!B$65-Parameters!$B$5*D83^2/G83*Parameters!B$65</f>
        <v>1.3502090764843648</v>
      </c>
      <c r="H84" s="16">
        <f>(1-Parameters!$B$4)^Parameters!B$65*H83+E83*Parameters!B$65-Parameters!$B$5*E83^2/H83*Parameters!B$65</f>
        <v>3.2809992935664982</v>
      </c>
      <c r="I84" s="9">
        <f>I83 *(1-Parameters!$B$4)-C83*(C83&lt;0)*Parameters!B$65</f>
        <v>2.2604981188664369E-4</v>
      </c>
      <c r="J84" s="44">
        <f>J83*(1+Parameters!$B$51)^Parameters!B$65</f>
        <v>10.287282441580393</v>
      </c>
      <c r="K84" s="44">
        <f>K83*(1+Parameters!$B$53)^Parameters!B$65</f>
        <v>43.993651649422894</v>
      </c>
      <c r="L84" s="23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1.0940914082352808</v>
      </c>
      <c r="M84" s="25">
        <f>M83+L84*Parameters!B$65</f>
        <v>3186.1909798035022</v>
      </c>
      <c r="N84" s="16">
        <f>M84*Parameters!$B$45</f>
        <v>1.9117145878821011</v>
      </c>
      <c r="O84" s="9">
        <f>EXP(-Parameters!$B$46/2*N84^2)</f>
        <v>0.9639370770337794</v>
      </c>
      <c r="P84" s="8">
        <f>MAX((Parameters!$B$62 + Parameters!$B$31*'6states'!A84 - '6states'!M84 + Parameters!$B$47/Parameters!$B$45)/Parameters!B$62,1)</f>
        <v>68.396180403929961</v>
      </c>
      <c r="Q84" s="7">
        <f>Parameters!B$61*EXP(-Parameters!B$60*A84)</f>
        <v>5.7662560519031257E-2</v>
      </c>
      <c r="R84" s="7">
        <f>(1-Parameters!B$61)*P84^-Parameters!B$63</f>
        <v>0.32769273976085278</v>
      </c>
      <c r="S84" s="7">
        <f>Parameters!B$61*EXP(-Parameters!B$60*A84)+(1-Parameters!B$61)*P84^-Parameters!B$63</f>
        <v>0.38535530027988402</v>
      </c>
      <c r="T84" s="16">
        <f>1-S84/Parameters!$B$12</f>
        <v>0.80732234986005802</v>
      </c>
      <c r="U84" s="16">
        <f t="shared" si="37"/>
        <v>5.1900155481120871</v>
      </c>
      <c r="V84" s="7">
        <f>(Parameters!$B$19*(F84+Parameters!$B$20)^T84+Parameters!$B$18*G84^T84)^(1/T84)</f>
        <v>0.33391499908829297</v>
      </c>
      <c r="W84" s="16">
        <f>(Parameters!$B$10*H84^Parameters!$B$9+Parameters!$B$11*V84^Parameters!$B$9)^(Parameters!$B$7/Parameters!$B$9)*O84</f>
        <v>1.3397641347131022</v>
      </c>
      <c r="X84" s="7">
        <f>W84 - D84 - E84 - LN(1+EXP(Parameters!$B$21*C84))/Parameters!$B$21 - IF(C84&gt;0, 0,Parameters!$B$6*C84^2/F84)</f>
        <v>1.0220429025057438</v>
      </c>
      <c r="Y84" s="16">
        <f>EXP(-Parameters!$B$55*A84)</f>
        <v>0.29879427078110121</v>
      </c>
      <c r="Z84" s="16">
        <f>IF(X84&gt;0,X84^(1-Parameters!$B$52)/(1-Parameters!$B$52)*Y84*Parameters!$B$65,-10+X84*1000)</f>
        <v>-0.84720795926070647</v>
      </c>
      <c r="AC84" s="23">
        <f t="shared" si="38"/>
        <v>0.10230452077541229</v>
      </c>
      <c r="AD84" s="23">
        <f t="shared" si="39"/>
        <v>2.9376647319114242</v>
      </c>
      <c r="AE84" s="23">
        <f t="shared" si="40"/>
        <v>611.07103502308462</v>
      </c>
      <c r="AF84" s="23">
        <f t="shared" si="41"/>
        <v>151.12162083364453</v>
      </c>
      <c r="AG84" s="23">
        <f t="shared" si="42"/>
        <v>383.03567640137356</v>
      </c>
      <c r="AH84" s="23">
        <f t="shared" si="43"/>
        <v>606.34391424595265</v>
      </c>
      <c r="AI84" s="23">
        <f t="shared" si="44"/>
        <v>462.55118940419487</v>
      </c>
      <c r="AJ84" s="23"/>
      <c r="AK84" s="25">
        <f t="shared" si="35"/>
        <v>606.34391424595265</v>
      </c>
      <c r="AO84" s="16"/>
      <c r="AP84" s="16"/>
      <c r="AR84" s="43">
        <f>1-W84/'6states,ExoDamages'!T84</f>
        <v>9.3074552740751049E-2</v>
      </c>
      <c r="AS84" s="21">
        <f>-Y84*W84*X84^(-Parameters!B$52)*Parameters!B$46*Parameters!B$45*N84</f>
        <v>-8.9616433157114158E-6</v>
      </c>
      <c r="AT84" s="16">
        <f>1000*EXP(-(Parameters!$B$54)*'6states'!A84)*AK84*Parameters!B$46*Parameters!B$45*N84</f>
        <v>0.84331627115459806</v>
      </c>
      <c r="AU84" s="16">
        <f>SUM(AT84:AT$204)*EXP(Parameters!$B$54*A84)</f>
        <v>977.3469349368138</v>
      </c>
      <c r="AW84" s="16"/>
      <c r="AX84" s="16"/>
      <c r="AY84" s="16"/>
      <c r="AZ84" s="5"/>
      <c r="BA84" s="5"/>
      <c r="BB84" s="5"/>
      <c r="BC84"/>
      <c r="BD84"/>
      <c r="BE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-0.61105719390431612</v>
      </c>
      <c r="BF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-276.54928295228063</v>
      </c>
      <c r="BG84" s="7">
        <f t="shared" si="36"/>
        <v>3.3653143262877348E-2</v>
      </c>
      <c r="BH84"/>
      <c r="BI84"/>
      <c r="BJ84"/>
      <c r="BK84"/>
      <c r="BM84">
        <f>EXP(-Parameters!$B$56*A84)*AZ84*BF84</f>
        <v>0</v>
      </c>
      <c r="BN84">
        <f>-EXP((Parameters!$B$56)*F84)*SUM(BM84:BM92)</f>
        <v>0</v>
      </c>
      <c r="BO84">
        <f>X84^-Parameters!B$52/(1-2*Parameters!B$5*'6states'!D84/'6states'!G84)</f>
        <v>1.1252544892691458</v>
      </c>
      <c r="BP84">
        <f t="shared" si="45"/>
        <v>1.0010213598342257</v>
      </c>
      <c r="BQ84">
        <f>$X84^-Parameters!$B$52/(1-2*Parameters!$B$5*'6states'!$E84/'6states'!$H84)</f>
        <v>1.1236359753440825</v>
      </c>
      <c r="BR84">
        <f t="shared" si="47"/>
        <v>1.0020455563361734</v>
      </c>
      <c r="BS84" s="7">
        <f>($X84^-Parameters!$B$52*(1/(1+EXP(-C84)) + IF(C84&lt;0,2*Parameters!$B$6*C84/F84,0)) + BK84*(1/(1+EXP((C84-Parameters!$B$22)*Parameters!$B$21))))/(1-IF(C84&gt;0,2*Parameters!$B$5*C84/F84,0))</f>
        <v>0.48717449595636098</v>
      </c>
      <c r="BT84">
        <f t="shared" si="48"/>
        <v>0.99961447649740398</v>
      </c>
      <c r="BU84" s="7">
        <f t="shared" si="51"/>
        <v>-1.8788965393401469E-4</v>
      </c>
      <c r="BW84">
        <f>(Parameters!$B$18*'6states'!T84^+Parameters!$B$19*Parameters!$B$25^'6states'!T84)^((1-'6states'!T84)/'6states'!T84)*Parameters!$B$18*Parameters!$B$26^('6states'!T84-1)</f>
        <v>0.30296550847828913</v>
      </c>
      <c r="BX84">
        <f t="shared" si="46"/>
        <v>0.20076717194556187</v>
      </c>
    </row>
    <row r="85" spans="1:76" x14ac:dyDescent="0.25">
      <c r="A85">
        <f>A84+Parameters!$B$65</f>
        <v>81</v>
      </c>
      <c r="B85">
        <v>2106</v>
      </c>
      <c r="C85" s="74">
        <v>2.363676823383901E-6</v>
      </c>
      <c r="D85" s="69">
        <v>9.2346718874078554E-2</v>
      </c>
      <c r="E85" s="75">
        <v>0.22354287889642172</v>
      </c>
      <c r="F85" s="7">
        <f>MAX((1-Parameters!$B$4)^Parameters!B$65*F84 + C84*Parameters!B$65 - IF(C84&gt;0,Parameters!$B$5,0)*C84^2/F84*Parameters!B$65, 0.0001)</f>
        <v>6.0938524053939652E-3</v>
      </c>
      <c r="G85" s="7">
        <f>(1-Parameters!$B$4)^Parameters!B$65*G84+D84*Parameters!B$65-Parameters!$B$5*D84^2/G84*Parameters!B$65</f>
        <v>1.3514866719743837</v>
      </c>
      <c r="H85" s="7">
        <f>(1-Parameters!$B$4)^Parameters!B$65*H84+E84*Parameters!B$65-Parameters!$B$5*E84^2/H84*Parameters!B$65</f>
        <v>3.28234303648685</v>
      </c>
      <c r="I85" s="9">
        <f>I84 *(1-Parameters!$B$4)-C84*(C84&lt;0)*Parameters!B$65</f>
        <v>2.1183127871897382E-4</v>
      </c>
      <c r="J85" s="23">
        <f>J84*(1+Parameters!$B$51)^Parameters!B$65</f>
        <v>10.317115560660975</v>
      </c>
      <c r="K85" s="23">
        <f>K84*(1+Parameters!$B$53)^Parameters!B$65</f>
        <v>44.87352468241135</v>
      </c>
      <c r="L85" s="23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1.0403854073975582</v>
      </c>
      <c r="M85" s="8">
        <f>M84+L85*Parameters!B$65</f>
        <v>3187.2313652108996</v>
      </c>
      <c r="N85" s="7">
        <f>M85*Parameters!$B$45</f>
        <v>1.9123388191265396</v>
      </c>
      <c r="O85" s="9">
        <f>EXP(-Parameters!$B$46/2*N85^2)</f>
        <v>0.96391395218032594</v>
      </c>
      <c r="P85" s="8">
        <f>MAX((Parameters!$B$62 + Parameters!$B$31*'6states'!A85 - '6states'!M85 + Parameters!$B$47/Parameters!$B$45)/Parameters!B$62,1)</f>
        <v>69.439372695781998</v>
      </c>
      <c r="Q85" s="7">
        <f>Parameters!B$61*EXP(-Parameters!B$60*A85)</f>
        <v>5.6126501496276487E-2</v>
      </c>
      <c r="R85" s="7">
        <f>(1-Parameters!B$61)*P85^-Parameters!B$63</f>
        <v>0.32719708467353936</v>
      </c>
      <c r="S85" s="7">
        <f>Parameters!B$61*EXP(-Parameters!B$60*A85)+(1-Parameters!B$61)*P85^-Parameters!B$63</f>
        <v>0.38332358616981588</v>
      </c>
      <c r="T85" s="7">
        <f>1-S85/Parameters!$B$12</f>
        <v>0.80833820691509206</v>
      </c>
      <c r="U85" s="7">
        <f t="shared" si="37"/>
        <v>5.2175239723286468</v>
      </c>
      <c r="V85" s="7">
        <f>(Parameters!$B$19*(F85+Parameters!$B$20)^T85+Parameters!$B$18*G85^T85)^(1/T85)</f>
        <v>0.33419206494784109</v>
      </c>
      <c r="W85" s="7">
        <f>(Parameters!$B$10*H85^Parameters!$B$9+Parameters!$B$11*V85^Parameters!$B$9)^(Parameters!$B$7/Parameters!$B$9)*O85</f>
        <v>1.3399479341016631</v>
      </c>
      <c r="X85" s="7">
        <f>W85 - D85 - E85 - LN(1+EXP(Parameters!$B$21*C85))/Parameters!$B$21 - IF(C85&gt;0, 0,Parameters!$B$6*C85^2/F85)</f>
        <v>1.0217466636813735</v>
      </c>
      <c r="Y85" s="7">
        <f>EXP(-Parameters!$B$55*A85)</f>
        <v>0.29431637052277015</v>
      </c>
      <c r="Z85" s="7">
        <f>IF(X85&gt;0,X85^(1-Parameters!$B$52)/(1-Parameters!$B$52)*Y85*Parameters!$B$65,-10+X85*1000)</f>
        <v>-0.83459589625507846</v>
      </c>
      <c r="AC85" s="23">
        <f t="shared" si="38"/>
        <v>9.8070539924477951E-2</v>
      </c>
      <c r="AD85" s="23">
        <f t="shared" si="39"/>
        <v>2.8212424493264181</v>
      </c>
      <c r="AE85" s="23">
        <f t="shared" si="40"/>
        <v>625.69148627526022</v>
      </c>
      <c r="AF85" s="23">
        <f t="shared" si="41"/>
        <v>154.71934289454563</v>
      </c>
      <c r="AG85" s="23">
        <f t="shared" si="42"/>
        <v>392.15452978250801</v>
      </c>
      <c r="AH85" s="23">
        <f t="shared" si="43"/>
        <v>620.34945057558446</v>
      </c>
      <c r="AI85" s="23">
        <f t="shared" si="44"/>
        <v>473.03329130256077</v>
      </c>
      <c r="AJ85" s="23"/>
      <c r="AK85" s="25">
        <f t="shared" si="35"/>
        <v>620.34945057558446</v>
      </c>
      <c r="AL85" s="4"/>
      <c r="AM85" s="4"/>
      <c r="AN85" s="4"/>
      <c r="AO85" s="16"/>
      <c r="AP85" s="16"/>
      <c r="AR85" s="13">
        <f>1-W85/'6states,ExoDamages'!T85</f>
        <v>9.2931741831171588E-2</v>
      </c>
      <c r="AS85" s="21">
        <f>-Y85*W85*X85^(-Parameters!B$52)*Parameters!B$46*Parameters!B$45*N85</f>
        <v>-8.8348897280439075E-6</v>
      </c>
      <c r="AT85" s="7">
        <f>1000*EXP(-(Parameters!$B$54)*'6states'!A85)*AK85*Parameters!B$46*Parameters!B$45*N85</f>
        <v>0.83330868696198279</v>
      </c>
      <c r="AU85" s="7">
        <f>SUM(AT85:AT$204)*EXP(Parameters!$B$54*A85)</f>
        <v>997.7821507823287</v>
      </c>
      <c r="AZ85" s="5"/>
      <c r="BA85" s="5"/>
      <c r="BB85" s="5"/>
      <c r="BE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-0.60658736151828618</v>
      </c>
      <c r="BF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-280.82892392101877</v>
      </c>
      <c r="BG85" s="7">
        <f t="shared" si="36"/>
        <v>3.3593705192139445E-2</v>
      </c>
      <c r="BM85">
        <f>EXP(-Parameters!$B$56*A85)*AZ85*BF85</f>
        <v>0</v>
      </c>
      <c r="BN85">
        <f>-EXP((Parameters!$B$56)*F85)*SUM(BM85:BM93)</f>
        <v>0</v>
      </c>
      <c r="BO85">
        <f>X85^-Parameters!B$52/(1-2*Parameters!B$5*'6states'!D85/'6states'!G85)</f>
        <v>1.1251346688029908</v>
      </c>
      <c r="BP85">
        <f t="shared" si="45"/>
        <v>0.99989351700677698</v>
      </c>
      <c r="BQ85">
        <f>$X85^-Parameters!$B$52/(1-2*Parameters!$B$5*'6states'!$E85/'6states'!$H85)</f>
        <v>1.1245483555666502</v>
      </c>
      <c r="BR85">
        <f t="shared" si="47"/>
        <v>1.0008119891518144</v>
      </c>
      <c r="BS85" s="7">
        <f>($X85^-Parameters!$B$52*(1/(1+EXP(-C85)) + IF(C85&lt;0,2*Parameters!$B$6*C85/F85,0)) + BK85*(1/(1+EXP((C85-Parameters!$B$22)*Parameters!$B$21))))/(1-IF(C85&gt;0,2*Parameters!$B$5*C85/F85,0))</f>
        <v>0.4860648292971757</v>
      </c>
      <c r="BT85">
        <f t="shared" si="48"/>
        <v>0.99772223983727448</v>
      </c>
      <c r="BU85" s="7">
        <f t="shared" si="51"/>
        <v>-1.1096666591852711E-3</v>
      </c>
      <c r="BW85">
        <f>(Parameters!$B$18*'6states'!T85^+Parameters!$B$19*Parameters!$B$25^'6states'!T85)^((1-'6states'!T85)/'6states'!T85)*Parameters!$B$18*Parameters!$B$26^('6states'!T85-1)</f>
        <v>0.3031541667914105</v>
      </c>
      <c r="BX85">
        <f t="shared" si="46"/>
        <v>0.20019730088248719</v>
      </c>
    </row>
    <row r="86" spans="1:76" x14ac:dyDescent="0.25">
      <c r="A86">
        <f>A85+Parameters!$B$65</f>
        <v>82</v>
      </c>
      <c r="B86">
        <v>2107</v>
      </c>
      <c r="C86" s="74">
        <v>2.363676823383901E-6</v>
      </c>
      <c r="D86" s="69">
        <v>9.2346718874078554E-2</v>
      </c>
      <c r="E86" s="75">
        <v>0.22354287889642172</v>
      </c>
      <c r="F86" s="7">
        <f>MAX((1-Parameters!$B$4)^Parameters!B$65*F85 + C85*Parameters!B$65 - IF(C85&gt;0,Parameters!$B$5,0)*C85^2/F85*Parameters!B$65, 0.0001)</f>
        <v>5.7129118490976813E-3</v>
      </c>
      <c r="G86" s="7">
        <f>(1-Parameters!$B$4)^Parameters!B$65*G85+D85*Parameters!B$65-Parameters!$B$5*D85^2/G85*Parameters!B$65</f>
        <v>1.3525148528497895</v>
      </c>
      <c r="H86" s="7">
        <f>(1-Parameters!$B$4)^Parameters!B$65*H85+E85*Parameters!B$65-Parameters!$B$5*E85^2/H85*Parameters!B$65</f>
        <v>3.2842022251005107</v>
      </c>
      <c r="I86" s="9">
        <f>I85 *(1-Parameters!$B$4)-C85*(C85&lt;0)*Parameters!B$65</f>
        <v>1.9850709128755038E-4</v>
      </c>
      <c r="J86" s="23">
        <f>J85*(1+Parameters!$B$51)^Parameters!B$65</f>
        <v>10.347035195786891</v>
      </c>
      <c r="K86" s="23">
        <f>K85*(1+Parameters!$B$53)^Parameters!B$65</f>
        <v>45.770995176059579</v>
      </c>
      <c r="L86" s="23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0.9878362865806678</v>
      </c>
      <c r="M86" s="8">
        <f>M85+L86*Parameters!B$65</f>
        <v>3188.2192014974803</v>
      </c>
      <c r="N86" s="7">
        <f>M86*Parameters!$B$45</f>
        <v>1.9129315208984881</v>
      </c>
      <c r="O86" s="9">
        <f>EXP(-Parameters!$B$46/2*N86^2)</f>
        <v>0.96389198887297245</v>
      </c>
      <c r="P86" s="8">
        <f>MAX((Parameters!$B$62 + Parameters!$B$31*'6states'!A86 - '6states'!M86 + Parameters!$B$47/Parameters!$B$45)/Parameters!B$62,1)</f>
        <v>70.483615970050408</v>
      </c>
      <c r="Q86" s="7">
        <f>Parameters!B$61*EXP(-Parameters!B$60*A86)</f>
        <v>5.4631361178833215E-2</v>
      </c>
      <c r="R86" s="7">
        <f>(1-Parameters!B$61)*P86^-Parameters!B$63</f>
        <v>0.32670906647322212</v>
      </c>
      <c r="S86" s="7">
        <f>Parameters!B$61*EXP(-Parameters!B$60*A86)+(1-Parameters!B$61)*P86^-Parameters!B$63</f>
        <v>0.38134042765205534</v>
      </c>
      <c r="T86" s="7">
        <f>1-S86/Parameters!$B$12</f>
        <v>0.80932978617397233</v>
      </c>
      <c r="U86" s="7">
        <f t="shared" si="37"/>
        <v>5.2446576732348209</v>
      </c>
      <c r="V86" s="7">
        <f>(Parameters!$B$19*(F86+Parameters!$B$20)^T86+Parameters!$B$18*G86^T86)^(1/T86)</f>
        <v>0.33442125301662334</v>
      </c>
      <c r="W86" s="7">
        <f>(Parameters!$B$10*H86^Parameters!$B$9+Parameters!$B$11*V86^Parameters!$B$9)^(Parameters!$B$7/Parameters!$B$9)*O86</f>
        <v>1.3401596264764097</v>
      </c>
      <c r="X86" s="7">
        <f>W86 - D86 - E86 - LN(1+EXP(Parameters!$B$21*C86))/Parameters!$B$21 - IF(C86&gt;0, 0,Parameters!$B$6*C86^2/F86)</f>
        <v>1.0219583560561201</v>
      </c>
      <c r="Y86" s="7">
        <f>EXP(-Parameters!$B$55*A86)</f>
        <v>0.28990557861518201</v>
      </c>
      <c r="Z86" s="7">
        <f>IF(X86&gt;0,X86^(1-Parameters!$B$52)/(1-Parameters!$B$52)*Y86*Parameters!$B$65,-10+X86*1000)</f>
        <v>-0.82202856353005505</v>
      </c>
      <c r="AC86" s="23">
        <f t="shared" si="38"/>
        <v>9.4011786851458098E-2</v>
      </c>
      <c r="AD86" s="23">
        <f t="shared" si="39"/>
        <v>2.7056013343147716</v>
      </c>
      <c r="AE86" s="23">
        <f t="shared" si="40"/>
        <v>640.54305181147004</v>
      </c>
      <c r="AF86" s="23">
        <f t="shared" si="41"/>
        <v>158.37993168543343</v>
      </c>
      <c r="AG86" s="23">
        <f t="shared" si="42"/>
        <v>401.43272634902365</v>
      </c>
      <c r="AH86" s="23">
        <f t="shared" si="43"/>
        <v>634.69168952117718</v>
      </c>
      <c r="AI86" s="23">
        <f t="shared" si="44"/>
        <v>483.99344586356347</v>
      </c>
      <c r="AJ86" s="23"/>
      <c r="AK86" s="25">
        <f t="shared" si="35"/>
        <v>634.6916895211773</v>
      </c>
      <c r="AL86" s="4"/>
      <c r="AM86" s="4"/>
      <c r="AN86" s="4"/>
      <c r="AO86" s="16"/>
      <c r="AP86" s="16"/>
      <c r="AR86" s="13">
        <f>1-W86/'6states,ExoDamages'!T86</f>
        <v>9.2771409107815339E-2</v>
      </c>
      <c r="AS86" s="21">
        <f>-Y86*W86*X86^(-Parameters!B$52)*Parameters!B$46*Parameters!B$45*N86</f>
        <v>-8.7041229164822903E-6</v>
      </c>
      <c r="AT86" s="7">
        <f>1000*EXP(-(Parameters!$B$54)*'6states'!A86)*AK86*Parameters!B$46*Parameters!B$45*N86</f>
        <v>0.8234233253961416</v>
      </c>
      <c r="AU86" s="7">
        <f>SUM(AT86:AT$204)*EXP(Parameters!$B$54*A86)</f>
        <v>1018.6081058843343</v>
      </c>
      <c r="AZ86" s="5"/>
      <c r="BA86" s="5"/>
      <c r="BB86" s="5"/>
      <c r="BE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-0.60091245190507903</v>
      </c>
      <c r="BF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-284.58859065671254</v>
      </c>
      <c r="BG86" s="7">
        <f t="shared" si="36"/>
        <v>3.3580277982229123E-2</v>
      </c>
      <c r="BM86">
        <f>EXP(-Parameters!$B$56*A86)*AZ86*BF86</f>
        <v>0</v>
      </c>
      <c r="BN86">
        <f>-EXP((Parameters!$B$56)*F86)*SUM(BM86:BM94)</f>
        <v>0</v>
      </c>
      <c r="BO86">
        <f>X86^-Parameters!B$52/(1-2*Parameters!B$5*'6states'!D86/'6states'!G86)</f>
        <v>1.1246847060705947</v>
      </c>
      <c r="BP86">
        <f t="shared" si="45"/>
        <v>0.99960008099930397</v>
      </c>
      <c r="BQ86">
        <f>$X86^-Parameters!$B$52/(1-2*Parameters!$B$5*'6states'!$E86/'6states'!$H86)</f>
        <v>1.12413354530874</v>
      </c>
      <c r="BR86">
        <f t="shared" si="47"/>
        <v>0.99963113168423845</v>
      </c>
      <c r="BS86" s="7">
        <f>($X86^-Parameters!$B$52*(1/(1+EXP(-C86)) + IF(C86&lt;0,2*Parameters!$B$6*C86/F86,0)) + BK86*(1/(1+EXP((C86-Parameters!$B$22)*Parameters!$B$21))))/(1-IF(C86&gt;0,2*Parameters!$B$5*C86/F86,0))</f>
        <v>0.48595406598141022</v>
      </c>
      <c r="BT86">
        <f t="shared" si="48"/>
        <v>0.99977212234029433</v>
      </c>
      <c r="BU86" s="7">
        <f t="shared" si="51"/>
        <v>-1.1076331576548304E-4</v>
      </c>
      <c r="BW86">
        <f>(Parameters!$B$18*'6states'!T86^+Parameters!$B$19*Parameters!$B$25^'6states'!T86)^((1-'6states'!T86)/'6states'!T86)*Parameters!$B$18*Parameters!$B$26^('6states'!T86-1)</f>
        <v>0.30333602630476481</v>
      </c>
      <c r="BX86">
        <f t="shared" si="46"/>
        <v>0.19963601535444653</v>
      </c>
    </row>
    <row r="87" spans="1:76" x14ac:dyDescent="0.25">
      <c r="A87">
        <f>A86+Parameters!$B$65</f>
        <v>83</v>
      </c>
      <c r="B87">
        <v>2108</v>
      </c>
      <c r="C87" s="74">
        <v>2.363676823383901E-6</v>
      </c>
      <c r="D87" s="69">
        <v>9.2346718874078554E-2</v>
      </c>
      <c r="E87" s="75">
        <v>0.22354287889642172</v>
      </c>
      <c r="F87" s="7">
        <f>MAX((1-Parameters!$B$4)^Parameters!B$65*F86 + C86*Parameters!B$65 - IF(C86&gt;0,Parameters!$B$5,0)*C86^2/F86*Parameters!B$65, 0.0001)</f>
        <v>5.355932392658273E-3</v>
      </c>
      <c r="G87" s="7">
        <f>(1-Parameters!$B$4)^Parameters!B$65*G86+D86*Parameters!B$65-Parameters!$B$5*D86^2/G86*Parameters!B$65</f>
        <v>1.3534831580258773</v>
      </c>
      <c r="H87" s="7">
        <f>(1-Parameters!$B$4)^Parameters!B$65*H86+E86*Parameters!B$65-Parameters!$B$5*E86^2/H86*Parameters!B$65</f>
        <v>3.2859530892421627</v>
      </c>
      <c r="I87" s="9">
        <f>I86 *(1-Parameters!$B$4)-C86*(C86&lt;0)*Parameters!B$65</f>
        <v>1.8602099524556346E-4</v>
      </c>
      <c r="J87" s="23">
        <f>J86*(1+Parameters!$B$51)^Parameters!B$65</f>
        <v>10.377041597854671</v>
      </c>
      <c r="K87" s="23">
        <f>K86*(1+Parameters!$B$53)^Parameters!B$65</f>
        <v>46.686415079580769</v>
      </c>
      <c r="L87" s="23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0.93796872249435903</v>
      </c>
      <c r="M87" s="8">
        <f>M86+L87*Parameters!B$65</f>
        <v>3189.1571702199744</v>
      </c>
      <c r="N87" s="7">
        <f>M87*Parameters!$B$45</f>
        <v>1.9134943021319846</v>
      </c>
      <c r="O87" s="9">
        <f>EXP(-Parameters!$B$46/2*N87^2)</f>
        <v>0.96387112847263712</v>
      </c>
      <c r="P87" s="8">
        <f>MAX((Parameters!$B$62 + Parameters!$B$31*'6states'!A87 - '6states'!M87 + Parameters!$B$47/Parameters!$B$45)/Parameters!B$62,1)</f>
        <v>71.528856595600516</v>
      </c>
      <c r="Q87" s="7">
        <f>Parameters!B$61*EXP(-Parameters!B$60*A87)</f>
        <v>5.3176049543193549E-2</v>
      </c>
      <c r="R87" s="7">
        <f>(1-Parameters!B$61)*P87^-Parameters!B$63</f>
        <v>0.32622848259146814</v>
      </c>
      <c r="S87" s="7">
        <f>Parameters!B$61*EXP(-Parameters!B$60*A87)+(1-Parameters!B$61)*P87^-Parameters!B$63</f>
        <v>0.37940453213466169</v>
      </c>
      <c r="T87" s="7">
        <f>1-S87/Parameters!$B$12</f>
        <v>0.81029773393266913</v>
      </c>
      <c r="U87" s="7">
        <f t="shared" si="37"/>
        <v>5.2714183163477379</v>
      </c>
      <c r="V87" s="7">
        <f>(Parameters!$B$19*(F87+Parameters!$B$20)^T87+Parameters!$B$18*G87^T87)^(1/T87)</f>
        <v>0.33465645644111897</v>
      </c>
      <c r="W87" s="7">
        <f>(Parameters!$B$10*H87^Parameters!$B$9+Parameters!$B$11*V87^Parameters!$B$9)^(Parameters!$B$7/Parameters!$B$9)*O87</f>
        <v>1.3403657012991617</v>
      </c>
      <c r="X87" s="7">
        <f>W87 - D87 - E87 - LN(1+EXP(Parameters!$B$21*C87))/Parameters!$B$21 - IF(C87&gt;0, 0,Parameters!$B$6*C87^2/F87)</f>
        <v>1.022164430878872</v>
      </c>
      <c r="Y87" s="7">
        <f>EXP(-Parameters!$B$55*A87)</f>
        <v>0.28556088933456458</v>
      </c>
      <c r="Z87" s="7">
        <f>IF(X87&gt;0,X87^(1-Parameters!$B$52)/(1-Parameters!$B$52)*Y87*Parameters!$B$65,-10+X87*1000)</f>
        <v>-0.80965203904338523</v>
      </c>
      <c r="AC87" s="23">
        <f t="shared" si="38"/>
        <v>9.0121009569337635E-2</v>
      </c>
      <c r="AD87" s="23">
        <f t="shared" si="39"/>
        <v>2.5947718093557151</v>
      </c>
      <c r="AE87" s="23">
        <f t="shared" si="40"/>
        <v>655.71775097411489</v>
      </c>
      <c r="AF87" s="23">
        <f t="shared" si="41"/>
        <v>162.12996642426037</v>
      </c>
      <c r="AG87" s="23">
        <f t="shared" si="42"/>
        <v>410.93763428206137</v>
      </c>
      <c r="AH87" s="23">
        <f t="shared" si="43"/>
        <v>649.36277775384394</v>
      </c>
      <c r="AI87" s="23">
        <f t="shared" si="44"/>
        <v>495.20480381833875</v>
      </c>
      <c r="AJ87" s="23"/>
      <c r="AK87" s="25">
        <f t="shared" si="35"/>
        <v>649.36277775384394</v>
      </c>
      <c r="AL87" s="4"/>
      <c r="AM87" s="4"/>
      <c r="AN87" s="4"/>
      <c r="AO87" s="16"/>
      <c r="AP87" s="16"/>
      <c r="AR87" s="13">
        <f>1-W87/'6states,ExoDamages'!T87</f>
        <v>9.2616154585939969E-2</v>
      </c>
      <c r="AS87" s="21">
        <f>-Y87*W87*X87^(-Parameters!B$52)*Parameters!B$46*Parameters!B$45*N87</f>
        <v>-8.575184663779585E-6</v>
      </c>
      <c r="AT87" s="7">
        <f>1000*EXP(-(Parameters!$B$54)*'6states'!A87)*AK87*Parameters!B$46*Parameters!B$45*N87</f>
        <v>0.81363900072589368</v>
      </c>
      <c r="AU87" s="7">
        <f>SUM(AT87:AT$204)*EXP(Parameters!$B$54*A87)</f>
        <v>1039.8307449475733</v>
      </c>
      <c r="AZ87" s="5"/>
      <c r="BA87" s="5"/>
      <c r="BB87" s="5"/>
      <c r="BE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-0.59531430313335698</v>
      </c>
      <c r="BF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-288.41005790030232</v>
      </c>
      <c r="BG87" s="7">
        <f t="shared" si="36"/>
        <v>3.3565961715156759E-2</v>
      </c>
      <c r="BM87">
        <f>EXP(-Parameters!$B$56*A87)*AZ87*BF87</f>
        <v>0</v>
      </c>
      <c r="BN87">
        <f>-EXP((Parameters!$B$56)*F87)*SUM(BM87:BM95)</f>
        <v>0</v>
      </c>
      <c r="BO87">
        <f>X87^-Parameters!B$52/(1-2*Parameters!B$5*'6states'!D87/'6states'!G87)</f>
        <v>1.1242514099147698</v>
      </c>
      <c r="BP87">
        <f t="shared" si="45"/>
        <v>0.99961473988800054</v>
      </c>
      <c r="BQ87">
        <f>$X87^-Parameters!$B$52/(1-2*Parameters!$B$5*'6states'!$E87/'6states'!$H87)</f>
        <v>1.1237332466396599</v>
      </c>
      <c r="BR87">
        <f t="shared" si="47"/>
        <v>0.99964390470264797</v>
      </c>
      <c r="BS87" s="7">
        <f>($X87^-Parameters!$B$52*(1/(1+EXP(-C87)) + IF(C87&lt;0,2*Parameters!$B$6*C87/F87,0)) + BK87*(1/(1+EXP((C87-Parameters!$B$22)*Parameters!$B$21))))/(1-IF(C87&gt;0,2*Parameters!$B$5*C87/F87,0))</f>
        <v>0.48584862740885248</v>
      </c>
      <c r="BT87">
        <f t="shared" si="48"/>
        <v>0.99978302769759775</v>
      </c>
      <c r="BU87" s="7">
        <f t="shared" si="51"/>
        <v>-1.054385725577367E-4</v>
      </c>
      <c r="BW87">
        <f>(Parameters!$B$18*'6states'!T87^+Parameters!$B$19*Parameters!$B$25^'6states'!T87)^((1-'6states'!T87)/'6states'!T87)*Parameters!$B$18*Parameters!$B$26^('6states'!T87-1)</f>
        <v>0.30351137521088545</v>
      </c>
      <c r="BX87">
        <f t="shared" si="46"/>
        <v>0.1990831302777174</v>
      </c>
    </row>
    <row r="88" spans="1:76" x14ac:dyDescent="0.25">
      <c r="A88">
        <f>A87+Parameters!$B$65</f>
        <v>84</v>
      </c>
      <c r="B88">
        <v>2109</v>
      </c>
      <c r="C88" s="74">
        <v>2.363676823383901E-6</v>
      </c>
      <c r="D88" s="69">
        <v>9.2346718874078554E-2</v>
      </c>
      <c r="E88" s="75">
        <v>0.22354287889642172</v>
      </c>
      <c r="F88" s="7">
        <f>MAX((1-Parameters!$B$4)^Parameters!B$65*F87 + C87*Parameters!B$65 - IF(C87&gt;0,Parameters!$B$5,0)*C87^2/F87*Parameters!B$65, 0.0001)</f>
        <v>5.021406878847035E-3</v>
      </c>
      <c r="G88" s="7">
        <f>(1-Parameters!$B$4)^Parameters!B$65*G87+D87*Parameters!B$65-Parameters!$B$5*D87^2/G87*Parameters!B$65</f>
        <v>1.3543950676761995</v>
      </c>
      <c r="H88" s="7">
        <f>(1-Parameters!$B$4)^Parameters!B$65*H87+E87*Parameters!B$65-Parameters!$B$5*E87^2/H87*Parameters!B$65</f>
        <v>3.2876019314531439</v>
      </c>
      <c r="I88" s="9">
        <f>I87 *(1-Parameters!$B$4)-C87*(C87&lt;0)*Parameters!B$65</f>
        <v>1.7432027464461754E-4</v>
      </c>
      <c r="J88" s="23">
        <f>J87*(1+Parameters!$B$51)^Parameters!B$65</f>
        <v>10.407135018488448</v>
      </c>
      <c r="K88" s="23">
        <f>K87*(1+Parameters!$B$53)^Parameters!B$65</f>
        <v>47.620143381172383</v>
      </c>
      <c r="L88" s="23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0.89064622925018255</v>
      </c>
      <c r="M88" s="8">
        <f>M87+L88*Parameters!B$65</f>
        <v>3190.0478164492247</v>
      </c>
      <c r="N88" s="7">
        <f>M88*Parameters!$B$45</f>
        <v>1.9140286898695347</v>
      </c>
      <c r="O88" s="9">
        <f>EXP(-Parameters!$B$46/2*N88^2)</f>
        <v>0.96385131526175694</v>
      </c>
      <c r="P88" s="8">
        <f>MAX((Parameters!$B$62 + Parameters!$B$31*'6states'!A88 - '6states'!M88 + Parameters!$B$47/Parameters!$B$45)/Parameters!B$62,1)</f>
        <v>72.575043671015507</v>
      </c>
      <c r="Q88" s="7">
        <f>Parameters!B$61*EXP(-Parameters!B$60*A88)</f>
        <v>5.1759505602722529E-2</v>
      </c>
      <c r="R88" s="7">
        <f>(1-Parameters!B$61)*P88^-Parameters!B$63</f>
        <v>0.32575513752603102</v>
      </c>
      <c r="S88" s="7">
        <f>Parameters!B$61*EXP(-Parameters!B$60*A88)+(1-Parameters!B$61)*P88^-Parameters!B$63</f>
        <v>0.37751464312875355</v>
      </c>
      <c r="T88" s="7">
        <f>1-S88/Parameters!$B$12</f>
        <v>0.81124267843562325</v>
      </c>
      <c r="U88" s="7">
        <f t="shared" si="37"/>
        <v>5.2978077444214229</v>
      </c>
      <c r="V88" s="7">
        <f>(Parameters!$B$19*(F88+Parameters!$B$20)^T88+Parameters!$B$18*G88^T88)^(1/T88)</f>
        <v>0.33489685295032395</v>
      </c>
      <c r="W88" s="7">
        <f>(Parameters!$B$10*H88^Parameters!$B$9+Parameters!$B$11*V88^Parameters!$B$9)^(Parameters!$B$7/Parameters!$B$9)*O88</f>
        <v>1.3405663171370337</v>
      </c>
      <c r="X88" s="7">
        <f>W88 - D88 - E88 - LN(1+EXP(Parameters!$B$21*C88))/Parameters!$B$21 - IF(C88&gt;0, 0,Parameters!$B$6*C88^2/F88)</f>
        <v>1.022365046716744</v>
      </c>
      <c r="Y88" s="7">
        <f>EXP(-Parameters!$B$55*A88)</f>
        <v>0.28128131202949208</v>
      </c>
      <c r="Z88" s="7">
        <f>IF(X88&gt;0,X88^(1-Parameters!$B$52)/(1-Parameters!$B$52)*Y88*Parameters!$B$65,-10+X88*1000)</f>
        <v>-0.79746335812622737</v>
      </c>
      <c r="AC88" s="23">
        <f t="shared" si="38"/>
        <v>8.6391256222258267E-2</v>
      </c>
      <c r="AD88" s="23">
        <f t="shared" si="39"/>
        <v>2.4885553281227515</v>
      </c>
      <c r="AE88" s="23">
        <f t="shared" si="40"/>
        <v>671.22365173138053</v>
      </c>
      <c r="AF88" s="23">
        <f t="shared" si="41"/>
        <v>165.97128412195696</v>
      </c>
      <c r="AG88" s="23">
        <f t="shared" si="42"/>
        <v>420.67390970375936</v>
      </c>
      <c r="AH88" s="23">
        <f t="shared" si="43"/>
        <v>664.3702714605065</v>
      </c>
      <c r="AI88" s="23">
        <f t="shared" si="44"/>
        <v>506.67313875938999</v>
      </c>
      <c r="AJ88" s="23"/>
      <c r="AK88" s="25">
        <f t="shared" si="35"/>
        <v>664.3702714605065</v>
      </c>
      <c r="AL88" s="4"/>
      <c r="AM88" s="4"/>
      <c r="AN88" s="4"/>
      <c r="AO88" s="16"/>
      <c r="AP88" s="16"/>
      <c r="AR88" s="13">
        <f>1-W88/'6states,ExoDamages'!T88</f>
        <v>9.246579147240841E-2</v>
      </c>
      <c r="AS88" s="21">
        <f>-Y88*W88*X88^(-Parameters!B$52)*Parameters!B$46*Parameters!B$45*N88</f>
        <v>-8.448057140553046E-6</v>
      </c>
      <c r="AT88" s="7">
        <f>1000*EXP(-(Parameters!$B$54)*'6states'!A88)*AK88*Parameters!B$46*Parameters!B$45*N88</f>
        <v>0.80395564962216137</v>
      </c>
      <c r="AU88" s="7">
        <f>SUM(AT88:AT$204)*EXP(Parameters!$B$54*A88)</f>
        <v>1061.4564091611217</v>
      </c>
      <c r="AZ88" s="5"/>
      <c r="BA88" s="5"/>
      <c r="BB88" s="5"/>
      <c r="BE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-0.58979328683422816</v>
      </c>
      <c r="BF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-292.29521961768506</v>
      </c>
      <c r="BG88" s="7">
        <f t="shared" si="36"/>
        <v>3.3550698390208994E-2</v>
      </c>
      <c r="BM88">
        <f>EXP(-Parameters!$B$56*A88)*AZ88*BF88</f>
        <v>0</v>
      </c>
      <c r="BN88">
        <f>-EXP((Parameters!$B$56)*F88)*SUM(BM88:BM96)</f>
        <v>0</v>
      </c>
      <c r="BO88">
        <f>X88^-Parameters!B$52/(1-2*Parameters!B$5*'6states'!D88/'6states'!G88)</f>
        <v>1.1238340279708923</v>
      </c>
      <c r="BP88">
        <f t="shared" si="45"/>
        <v>0.99962874679080083</v>
      </c>
      <c r="BQ88">
        <f>$X88^-Parameters!$B$52/(1-2*Parameters!$B$5*'6states'!$E88/'6states'!$H88)</f>
        <v>1.1233468446111141</v>
      </c>
      <c r="BR88">
        <f t="shared" si="47"/>
        <v>0.9996561443476899</v>
      </c>
      <c r="BS88" s="7">
        <f>($X88^-Parameters!$B$52*(1/(1+EXP(-C88)) + IF(C88&lt;0,2*Parameters!$B$6*C88/F88,0)) + BK88*(1/(1+EXP((C88-Parameters!$B$22)*Parameters!$B$21))))/(1-IF(C88&gt;0,2*Parameters!$B$5*C88/F88,0))</f>
        <v>0.48574851512880651</v>
      </c>
      <c r="BT88">
        <f t="shared" si="48"/>
        <v>0.99979394347457584</v>
      </c>
      <c r="BU88" s="7">
        <f t="shared" si="51"/>
        <v>-1.0011228004597195E-4</v>
      </c>
      <c r="BW88">
        <f>(Parameters!$B$18*'6states'!T88^+Parameters!$B$19*Parameters!$B$25^'6states'!T88)^((1-'6states'!T88)/'6states'!T88)*Parameters!$B$18*Parameters!$B$26^('6states'!T88-1)</f>
        <v>0.30368048803098135</v>
      </c>
      <c r="BX88">
        <f t="shared" si="46"/>
        <v>0.19853846478817039</v>
      </c>
    </row>
    <row r="89" spans="1:76" x14ac:dyDescent="0.25">
      <c r="A89">
        <f>A88+Parameters!$B$65</f>
        <v>85</v>
      </c>
      <c r="B89">
        <v>2110</v>
      </c>
      <c r="C89" s="74">
        <v>2.363676823383901E-6</v>
      </c>
      <c r="D89" s="69">
        <v>9.2346718874078554E-2</v>
      </c>
      <c r="E89" s="75">
        <v>0.22354287889642172</v>
      </c>
      <c r="F89" s="7">
        <f>MAX((1-Parameters!$B$4)^Parameters!B$65*F88 + C88*Parameters!B$65 - IF(C88&gt;0,Parameters!$B$5,0)*C88^2/F88*Parameters!B$65, 0.0001)</f>
        <v>4.7079229503609026E-3</v>
      </c>
      <c r="G89" s="7">
        <f>(1-Parameters!$B$4)^Parameters!B$65*G88+D88*Parameters!B$65-Parameters!$B$5*D88^2/G88*Parameters!B$65</f>
        <v>1.355253860462178</v>
      </c>
      <c r="H89" s="7">
        <f>(1-Parameters!$B$4)^Parameters!B$65*H88+E88*Parameters!B$65-Parameters!$B$5*E88^2/H88*Parameters!B$65</f>
        <v>3.2891546886022236</v>
      </c>
      <c r="I89" s="9">
        <f>I88 *(1-Parameters!$B$4)-C88*(C88&lt;0)*Parameters!B$65</f>
        <v>1.6335552936947109E-4</v>
      </c>
      <c r="J89" s="23">
        <f>J88*(1+Parameters!$B$51)^Parameters!B$65</f>
        <v>10.437315710042064</v>
      </c>
      <c r="K89" s="23">
        <f>K88*(1+Parameters!$B$53)^Parameters!B$65</f>
        <v>48.572546248795831</v>
      </c>
      <c r="L89" s="23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0.84573927235230684</v>
      </c>
      <c r="M89" s="8">
        <f>M88+L89*Parameters!B$65</f>
        <v>3190.8935557215768</v>
      </c>
      <c r="N89" s="7">
        <f>M89*Parameters!$B$45</f>
        <v>1.914536133432946</v>
      </c>
      <c r="O89" s="9">
        <f>EXP(-Parameters!$B$46/2*N89^2)</f>
        <v>0.96383249630175538</v>
      </c>
      <c r="P89" s="8">
        <f>MAX((Parameters!$B$62 + Parameters!$B$31*'6states'!A89 - '6states'!M89 + Parameters!$B$47/Parameters!$B$45)/Parameters!B$62,1)</f>
        <v>73.622128885568458</v>
      </c>
      <c r="Q89" s="7">
        <f>Parameters!B$61*EXP(-Parameters!B$60*A89)</f>
        <v>5.0380696634151866E-2</v>
      </c>
      <c r="R89" s="7">
        <f>(1-Parameters!B$61)*P89^-Parameters!B$63</f>
        <v>0.32528884255353574</v>
      </c>
      <c r="S89" s="7">
        <f>Parameters!B$61*EXP(-Parameters!B$60*A89)+(1-Parameters!B$61)*P89^-Parameters!B$63</f>
        <v>0.37566953918768758</v>
      </c>
      <c r="T89" s="7">
        <f>1-S89/Parameters!$B$12</f>
        <v>0.81216523040615618</v>
      </c>
      <c r="U89" s="7">
        <f t="shared" si="37"/>
        <v>5.323827969455845</v>
      </c>
      <c r="V89" s="7">
        <f>(Parameters!$B$19*(F89+Parameters!$B$20)^T89+Parameters!$B$18*G89^T89)^(1/T89)</f>
        <v>0.33514167797761851</v>
      </c>
      <c r="W89" s="7">
        <f>(Parameters!$B$10*H89^Parameters!$B$9+Parameters!$B$11*V89^Parameters!$B$9)^(Parameters!$B$7/Parameters!$B$9)*O89</f>
        <v>1.3407616242437161</v>
      </c>
      <c r="X89" s="7">
        <f>W89 - D89 - E89 - LN(1+EXP(Parameters!$B$21*C89))/Parameters!$B$21 - IF(C89&gt;0, 0,Parameters!$B$6*C89^2/F89)</f>
        <v>1.0225603538234265</v>
      </c>
      <c r="Y89" s="7">
        <f>EXP(-Parameters!$B$55*A89)</f>
        <v>0.27706587089500223</v>
      </c>
      <c r="Z89" s="7">
        <f>IF(X89&gt;0,X89^(1-Parameters!$B$52)/(1-Parameters!$B$52)*Y89*Parameters!$B$65,-10+X89*1000)</f>
        <v>-0.78545960611765897</v>
      </c>
      <c r="AC89" s="23">
        <f t="shared" si="38"/>
        <v>8.2815862664272766E-2</v>
      </c>
      <c r="AD89" s="23">
        <f t="shared" si="39"/>
        <v>2.3867615745606439</v>
      </c>
      <c r="AE89" s="23">
        <f t="shared" si="40"/>
        <v>687.06898393019242</v>
      </c>
      <c r="AF89" s="23">
        <f t="shared" si="41"/>
        <v>169.90577107245088</v>
      </c>
      <c r="AG89" s="23">
        <f t="shared" si="42"/>
        <v>430.64633364985889</v>
      </c>
      <c r="AH89" s="23">
        <f t="shared" si="43"/>
        <v>679.7218984106579</v>
      </c>
      <c r="AI89" s="23">
        <f t="shared" si="44"/>
        <v>518.40435493698919</v>
      </c>
      <c r="AJ89" s="23"/>
      <c r="AK89" s="25">
        <f t="shared" si="35"/>
        <v>679.7218984106579</v>
      </c>
      <c r="AL89" s="4"/>
      <c r="AM89" s="4"/>
      <c r="AN89" s="4"/>
      <c r="AO89" s="16"/>
      <c r="AP89" s="16"/>
      <c r="AR89" s="13">
        <f>1-W89/'6states,ExoDamages'!T89</f>
        <v>9.232014314510073E-2</v>
      </c>
      <c r="AS89" s="21">
        <f>-Y89*W89*X89^(-Parameters!B$52)*Parameters!B$46*Parameters!B$45*N89</f>
        <v>-8.3227221345239254E-6</v>
      </c>
      <c r="AT89" s="7">
        <f>1000*EXP(-(Parameters!$B$54)*'6states'!A89)*AK89*Parameters!B$46*Parameters!B$45*N89</f>
        <v>0.7943731381985315</v>
      </c>
      <c r="AU89" s="7">
        <f>SUM(AT89:AT$204)*EXP(Parameters!$B$54*A89)</f>
        <v>1083.4914824324178</v>
      </c>
      <c r="AZ89" s="5"/>
      <c r="BA89" s="5"/>
      <c r="BB89" s="5"/>
      <c r="BE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-0.58434983364762438</v>
      </c>
      <c r="BF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-296.24608213780101</v>
      </c>
      <c r="BG89" s="7">
        <f t="shared" si="36"/>
        <v>3.353442634191442E-2</v>
      </c>
      <c r="BM89">
        <f>EXP(-Parameters!$B$56*A89)*AZ89*BF89</f>
        <v>0</v>
      </c>
      <c r="BN89">
        <f>-EXP((Parameters!$B$56)*F89)*SUM(BM89:BM97)</f>
        <v>0</v>
      </c>
      <c r="BO89">
        <f>X89^-Parameters!B$52/(1-2*Parameters!B$5*'6states'!D89/'6states'!G89)</f>
        <v>1.123431853554953</v>
      </c>
      <c r="BP89">
        <f t="shared" si="45"/>
        <v>0.99964214073792956</v>
      </c>
      <c r="BQ89">
        <f>$X89^-Parameters!$B$52/(1-2*Parameters!$B$5*'6states'!$E89/'6states'!$H89)</f>
        <v>1.1229737605977179</v>
      </c>
      <c r="BR89">
        <f t="shared" si="47"/>
        <v>0.99966788172754839</v>
      </c>
      <c r="BS89" s="7">
        <f>($X89^-Parameters!$B$52*(1/(1+EXP(-C89)) + IF(C89&lt;0,2*Parameters!$B$6*C89/F89,0)) + BK89*(1/(1+EXP((C89-Parameters!$B$22)*Parameters!$B$21))))/(1-IF(C89&gt;0,2*Parameters!$B$5*C89/F89,0))</f>
        <v>0.48565374323626803</v>
      </c>
      <c r="BT89">
        <f t="shared" si="48"/>
        <v>0.99980489514720727</v>
      </c>
      <c r="BU89" s="7">
        <f t="shared" si="51"/>
        <v>-9.4771892538481062E-5</v>
      </c>
    </row>
    <row r="90" spans="1:76" x14ac:dyDescent="0.25">
      <c r="A90">
        <f>A89+Parameters!$B$65</f>
        <v>86</v>
      </c>
      <c r="B90">
        <v>2111</v>
      </c>
      <c r="C90" s="74">
        <v>2.363676823383901E-6</v>
      </c>
      <c r="D90" s="69">
        <v>9.2346718874078554E-2</v>
      </c>
      <c r="E90" s="75">
        <v>0.22354287889642172</v>
      </c>
      <c r="F90" s="7">
        <f>MAX((1-Parameters!$B$4)^Parameters!B$65*F89 + C89*Parameters!B$65 - IF(C89&gt;0,Parameters!$B$5,0)*C89^2/F89*Parameters!B$65, 0.0001)</f>
        <v>4.4141570868904516E-3</v>
      </c>
      <c r="G90" s="7">
        <f>(1-Parameters!$B$4)^Parameters!B$65*G89+D89*Parameters!B$65-Parameters!$B$5*D89^2/G89*Parameters!B$65</f>
        <v>1.3560626251122245</v>
      </c>
      <c r="H90" s="7">
        <f>(1-Parameters!$B$4)^Parameters!B$65*H89+E89*Parameters!B$65-Parameters!$B$5*E89^2/H89*Parameters!B$65</f>
        <v>3.2906169529839584</v>
      </c>
      <c r="I90" s="9">
        <f>I89 *(1-Parameters!$B$4)-C89*(C89&lt;0)*Parameters!B$65</f>
        <v>1.5308046657213137E-4</v>
      </c>
      <c r="J90" s="23">
        <f>J89*(1+Parameters!$B$51)^Parameters!B$65</f>
        <v>10.467583925601184</v>
      </c>
      <c r="K90" s="23">
        <f>K89*(1+Parameters!$B$53)^Parameters!B$65</f>
        <v>49.54399717377175</v>
      </c>
      <c r="L90" s="23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0.80312491471540315</v>
      </c>
      <c r="M90" s="8">
        <f>M89+L90*Parameters!B$65</f>
        <v>3191.6966806362921</v>
      </c>
      <c r="N90" s="7">
        <f>M90*Parameters!$B$45</f>
        <v>1.9150180083817752</v>
      </c>
      <c r="O90" s="9">
        <f>EXP(-Parameters!$B$46/2*N90^2)</f>
        <v>0.9638146212971439</v>
      </c>
      <c r="P90" s="8">
        <f>MAX((Parameters!$B$62 + Parameters!$B$31*'6states'!A90 - '6states'!M90 + Parameters!$B$47/Parameters!$B$45)/Parameters!B$62,1)</f>
        <v>74.670066387274161</v>
      </c>
      <c r="Q90" s="7">
        <f>Parameters!B$61*EXP(-Parameters!B$60*A90)</f>
        <v>4.9038617424679028E-2</v>
      </c>
      <c r="R90" s="7">
        <f>(1-Parameters!B$61)*P90^-Parameters!B$63</f>
        <v>0.32482941545455407</v>
      </c>
      <c r="S90" s="7">
        <f>Parameters!B$61*EXP(-Parameters!B$60*A90)+(1-Parameters!B$61)*P90^-Parameters!B$63</f>
        <v>0.37386803287923309</v>
      </c>
      <c r="T90" s="7">
        <f>1-S90/Parameters!$B$12</f>
        <v>0.81306598356038351</v>
      </c>
      <c r="U90" s="7">
        <f t="shared" si="37"/>
        <v>5.3494811647778429</v>
      </c>
      <c r="V90" s="7">
        <f>(Parameters!$B$19*(F90+Parameters!$B$20)^T90+Parameters!$B$18*G90^T90)^(1/T90)</f>
        <v>0.33539022153693038</v>
      </c>
      <c r="W90" s="7">
        <f>(Parameters!$B$10*H90^Parameters!$B$9+Parameters!$B$11*V90^Parameters!$B$9)^(Parameters!$B$7/Parameters!$B$9)*O90</f>
        <v>1.340951765743071</v>
      </c>
      <c r="X90" s="7">
        <f>W90 - D90 - E90 - LN(1+EXP(Parameters!$B$21*C90))/Parameters!$B$21 - IF(C90&gt;0, 0,Parameters!$B$6*C90^2/F90)</f>
        <v>1.0227504953227813</v>
      </c>
      <c r="Y90" s="7">
        <f>EXP(-Parameters!$B$55*A90)</f>
        <v>0.27291360475009885</v>
      </c>
      <c r="Z90" s="7">
        <f>IF(X90&gt;0,X90^(1-Parameters!$B$52)/(1-Parameters!$B$52)*Y90*Parameters!$B$65,-10+X90*1000)</f>
        <v>-0.77363791707307439</v>
      </c>
      <c r="AC90" s="23">
        <f t="shared" si="38"/>
        <v>7.9388440552165956E-2</v>
      </c>
      <c r="AD90" s="23">
        <f t="shared" si="39"/>
        <v>2.2892081225490712</v>
      </c>
      <c r="AE90" s="23">
        <f t="shared" si="40"/>
        <v>703.26214382165267</v>
      </c>
      <c r="AF90" s="23">
        <f t="shared" si="41"/>
        <v>173.93536393303435</v>
      </c>
      <c r="AG90" s="23">
        <f t="shared" si="42"/>
        <v>440.85981480802354</v>
      </c>
      <c r="AH90" s="23">
        <f t="shared" si="43"/>
        <v>695.42556226697786</v>
      </c>
      <c r="AI90" s="23">
        <f t="shared" si="44"/>
        <v>530.40449063024062</v>
      </c>
      <c r="AJ90" s="23"/>
      <c r="AK90" s="25">
        <f t="shared" si="35"/>
        <v>695.42556226697786</v>
      </c>
      <c r="AL90" s="4"/>
      <c r="AM90" s="4"/>
      <c r="AN90" s="4"/>
      <c r="AO90" s="16"/>
      <c r="AP90" s="16"/>
      <c r="AR90" s="13">
        <f>1-W90/'6states,ExoDamages'!T90</f>
        <v>9.2179042113470722E-2</v>
      </c>
      <c r="AS90" s="21">
        <f>-Y90*W90*X90^(-Parameters!B$52)*Parameters!B$46*Parameters!B$45*N90</f>
        <v>-8.1991610957865711E-6</v>
      </c>
      <c r="AT90" s="7">
        <f>1000*EXP(-(Parameters!$B$54)*'6states'!A90)*AK90*Parameters!B$46*Parameters!B$45*N90</f>
        <v>0.78489126771543416</v>
      </c>
      <c r="AU90" s="7">
        <f>SUM(AT90:AT$204)*EXP(Parameters!$B$54*A90)</f>
        <v>1105.9423888462018</v>
      </c>
      <c r="AZ90" s="5"/>
      <c r="BA90" s="5"/>
      <c r="BB90" s="5"/>
      <c r="BE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-0.57898443599217642</v>
      </c>
      <c r="BF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-300.26477255173324</v>
      </c>
      <c r="BG90" s="7">
        <f t="shared" si="36"/>
        <v>3.3517080024899448E-2</v>
      </c>
      <c r="BM90">
        <f>EXP(-Parameters!$B$56*A90)*AZ90*BF90</f>
        <v>0</v>
      </c>
      <c r="BN90">
        <f>-EXP((Parameters!$B$56)*F90)*SUM(BM90:BM98)</f>
        <v>0</v>
      </c>
      <c r="BO90">
        <f>X90^-Parameters!B$52/(1-2*Parameters!B$5*'6states'!D90/'6states'!G90)</f>
        <v>1.1230442215919048</v>
      </c>
      <c r="BP90">
        <f t="shared" si="45"/>
        <v>0.99965495729730147</v>
      </c>
      <c r="BQ90">
        <f>$X90^-Parameters!$B$52/(1-2*Parameters!$B$5*'6states'!$E90/'6states'!$H90)</f>
        <v>1.1226134489289323</v>
      </c>
      <c r="BR90">
        <f t="shared" si="47"/>
        <v>0.99967914506872024</v>
      </c>
      <c r="BS90" s="7">
        <f>($X90^-Parameters!$B$52*(1/(1+EXP(-C90)) + IF(C90&lt;0,2*Parameters!$B$6*C90/F90,0)) + BK90*(1/(1+EXP((C90-Parameters!$B$22)*Parameters!$B$21))))/(1-IF(C90&gt;0,2*Parameters!$B$5*C90/F90,0))</f>
        <v>0.48556433800081567</v>
      </c>
      <c r="BT90">
        <f t="shared" si="48"/>
        <v>0.99981590745114701</v>
      </c>
      <c r="BU90" s="7">
        <f t="shared" si="51"/>
        <v>-8.9405235452366671E-5</v>
      </c>
    </row>
    <row r="91" spans="1:76" x14ac:dyDescent="0.25">
      <c r="A91">
        <f>A90+Parameters!$B$65</f>
        <v>87</v>
      </c>
      <c r="B91">
        <v>2112</v>
      </c>
      <c r="C91" s="74">
        <v>2.363676823383901E-6</v>
      </c>
      <c r="D91" s="69">
        <v>9.2346718874078554E-2</v>
      </c>
      <c r="E91" s="75">
        <v>0.22354287889642172</v>
      </c>
      <c r="F91" s="7">
        <f>MAX((1-Parameters!$B$4)^Parameters!B$65*F90 + C90*Parameters!B$65 - IF(C90&gt;0,Parameters!$B$5,0)*C90^2/F90*Parameters!B$65, 0.0001)</f>
        <v>4.1388690172553359E-3</v>
      </c>
      <c r="G91" s="7">
        <f>(1-Parameters!$B$4)^Parameters!B$65*G90+D90*Parameters!B$65-Parameters!$B$5*D90^2/G90*Parameters!B$65</f>
        <v>1.3568242713459731</v>
      </c>
      <c r="H91" s="7">
        <f>(1-Parameters!$B$4)^Parameters!B$65*H90+E90*Parameters!B$65-Parameters!$B$5*E90^2/H90*Parameters!B$65</f>
        <v>3.291993992213456</v>
      </c>
      <c r="I91" s="9">
        <f>I90 *(1-Parameters!$B$4)-C90*(C90&lt;0)*Parameters!B$65</f>
        <v>1.434517052247443E-4</v>
      </c>
      <c r="J91" s="23">
        <f>J90*(1+Parameters!$B$51)^Parameters!B$65</f>
        <v>10.497939918985427</v>
      </c>
      <c r="K91" s="23">
        <f>K90*(1+Parameters!$B$53)^Parameters!B$65</f>
        <v>50.534877117247184</v>
      </c>
      <c r="L91" s="23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0.762686480709172</v>
      </c>
      <c r="M91" s="8">
        <f>M90+L91*Parameters!B$65</f>
        <v>3192.4593671170014</v>
      </c>
      <c r="N91" s="7">
        <f>M91*Parameters!$B$45</f>
        <v>1.9154756202702006</v>
      </c>
      <c r="O91" s="9">
        <f>EXP(-Parameters!$B$46/2*N91^2)</f>
        <v>0.96379764246598409</v>
      </c>
      <c r="P91" s="8">
        <f>MAX((Parameters!$B$62 + Parameters!$B$31*'6states'!A91 - '6states'!M91 + Parameters!$B$47/Parameters!$B$45)/Parameters!B$62,1)</f>
        <v>75.718812657659981</v>
      </c>
      <c r="Q91" s="7">
        <f>Parameters!B$61*EXP(-Parameters!B$60*A91)</f>
        <v>4.773228953912257E-2</v>
      </c>
      <c r="R91" s="7">
        <f>(1-Parameters!B$61)*P91^-Parameters!B$63</f>
        <v>0.32437668025059158</v>
      </c>
      <c r="S91" s="7">
        <f>Parameters!B$61*EXP(-Parameters!B$60*A91)+(1-Parameters!B$61)*P91^-Parameters!B$63</f>
        <v>0.37210896978971414</v>
      </c>
      <c r="T91" s="7">
        <f>1-S91/Parameters!$B$12</f>
        <v>0.8139455151051429</v>
      </c>
      <c r="U91" s="7">
        <f t="shared" si="37"/>
        <v>5.3747696572061612</v>
      </c>
      <c r="V91" s="7">
        <f>(Parameters!$B$19*(F91+Parameters!$B$20)^T91+Parameters!$B$18*G91^T91)^(1/T91)</f>
        <v>0.33564182522878289</v>
      </c>
      <c r="W91" s="7">
        <f>(Parameters!$B$10*H91^Parameters!$B$9+Parameters!$B$11*V91^Parameters!$B$9)^(Parameters!$B$7/Parameters!$B$9)*O91</f>
        <v>1.3411368786265756</v>
      </c>
      <c r="X91" s="7">
        <f>W91 - D91 - E91 - LN(1+EXP(Parameters!$B$21*C91))/Parameters!$B$21 - IF(C91&gt;0, 0,Parameters!$B$6*C91^2/F91)</f>
        <v>1.0229356082062859</v>
      </c>
      <c r="Y91" s="7">
        <f>EXP(-Parameters!$B$55*A91)</f>
        <v>0.26882356681858899</v>
      </c>
      <c r="Z91" s="7">
        <f>IF(X91&gt;0,X91^(1-Parameters!$B$52)/(1-Parameters!$B$52)*Y91*Parameters!$B$65,-10+X91*1000)</f>
        <v>-0.76199547257229538</v>
      </c>
      <c r="AC91" s="23">
        <f t="shared" si="38"/>
        <v>7.6102865931066771E-2</v>
      </c>
      <c r="AD91" s="23">
        <f t="shared" si="39"/>
        <v>2.1957201096560919</v>
      </c>
      <c r="AE91" s="23">
        <f t="shared" si="40"/>
        <v>719.81169866531991</v>
      </c>
      <c r="AF91" s="23">
        <f t="shared" si="41"/>
        <v>178.06205082209499</v>
      </c>
      <c r="AG91" s="23">
        <f t="shared" si="42"/>
        <v>451.31939230016832</v>
      </c>
      <c r="AH91" s="23">
        <f t="shared" si="43"/>
        <v>711.48934695076969</v>
      </c>
      <c r="AI91" s="23">
        <f t="shared" si="44"/>
        <v>542.67972155139626</v>
      </c>
      <c r="AJ91" s="23"/>
      <c r="AK91" s="25">
        <f t="shared" si="35"/>
        <v>711.4893469507698</v>
      </c>
      <c r="AL91" s="4"/>
      <c r="AM91" s="4"/>
      <c r="AN91" s="4"/>
      <c r="AO91" s="16"/>
      <c r="AP91" s="16"/>
      <c r="AR91" s="13">
        <f>1-W91/'6states,ExoDamages'!T91</f>
        <v>9.2042329115154864E-2</v>
      </c>
      <c r="AS91" s="21">
        <f>-Y91*W91*X91^(-Parameters!B$52)*Parameters!B$46*Parameters!B$45*N91</f>
        <v>-8.077355179586213E-6</v>
      </c>
      <c r="AT91" s="7">
        <f>1000*EXP(-(Parameters!$B$54)*'6states'!A91)*AK91*Parameters!B$46*Parameters!B$45*N91</f>
        <v>0.77550977982179803</v>
      </c>
      <c r="AU91" s="7">
        <f>SUM(AT91:AT$204)*EXP(Parameters!$B$54*A91)</f>
        <v>1128.8155899274363</v>
      </c>
      <c r="AZ91" s="5"/>
      <c r="BA91" s="5"/>
      <c r="BB91" s="5"/>
      <c r="BE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-0.57369765097319714</v>
      </c>
      <c r="BF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-304.35354775727086</v>
      </c>
      <c r="BG91" s="7">
        <f t="shared" si="36"/>
        <v>3.3498589788404524E-2</v>
      </c>
      <c r="BM91">
        <f>EXP(-Parameters!$B$56*A91)*AZ91*BF91</f>
        <v>0</v>
      </c>
      <c r="BN91">
        <f>-EXP((Parameters!$B$56)*F91)*SUM(BM91:BM99)</f>
        <v>0</v>
      </c>
      <c r="BO91">
        <f>X91^-Parameters!B$52/(1-2*Parameters!B$5*'6states'!D91/'6states'!G91)</f>
        <v>1.1226705050019719</v>
      </c>
      <c r="BP91">
        <f t="shared" si="45"/>
        <v>0.99966722896325211</v>
      </c>
      <c r="BQ91">
        <f>$X91^-Parameters!$B$52/(1-2*Parameters!$B$5*'6states'!$E91/'6states'!$H91)</f>
        <v>1.1222653939187974</v>
      </c>
      <c r="BR91">
        <f t="shared" si="47"/>
        <v>0.99968996005662769</v>
      </c>
      <c r="BS91" s="7">
        <f>($X91^-Parameters!$B$52*(1/(1+EXP(-C91)) + IF(C91&lt;0,2*Parameters!$B$6*C91/F91,0)) + BK91*(1/(1+EXP((C91-Parameters!$B$22)*Parameters!$B$21))))/(1-IF(C91&gt;0,2*Parameters!$B$5*C91/F91,0))</f>
        <v>0.48548033763879872</v>
      </c>
      <c r="BT91">
        <f t="shared" si="48"/>
        <v>0.99982700467179531</v>
      </c>
      <c r="BU91" s="7">
        <f t="shared" si="51"/>
        <v>-8.4000362016944941E-5</v>
      </c>
    </row>
    <row r="92" spans="1:76" x14ac:dyDescent="0.25">
      <c r="A92">
        <f>A91+Parameters!$B$65</f>
        <v>88</v>
      </c>
      <c r="B92">
        <v>2113</v>
      </c>
      <c r="C92" s="74">
        <v>2.363676823383901E-6</v>
      </c>
      <c r="D92" s="69">
        <v>9.2346718874078554E-2</v>
      </c>
      <c r="E92" s="75">
        <v>0.22354287889642172</v>
      </c>
      <c r="F92" s="7">
        <f>MAX((1-Parameters!$B$4)^Parameters!B$65*F91 + C91*Parameters!B$65 - IF(C91&gt;0,Parameters!$B$5,0)*C91^2/F91*Parameters!B$65, 0.0001)</f>
        <v>3.8808964830153846E-3</v>
      </c>
      <c r="G92" s="7">
        <f>(1-Parameters!$B$4)^Parameters!B$65*G91+D91*Parameters!B$65-Parameters!$B$5*D91^2/G91*Parameters!B$65</f>
        <v>1.3575415401794075</v>
      </c>
      <c r="H92" s="7">
        <f>(1-Parameters!$B$4)^Parameters!B$65*H91+E91*Parameters!B$65-Parameters!$B$5*E91^2/H91*Parameters!B$65</f>
        <v>3.2932907679845895</v>
      </c>
      <c r="I92" s="9">
        <f>I91 *(1-Parameters!$B$4)-C91*(C91&lt;0)*Parameters!B$65</f>
        <v>1.344285929661079E-4</v>
      </c>
      <c r="J92" s="23">
        <f>J91*(1+Parameters!$B$51)^Parameters!B$65</f>
        <v>10.528383944750484</v>
      </c>
      <c r="K92" s="23">
        <f>K91*(1+Parameters!$B$53)^Parameters!B$65</f>
        <v>51.545574659592127</v>
      </c>
      <c r="L92" s="23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0.72431323731153063</v>
      </c>
      <c r="M92" s="8">
        <f>M91+L92*Parameters!B$65</f>
        <v>3193.1836803543129</v>
      </c>
      <c r="N92" s="7">
        <f>M92*Parameters!$B$45</f>
        <v>1.9159102082125876</v>
      </c>
      <c r="O92" s="9">
        <f>EXP(-Parameters!$B$46/2*N92^2)</f>
        <v>0.96378151441644011</v>
      </c>
      <c r="P92" s="8">
        <f>MAX((Parameters!$B$62 + Parameters!$B$31*'6states'!A92 - '6states'!M92 + Parameters!$B$47/Parameters!$B$45)/Parameters!B$62,1)</f>
        <v>76.76832639291375</v>
      </c>
      <c r="Q92" s="7">
        <f>Parameters!B$61*EXP(-Parameters!B$60*A92)</f>
        <v>4.6460760606599448E-2</v>
      </c>
      <c r="R92" s="7">
        <f>(1-Parameters!B$61)*P92^-Parameters!B$63</f>
        <v>0.32393046695251182</v>
      </c>
      <c r="S92" s="7">
        <f>Parameters!B$61*EXP(-Parameters!B$60*A92)+(1-Parameters!B$61)*P92^-Parameters!B$63</f>
        <v>0.37039122755911125</v>
      </c>
      <c r="T92" s="7">
        <f>1-S92/Parameters!$B$12</f>
        <v>0.81480438622044438</v>
      </c>
      <c r="U92" s="7">
        <f t="shared" si="37"/>
        <v>5.3996959193122827</v>
      </c>
      <c r="V92" s="7">
        <f>(Parameters!$B$19*(F92+Parameters!$B$20)^T92+Parameters!$B$18*G92^T92)^(1/T92)</f>
        <v>0.33589587937209808</v>
      </c>
      <c r="W92" s="7">
        <f>(Parameters!$B$10*H92^Parameters!$B$9+Parameters!$B$11*V92^Parameters!$B$9)^(Parameters!$B$7/Parameters!$B$9)*O92</f>
        <v>1.3413170945896835</v>
      </c>
      <c r="X92" s="7">
        <f>W92 - D92 - E92 - LN(1+EXP(Parameters!$B$21*C92))/Parameters!$B$21 - IF(C92&gt;0, 0,Parameters!$B$6*C92^2/F92)</f>
        <v>1.0231158241693938</v>
      </c>
      <c r="Y92" s="7">
        <f>EXP(-Parameters!$B$55*A92)</f>
        <v>0.26479482451320413</v>
      </c>
      <c r="Z92" s="7">
        <f>IF(X92&gt;0,X92^(1-Parameters!$B$52)/(1-Parameters!$B$52)*Y92*Parameters!$B$65,-10+X92*1000)</f>
        <v>-0.75052950061362744</v>
      </c>
      <c r="AC92" s="23">
        <f t="shared" si="38"/>
        <v>7.2953268292456852E-2</v>
      </c>
      <c r="AD92" s="23">
        <f t="shared" si="39"/>
        <v>2.1061299243982621</v>
      </c>
      <c r="AE92" s="23">
        <f t="shared" si="40"/>
        <v>736.72639141460479</v>
      </c>
      <c r="AF92" s="23">
        <f t="shared" si="41"/>
        <v>182.28787243456094</v>
      </c>
      <c r="AG92" s="23">
        <f t="shared" si="42"/>
        <v>462.03023850968759</v>
      </c>
      <c r="AH92" s="23">
        <f t="shared" si="43"/>
        <v>727.92152106755054</v>
      </c>
      <c r="AI92" s="23">
        <f t="shared" si="44"/>
        <v>555.2363642882583</v>
      </c>
      <c r="AJ92" s="23"/>
      <c r="AK92" s="25">
        <f t="shared" si="35"/>
        <v>727.92152106755054</v>
      </c>
      <c r="AL92" s="4"/>
      <c r="AM92" s="4"/>
      <c r="AN92" s="4"/>
      <c r="AO92" s="16"/>
      <c r="AP92" s="16"/>
      <c r="AR92" s="13">
        <f>1-W92/'6states,ExoDamages'!T92</f>
        <v>9.1909852331580666E-2</v>
      </c>
      <c r="AS92" s="21">
        <f>-Y92*W92*X92^(-Parameters!B$52)*Parameters!B$46*Parameters!B$45*N92</f>
        <v>-7.9572852866407197E-6</v>
      </c>
      <c r="AT92" s="7">
        <f>1000*EXP(-(Parameters!$B$54)*'6states'!A92)*AK92*Parameters!B$46*Parameters!B$45*N92</f>
        <v>0.76622836137782879</v>
      </c>
      <c r="AU92" s="7">
        <f>SUM(AT92:AT$204)*EXP(Parameters!$B$54*A92)</f>
        <v>1152.1175816998955</v>
      </c>
      <c r="AZ92" s="5"/>
      <c r="BA92" s="5"/>
      <c r="BB92" s="5"/>
      <c r="BE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-0.56849010343364581</v>
      </c>
      <c r="BF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-308.51480419688329</v>
      </c>
      <c r="BG92" s="7">
        <f t="shared" si="36"/>
        <v>3.3478881640298733E-2</v>
      </c>
      <c r="BM92">
        <f>EXP(-Parameters!$B$56*A92)*AZ92*BF92</f>
        <v>0</v>
      </c>
      <c r="BN92">
        <f>-EXP((Parameters!$B$56)*F92)*SUM(BM92:BM100)</f>
        <v>0</v>
      </c>
      <c r="BO92">
        <f>X92^-Parameters!B$52/(1-2*Parameters!B$5*'6states'!D92/'6states'!G92)</f>
        <v>1.122310111490916</v>
      </c>
      <c r="BP92">
        <f t="shared" si="45"/>
        <v>0.99967898549979695</v>
      </c>
      <c r="BQ92">
        <f>$X92^-Parameters!$B$52/(1-2*Parameters!$B$5*'6states'!$E92/'6states'!$H92)</f>
        <v>1.1219291072453619</v>
      </c>
      <c r="BR92">
        <f t="shared" si="47"/>
        <v>0.99970035013530867</v>
      </c>
      <c r="BS92" s="7">
        <f>($X92^-Parameters!$B$52*(1/(1+EXP(-C92)) + IF(C92&lt;0,2*Parameters!$B$6*C92/F92,0)) + BK92*(1/(1+EXP((C92-Parameters!$B$22)*Parameters!$B$21))))/(1-IF(C92&gt;0,2*Parameters!$B$5*C92/F92,0))</f>
        <v>0.48540179221270147</v>
      </c>
      <c r="BT92">
        <f t="shared" si="48"/>
        <v>0.99983821090164171</v>
      </c>
      <c r="BU92" s="7">
        <f t="shared" si="51"/>
        <v>-7.8545426097254012E-5</v>
      </c>
    </row>
    <row r="93" spans="1:76" x14ac:dyDescent="0.25">
      <c r="A93">
        <f>A92+Parameters!$B$65</f>
        <v>89</v>
      </c>
      <c r="B93">
        <v>2114</v>
      </c>
      <c r="C93" s="74">
        <v>2.363676823383901E-6</v>
      </c>
      <c r="D93" s="69">
        <v>9.2346718874078554E-2</v>
      </c>
      <c r="E93" s="75">
        <v>0.22354287889642172</v>
      </c>
      <c r="F93" s="7">
        <f>MAX((1-Parameters!$B$4)^Parameters!B$65*F92 + C92*Parameters!B$65 - IF(C92&gt;0,Parameters!$B$5,0)*C92^2/F92*Parameters!B$65, 0.0001)</f>
        <v>3.6391503314494871E-3</v>
      </c>
      <c r="G93" s="7">
        <f>(1-Parameters!$B$4)^Parameters!B$65*G92+D92*Parameters!B$65-Parameters!$B$5*D92^2/G92*Parameters!B$65</f>
        <v>1.3582170136448712</v>
      </c>
      <c r="H93" s="7">
        <f>(1-Parameters!$B$4)^Parameters!B$65*H92+E92*Parameters!B$65-Parameters!$B$5*E92^2/H92*Parameters!B$65</f>
        <v>3.2945119537551566</v>
      </c>
      <c r="I93" s="9">
        <f>I92 *(1-Parameters!$B$4)-C92*(C92&lt;0)*Parameters!B$65</f>
        <v>1.2597303446853971E-4</v>
      </c>
      <c r="J93" s="23">
        <f>J92*(1+Parameters!$B$51)^Parameters!B$65</f>
        <v>10.558916258190258</v>
      </c>
      <c r="K93" s="23">
        <f>K92*(1+Parameters!$B$53)^Parameters!B$65</f>
        <v>52.576486152783971</v>
      </c>
      <c r="L93" s="23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0.68790009149922782</v>
      </c>
      <c r="M93" s="8">
        <f>M92+L93*Parameters!B$65</f>
        <v>3193.871580445812</v>
      </c>
      <c r="N93" s="7">
        <f>M93*Parameters!$B$45</f>
        <v>1.9163229482674871</v>
      </c>
      <c r="O93" s="9">
        <f>EXP(-Parameters!$B$46/2*N93^2)</f>
        <v>0.96376619402916286</v>
      </c>
      <c r="P93" s="8">
        <f>MAX((Parameters!$B$62 + Parameters!$B$31*'6states'!A93 - '6states'!M93 + Parameters!$B$47/Parameters!$B$45)/Parameters!B$62,1)</f>
        <v>77.818568391083758</v>
      </c>
      <c r="Q93" s="7">
        <f>Parameters!B$61*EXP(-Parameters!B$60*A93)</f>
        <v>4.522310362620463E-2</v>
      </c>
      <c r="R93" s="7">
        <f>(1-Parameters!B$61)*P93^-Parameters!B$63</f>
        <v>0.32349061131993112</v>
      </c>
      <c r="S93" s="7">
        <f>Parameters!B$61*EXP(-Parameters!B$60*A93)+(1-Parameters!B$61)*P93^-Parameters!B$63</f>
        <v>0.36871371494613575</v>
      </c>
      <c r="T93" s="7">
        <f>1-S93/Parameters!$B$12</f>
        <v>0.81564314252693215</v>
      </c>
      <c r="U93" s="7">
        <f t="shared" si="37"/>
        <v>5.4242625617877387</v>
      </c>
      <c r="V93" s="7">
        <f>(Parameters!$B$19*(F93+Parameters!$B$20)^T93+Parameters!$B$18*G93^T93)^(1/T93)</f>
        <v>0.33615182025781254</v>
      </c>
      <c r="W93" s="7">
        <f>(Parameters!$B$10*H93^Parameters!$B$9+Parameters!$B$11*V93^Parameters!$B$9)^(Parameters!$B$7/Parameters!$B$9)*O93</f>
        <v>1.3414925407292246</v>
      </c>
      <c r="X93" s="7">
        <f>W93 - D93 - E93 - LN(1+EXP(Parameters!$B$21*C93))/Parameters!$B$21 - IF(C93&gt;0, 0,Parameters!$B$6*C93^2/F93)</f>
        <v>1.023291270308935</v>
      </c>
      <c r="Y93" s="7">
        <f>EXP(-Parameters!$B$55*A93)</f>
        <v>0.26082645922295711</v>
      </c>
      <c r="Z93" s="7">
        <f>IF(X93&gt;0,X93^(1-Parameters!$B$52)/(1-Parameters!$B$52)*Y93*Parameters!$B$65,-10+X93*1000)</f>
        <v>-0.73923727458202182</v>
      </c>
      <c r="AC93" s="23">
        <f t="shared" si="38"/>
        <v>6.9934020085024987E-2</v>
      </c>
      <c r="AD93" s="23">
        <f t="shared" si="39"/>
        <v>2.0202769064483581</v>
      </c>
      <c r="AE93" s="23">
        <f t="shared" si="40"/>
        <v>754.01514548563671</v>
      </c>
      <c r="AF93" s="23">
        <f t="shared" si="41"/>
        <v>186.6149231754716</v>
      </c>
      <c r="AG93" s="23">
        <f t="shared" si="42"/>
        <v>472.99766195462445</v>
      </c>
      <c r="AH93" s="23">
        <f t="shared" si="43"/>
        <v>744.73054239793078</v>
      </c>
      <c r="AI93" s="23">
        <f t="shared" si="44"/>
        <v>568.08087978929962</v>
      </c>
      <c r="AJ93" s="23"/>
      <c r="AK93" s="25">
        <f t="shared" si="35"/>
        <v>744.73054239793078</v>
      </c>
      <c r="AL93" s="4"/>
      <c r="AM93" s="4"/>
      <c r="AN93" s="4"/>
      <c r="AO93" s="16"/>
      <c r="AP93" s="16"/>
      <c r="AR93" s="13">
        <f>1-W93/'6states,ExoDamages'!T93</f>
        <v>9.1781466707462123E-2</v>
      </c>
      <c r="AS93" s="21">
        <f>-Y93*W93*X93^(-Parameters!B$52)*Parameters!B$46*Parameters!B$45*N93</f>
        <v>-7.8389321010570255E-6</v>
      </c>
      <c r="AT93" s="7">
        <f>1000*EXP(-(Parameters!$B$54)*'6states'!A93)*AK93*Parameters!B$46*Parameters!B$45*N93</f>
        <v>0.75704664889796502</v>
      </c>
      <c r="AU93" s="7">
        <f>SUM(AT93:AT$204)*EXP(Parameters!$B$54*A93)</f>
        <v>1175.854891531691</v>
      </c>
      <c r="AZ93" s="5"/>
      <c r="BA93" s="5"/>
      <c r="BB93" s="5"/>
      <c r="BE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-0.56336248915284493</v>
      </c>
      <c r="BF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-312.75108834029055</v>
      </c>
      <c r="BG93" s="7">
        <f t="shared" si="36"/>
        <v>3.3457877000485609E-2</v>
      </c>
      <c r="BM93">
        <f>EXP(-Parameters!$B$56*A93)*AZ93*BF93</f>
        <v>0</v>
      </c>
      <c r="BN93">
        <f>-EXP((Parameters!$B$56)*F93)*SUM(BM93:BM101)</f>
        <v>0</v>
      </c>
      <c r="BO93">
        <f>X93^-Parameters!B$52/(1-2*Parameters!B$5*'6states'!D93/'6states'!G93)</f>
        <v>1.121962480696461</v>
      </c>
      <c r="BP93">
        <f t="shared" si="45"/>
        <v>0.99969025424355018</v>
      </c>
      <c r="BQ93">
        <f>$X93^-Parameters!$B$52/(1-2*Parameters!$B$5*'6states'!$E93/'6states'!$H93)</f>
        <v>1.1216041256372833</v>
      </c>
      <c r="BR93">
        <f t="shared" si="47"/>
        <v>0.99971033677085308</v>
      </c>
      <c r="BS93" s="7">
        <f>($X93^-Parameters!$B$52*(1/(1+EXP(-C93)) + IF(C93&lt;0,2*Parameters!$B$6*C93/F93,0)) + BK93*(1/(1+EXP((C93-Parameters!$B$22)*Parameters!$B$21))))/(1-IF(C93&gt;0,2*Parameters!$B$5*C93/F93,0))</f>
        <v>0.4853287636434836</v>
      </c>
      <c r="BT93">
        <f t="shared" si="48"/>
        <v>0.99984955026868572</v>
      </c>
      <c r="BU93" s="7">
        <f t="shared" si="51"/>
        <v>-7.3028569217870043E-5</v>
      </c>
    </row>
    <row r="94" spans="1:76" x14ac:dyDescent="0.25">
      <c r="A94">
        <f>A93+Parameters!$B$65</f>
        <v>90</v>
      </c>
      <c r="B94">
        <v>2115</v>
      </c>
      <c r="C94" s="74">
        <v>3.2986708659824957E-7</v>
      </c>
      <c r="D94" s="69">
        <v>9.1981606880207234E-2</v>
      </c>
      <c r="E94" s="75">
        <v>0.22400779516119423</v>
      </c>
      <c r="F94" s="7">
        <f>MAX((1-Parameters!$B$4)^Parameters!B$65*F93 + C93*Parameters!B$65 - IF(C93&gt;0,Parameters!$B$5,0)*C93^2/F93*Parameters!B$65, 0.0001)</f>
        <v>3.4126099171849812E-3</v>
      </c>
      <c r="G94" s="7">
        <f>(1-Parameters!$B$4)^Parameters!B$65*G93+D93*Parameters!B$65-Parameters!$B$5*D93^2/G93*Parameters!B$65</f>
        <v>1.3588531239582118</v>
      </c>
      <c r="H94" s="7">
        <f>(1-Parameters!$B$4)^Parameters!B$65*H93+E93*Parameters!B$65-Parameters!$B$5*E93^2/H93*Parameters!B$65</f>
        <v>3.295661951419115</v>
      </c>
      <c r="I94" s="9">
        <f>I93 *(1-Parameters!$B$4)-C93*(C93&lt;0)*Parameters!B$65</f>
        <v>1.1804933060046857E-4</v>
      </c>
      <c r="J94" s="23">
        <f>J93*(1+Parameters!$B$51)^Parameters!B$65</f>
        <v>10.589537115339009</v>
      </c>
      <c r="K94" s="23">
        <f>K93*(1+Parameters!$B$53)^Parameters!B$65</f>
        <v>53.628015875839651</v>
      </c>
      <c r="L94" s="23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0.65334730304901956</v>
      </c>
      <c r="M94" s="8">
        <f>M93+L94*Parameters!B$65</f>
        <v>3194.524927748861</v>
      </c>
      <c r="N94" s="7">
        <f>M94*Parameters!$B$45</f>
        <v>1.9167149566493165</v>
      </c>
      <c r="O94" s="9">
        <f>EXP(-Parameters!$B$46/2*N94^2)</f>
        <v>0.96375164034525407</v>
      </c>
      <c r="P94" s="8">
        <f>MAX((Parameters!$B$62 + Parameters!$B$31*'6states'!A94 - '6states'!M94 + Parameters!$B$47/Parameters!$B$45)/Parameters!B$62,1)</f>
        <v>78.869501445022777</v>
      </c>
      <c r="Q94" s="7">
        <f>Parameters!B$61*EXP(-Parameters!B$60*A94)</f>
        <v>4.4018416291186274E-2</v>
      </c>
      <c r="R94" s="7">
        <f>(1-Parameters!B$61)*P94^-Parameters!B$63</f>
        <v>0.3230569546311256</v>
      </c>
      <c r="S94" s="7">
        <f>Parameters!B$61*EXP(-Parameters!B$60*A94)+(1-Parameters!B$61)*P94^-Parameters!B$63</f>
        <v>0.36707537092231191</v>
      </c>
      <c r="T94" s="7">
        <f>1-S94/Parameters!$B$12</f>
        <v>0.8164623145388441</v>
      </c>
      <c r="U94" s="7">
        <f t="shared" si="37"/>
        <v>5.4484723259280781</v>
      </c>
      <c r="V94" s="7">
        <f>(Parameters!$B$19*(F94+Parameters!$B$20)^T94+Parameters!$B$18*G94^T94)^(1/T94)</f>
        <v>0.33640912752056024</v>
      </c>
      <c r="W94" s="7">
        <f>(Parameters!$B$10*H94^Parameters!$B$9+Parameters!$B$11*V94^Parameters!$B$9)^(Parameters!$B$7/Parameters!$B$9)*O94</f>
        <v>1.3416633401213345</v>
      </c>
      <c r="X94" s="7">
        <f>W94 - D94 - E94 - LN(1+EXP(Parameters!$B$21*C94))/Parameters!$B$21 - IF(C94&gt;0, 0,Parameters!$B$6*C94^2/F94)</f>
        <v>1.0233632825404426</v>
      </c>
      <c r="Y94" s="7">
        <f>EXP(-Parameters!$B$55*A94)</f>
        <v>0.25691756610368538</v>
      </c>
      <c r="Z94" s="7">
        <f>IF(X94&gt;0,X94^(1-Parameters!$B$52)/(1-Parameters!$B$52)*Y94*Parameters!$B$65,-10+X94*1000)</f>
        <v>-0.7281407117502483</v>
      </c>
      <c r="AC94" s="23">
        <f t="shared" si="38"/>
        <v>6.7039726659626181E-2</v>
      </c>
      <c r="AD94" s="23">
        <f t="shared" si="39"/>
        <v>1.9380070592547907</v>
      </c>
      <c r="AE94" s="23">
        <f t="shared" si="40"/>
        <v>771.68706961203281</v>
      </c>
      <c r="AF94" s="23">
        <f t="shared" si="41"/>
        <v>191.04535231216437</v>
      </c>
      <c r="AG94" s="23">
        <f t="shared" si="42"/>
        <v>484.22711020802529</v>
      </c>
      <c r="AH94" s="23">
        <f t="shared" si="43"/>
        <v>761.92506245874745</v>
      </c>
      <c r="AI94" s="23">
        <f t="shared" si="44"/>
        <v>581.16377607597167</v>
      </c>
      <c r="AJ94" s="23"/>
      <c r="AK94" s="25">
        <f t="shared" si="35"/>
        <v>761.92506245874745</v>
      </c>
      <c r="AL94" s="4"/>
      <c r="AM94" s="4"/>
      <c r="AN94" s="4"/>
      <c r="AO94" s="16"/>
      <c r="AP94" s="16"/>
      <c r="AR94" s="13">
        <f>1-W94/'6states,ExoDamages'!T94</f>
        <v>9.1657033360802553E-2</v>
      </c>
      <c r="AS94" s="21">
        <f>-Y94*W94*X94^(-Parameters!B$52)*Parameters!B$46*Parameters!B$45*N94</f>
        <v>-7.7232824945650011E-6</v>
      </c>
      <c r="AT94" s="7">
        <f>1000*EXP(-(Parameters!$B$54)*'6states'!A94)*AK94*Parameters!B$46*Parameters!B$45*N94</f>
        <v>0.74796423264898737</v>
      </c>
      <c r="AU94" s="7">
        <f>SUM(AT94:AT$204)*EXP(Parameters!$B$54*A94)</f>
        <v>1200.0340747585785</v>
      </c>
      <c r="AZ94" s="5"/>
      <c r="BA94" s="5"/>
      <c r="BB94" s="5"/>
      <c r="BE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-0.55831557819755862</v>
      </c>
      <c r="BF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-317.06510796620233</v>
      </c>
      <c r="BG94" s="7">
        <f t="shared" si="36"/>
        <v>3.343549244365996E-2</v>
      </c>
      <c r="BM94">
        <f>EXP(-Parameters!$B$56*A94)*AZ94*BF94</f>
        <v>0</v>
      </c>
      <c r="BN94">
        <f>-EXP((Parameters!$B$56)*F94)*SUM(BM94:BM102)</f>
        <v>0</v>
      </c>
      <c r="BO94">
        <f>X94^-Parameters!B$52/(1-2*Parameters!B$5*'6states'!D94/'6states'!G94)</f>
        <v>1.1210760416946535</v>
      </c>
      <c r="BP94">
        <f t="shared" si="45"/>
        <v>0.99920992099374195</v>
      </c>
      <c r="BQ94">
        <f>$X94^-Parameters!$B$52/(1-2*Parameters!$B$5*'6states'!$E94/'6states'!$H94)</f>
        <v>1.121802314406408</v>
      </c>
      <c r="BR94">
        <f t="shared" si="47"/>
        <v>1.0001767011769969</v>
      </c>
      <c r="BS94" s="7">
        <f>($X94^-Parameters!$B$52*(1/(1+EXP(-C94)) + IF(C94&lt;0,2*Parameters!$B$6*C94/F94,0)) + BK94*(1/(1+EXP((C94-Parameters!$B$22)*Parameters!$B$21))))/(1-IF(C94&gt;0,2*Parameters!$B$5*C94/F94,0))</f>
        <v>0.48474548359153341</v>
      </c>
      <c r="BT94">
        <f t="shared" si="48"/>
        <v>0.99879817539028315</v>
      </c>
      <c r="BU94" s="7">
        <f t="shared" si="51"/>
        <v>-5.8328005195018573E-4</v>
      </c>
    </row>
    <row r="95" spans="1:76" x14ac:dyDescent="0.25">
      <c r="A95">
        <f>A94+Parameters!$B$65</f>
        <v>91</v>
      </c>
      <c r="B95">
        <v>2116</v>
      </c>
      <c r="C95" s="74">
        <v>-5.4513361933580193E-7</v>
      </c>
      <c r="D95" s="69">
        <v>9.1840288866342185E-2</v>
      </c>
      <c r="E95" s="75">
        <v>0.22481620513253517</v>
      </c>
      <c r="F95" s="7">
        <f>MAX((1-Parameters!$B$4)^Parameters!B$65*F94 + C94*Parameters!B$65 - IF(C94&gt;0,Parameters!$B$5,0)*C94^2/F94*Parameters!B$65, 0.0001)</f>
        <v>3.1982865885952843E-3</v>
      </c>
      <c r="G95" s="7">
        <f>(1-Parameters!$B$4)^Parameters!B$65*G94+D94*Parameters!B$65-Parameters!$B$5*D94^2/G94*Parameters!B$65</f>
        <v>1.3591365775847493</v>
      </c>
      <c r="H95" s="7">
        <f>(1-Parameters!$B$4)^Parameters!B$65*H94+E94*Parameters!B$65-Parameters!$B$5*E94^2/H94*Parameters!B$65</f>
        <v>3.2971466876897018</v>
      </c>
      <c r="I95" s="9">
        <f>I94 *(1-Parameters!$B$4)-C94*(C94&lt;0)*Parameters!B$65</f>
        <v>1.1062402770569911E-4</v>
      </c>
      <c r="J95" s="23">
        <f>J94*(1+Parameters!$B$51)^Parameters!B$65</f>
        <v>10.620246772973491</v>
      </c>
      <c r="K95" s="23">
        <f>K94*(1+Parameters!$B$53)^Parameters!B$65</f>
        <v>54.700576193356447</v>
      </c>
      <c r="L95" s="23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0.62014358482729826</v>
      </c>
      <c r="M95" s="8">
        <f>M94+L95*Parameters!B$65</f>
        <v>3195.1450713336885</v>
      </c>
      <c r="N95" s="7">
        <f>M95*Parameters!$B$45</f>
        <v>1.9170870428002129</v>
      </c>
      <c r="O95" s="9">
        <f>EXP(-Parameters!$B$46/2*N95^2)</f>
        <v>0.96373782374272121</v>
      </c>
      <c r="P95" s="8">
        <f>MAX((Parameters!$B$62 + Parameters!$B$31*'6states'!A95 - '6states'!M95 + Parameters!$B$47/Parameters!$B$45)/Parameters!B$62,1)</f>
        <v>79.921098573326219</v>
      </c>
      <c r="Q95" s="7">
        <f>Parameters!B$61*EXP(-Parameters!B$60*A95)</f>
        <v>4.2845820331124176E-2</v>
      </c>
      <c r="R95" s="7">
        <f>(1-Parameters!B$61)*P95^-Parameters!B$63</f>
        <v>0.32262934009928351</v>
      </c>
      <c r="S95" s="7">
        <f>Parameters!B$61*EXP(-Parameters!B$60*A95)+(1-Parameters!B$61)*P95^-Parameters!B$63</f>
        <v>0.36547516043040768</v>
      </c>
      <c r="T95" s="7">
        <f>1-S95/Parameters!$B$12</f>
        <v>0.81726241978479619</v>
      </c>
      <c r="U95" s="7">
        <f t="shared" si="37"/>
        <v>5.472328126608299</v>
      </c>
      <c r="V95" s="7">
        <f>(Parameters!$B$19*(F95+Parameters!$B$20)^T95+Parameters!$B$18*G95^T95)^(1/T95)</f>
        <v>0.33659046678127996</v>
      </c>
      <c r="W95" s="7">
        <f>(Parameters!$B$10*H95^Parameters!$B$9+Parameters!$B$11*V95^Parameters!$B$9)^(Parameters!$B$7/Parameters!$B$9)*O95</f>
        <v>1.3418361575875766</v>
      </c>
      <c r="X95" s="7">
        <f>W95 - D95 - E95 - LN(1+EXP(Parameters!$B$21*C95))/Parameters!$B$21 - IF(C95&gt;0, 0,Parameters!$B$6*C95^2/F95)</f>
        <v>1.0228694450779208</v>
      </c>
      <c r="Y95" s="7">
        <f>EXP(-Parameters!$B$55*A95)</f>
        <v>0.2530672538717339</v>
      </c>
      <c r="Z95" s="7">
        <f>IF(X95&gt;0,X95^(1-Parameters!$B$52)/(1-Parameters!$B$52)*Y95*Parameters!$B$65,-10+X95*1000)</f>
        <v>-0.7173495597135956</v>
      </c>
      <c r="AC95" s="23">
        <f t="shared" si="38"/>
        <v>6.4265216630378805E-2</v>
      </c>
      <c r="AD95" s="23">
        <f t="shared" si="39"/>
        <v>1.8579921986651935</v>
      </c>
      <c r="AE95" s="23">
        <f t="shared" si="40"/>
        <v>789.56812909692792</v>
      </c>
      <c r="AF95" s="23">
        <f t="shared" si="41"/>
        <v>195.53671758332564</v>
      </c>
      <c r="AG95" s="23">
        <f t="shared" si="42"/>
        <v>495.61100832342902</v>
      </c>
      <c r="AH95" s="23">
        <f t="shared" si="43"/>
        <v>779.51773351855786</v>
      </c>
      <c r="AI95" s="23">
        <f t="shared" si="44"/>
        <v>594.21924726341717</v>
      </c>
      <c r="AJ95" s="23"/>
      <c r="AK95" s="25">
        <f t="shared" si="35"/>
        <v>779.51773351855786</v>
      </c>
      <c r="AL95" s="4"/>
      <c r="AM95" s="4"/>
      <c r="AN95" s="4"/>
      <c r="AO95" s="16"/>
      <c r="AP95" s="16"/>
      <c r="AR95" s="13">
        <f>1-W95/'6states,ExoDamages'!T95</f>
        <v>9.1499942810561175E-2</v>
      </c>
      <c r="AS95" s="21">
        <f>-Y95*W95*X95^(-Parameters!B$52)*Parameters!B$46*Parameters!B$45*N95</f>
        <v>-7.6149543613320283E-6</v>
      </c>
      <c r="AT95" s="7">
        <f>1000*EXP(-(Parameters!$B$54)*'6states'!A95)*AK95*Parameters!B$46*Parameters!B$45*N95</f>
        <v>0.73898416873832118</v>
      </c>
      <c r="AU95" s="7">
        <f>SUM(AT95:AT$204)*EXP(Parameters!$B$54*A95)</f>
        <v>1224.6617110754296</v>
      </c>
      <c r="AZ95" s="5"/>
      <c r="BA95" s="5"/>
      <c r="BB95" s="5"/>
      <c r="BE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-0.55284264200502542</v>
      </c>
      <c r="BF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-321.16487609258832</v>
      </c>
      <c r="BG95" s="7">
        <f t="shared" si="36"/>
        <v>3.3432159563550022E-2</v>
      </c>
      <c r="BM95">
        <f>EXP(-Parameters!$B$56*A95)*AZ95*BF95</f>
        <v>0</v>
      </c>
      <c r="BN95">
        <f>-EXP((Parameters!$B$56)*F95)*SUM(BM95:BM103)</f>
        <v>0</v>
      </c>
      <c r="BO95">
        <f>X95^-Parameters!B$52/(1-2*Parameters!B$5*'6states'!D95/'6states'!G95)</f>
        <v>1.1215004335502121</v>
      </c>
      <c r="BP95">
        <f t="shared" si="45"/>
        <v>1.0003785575998192</v>
      </c>
      <c r="BQ95">
        <f>$X95^-Parameters!$B$52/(1-2*Parameters!$B$5*'6states'!$E95/'6states'!$H95)</f>
        <v>1.1230913467352697</v>
      </c>
      <c r="BR95">
        <f t="shared" si="47"/>
        <v>1.001149072623855</v>
      </c>
      <c r="BS95" s="7">
        <f>($X95^-Parameters!$B$52*(1/(1+EXP(-C95)) + IF(C95&lt;0,2*Parameters!$B$6*C95/F95,0)) + BK95*(1/(1+EXP((C95-Parameters!$B$22)*Parameters!$B$21))))/(1-IF(C95&gt;0,2*Parameters!$B$5*C95/F95,0))</f>
        <v>0.48331425864620498</v>
      </c>
      <c r="BT95">
        <f t="shared" si="48"/>
        <v>0.99704747131479321</v>
      </c>
      <c r="BU95" s="7">
        <f t="shared" si="51"/>
        <v>-1.4312249453284354E-3</v>
      </c>
    </row>
    <row r="96" spans="1:76" x14ac:dyDescent="0.25">
      <c r="A96">
        <f>A95+Parameters!$B$65</f>
        <v>92</v>
      </c>
      <c r="B96">
        <v>2117</v>
      </c>
      <c r="C96" s="74">
        <v>-5.4513361933580193E-7</v>
      </c>
      <c r="D96" s="69">
        <v>9.1840288866342185E-2</v>
      </c>
      <c r="E96" s="75">
        <v>0.22481620513253517</v>
      </c>
      <c r="F96" s="7">
        <f>MAX((1-Parameters!$B$4)^Parameters!B$65*F95 + C95*Parameters!B$65 - IF(C95&gt;0,Parameters!$B$5,0)*C95^2/F95*Parameters!B$65, 0.0001)</f>
        <v>2.9965692285533053E-3</v>
      </c>
      <c r="G96" s="7">
        <f>(1-Parameters!$B$4)^Parameters!B$65*G95+D95*Parameters!B$65-Parameters!$B$5*D95^2/G95*Parameters!B$65</f>
        <v>1.3592812956070035</v>
      </c>
      <c r="H96" s="7">
        <f>(1-Parameters!$B$4)^Parameters!B$65*H95+E95*Parameters!B$65-Parameters!$B$5*E95^2/H95*Parameters!B$65</f>
        <v>3.2992432556119957</v>
      </c>
      <c r="I96" s="9">
        <f>I95 *(1-Parameters!$B$4)-C95*(C95&lt;0)*Parameters!B$65</f>
        <v>1.0421090998234644E-4</v>
      </c>
      <c r="J96" s="23">
        <f>J95*(1+Parameters!$B$51)^Parameters!B$65</f>
        <v>10.651045488615113</v>
      </c>
      <c r="K96" s="23">
        <f>K95*(1+Parameters!$B$53)^Parameters!B$65</f>
        <v>55.794587717223578</v>
      </c>
      <c r="L96" s="23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0.58827334816040189</v>
      </c>
      <c r="M96" s="8">
        <f>M95+L96*Parameters!B$65</f>
        <v>3195.7333446818488</v>
      </c>
      <c r="N96" s="7">
        <f>M96*Parameters!$B$45</f>
        <v>1.9174400068091091</v>
      </c>
      <c r="O96" s="9">
        <f>EXP(-Parameters!$B$46/2*N96^2)</f>
        <v>0.96372471490336842</v>
      </c>
      <c r="P96" s="8">
        <f>MAX((Parameters!$B$62 + Parameters!$B$31*'6states'!A96 - '6states'!M96 + Parameters!$B$47/Parameters!$B$45)/Parameters!B$62,1)</f>
        <v>80.973333106363029</v>
      </c>
      <c r="Q96" s="7">
        <f>Parameters!B$61*EXP(-Parameters!B$60*A96)</f>
        <v>4.1704460871631696E-2</v>
      </c>
      <c r="R96" s="7">
        <f>(1-Parameters!B$61)*P96^-Parameters!B$63</f>
        <v>0.32220761680893895</v>
      </c>
      <c r="S96" s="7">
        <f>Parameters!B$61*EXP(-Parameters!B$60*A96)+(1-Parameters!B$61)*P96^-Parameters!B$63</f>
        <v>0.36391207768057066</v>
      </c>
      <c r="T96" s="7">
        <f>1-S96/Parameters!$B$12</f>
        <v>0.81804396115971467</v>
      </c>
      <c r="U96" s="7">
        <f t="shared" si="37"/>
        <v>5.4958329845692298</v>
      </c>
      <c r="V96" s="7">
        <f>(Parameters!$B$19*(F96+Parameters!$B$20)^T96+Parameters!$B$18*G96^T96)^(1/T96)</f>
        <v>0.33674666811382031</v>
      </c>
      <c r="W96" s="7">
        <f>(Parameters!$B$10*H96^Parameters!$B$9+Parameters!$B$11*V96^Parameters!$B$9)^(Parameters!$B$7/Parameters!$B$9)*O96</f>
        <v>1.3420529459187494</v>
      </c>
      <c r="X96" s="7">
        <f>W96 - D96 - E96 - LN(1+EXP(Parameters!$B$21*C96))/Parameters!$B$21 - IF(C96&gt;0, 0,Parameters!$B$6*C96^2/F96)</f>
        <v>1.0230862333778199</v>
      </c>
      <c r="Y96" s="7">
        <f>EXP(-Parameters!$B$55*A96)</f>
        <v>0.24927464460072962</v>
      </c>
      <c r="Z96" s="7">
        <f>IF(X96&gt;0,X96^(1-Parameters!$B$52)/(1-Parameters!$B$52)*Y96*Parameters!$B$65,-10+X96*1000)</f>
        <v>-0.7065465450817171</v>
      </c>
      <c r="AC96" s="23">
        <f t="shared" si="38"/>
        <v>6.1929489567761564E-2</v>
      </c>
      <c r="AD96" s="23">
        <f t="shared" si="39"/>
        <v>1.7807732684630064</v>
      </c>
      <c r="AE96" s="23">
        <f t="shared" si="40"/>
        <v>807.78103588393526</v>
      </c>
      <c r="AF96" s="23">
        <f t="shared" si="41"/>
        <v>200.11867541955161</v>
      </c>
      <c r="AG96" s="23">
        <f t="shared" si="42"/>
        <v>507.22452404248929</v>
      </c>
      <c r="AH96" s="23">
        <f t="shared" si="43"/>
        <v>797.54273259621584</v>
      </c>
      <c r="AI96" s="23">
        <f t="shared" si="44"/>
        <v>607.99016367504464</v>
      </c>
      <c r="AJ96" s="23"/>
      <c r="AK96" s="25">
        <f t="shared" si="35"/>
        <v>797.54273259621584</v>
      </c>
      <c r="AL96" s="4"/>
      <c r="AM96" s="4"/>
      <c r="AN96" s="4"/>
      <c r="AO96" s="16"/>
      <c r="AP96" s="16"/>
      <c r="AR96" s="13">
        <f>1-W96/'6states,ExoDamages'!T96</f>
        <v>9.131566795205126E-2</v>
      </c>
      <c r="AS96" s="21">
        <f>-Y96*W96*X96^(-Parameters!B$52)*Parameters!B$46*Parameters!B$45*N96</f>
        <v>-7.5012790673664003E-6</v>
      </c>
      <c r="AT96" s="7">
        <f>1000*EXP(-(Parameters!$B$54)*'6states'!A96)*AK96*Parameters!B$46*Parameters!B$45*N96</f>
        <v>0.73012852062194256</v>
      </c>
      <c r="AU96" s="7">
        <f>SUM(AT96:AT$204)*EXP(Parameters!$B$54*A96)</f>
        <v>1249.7443120680214</v>
      </c>
      <c r="AZ96" s="5"/>
      <c r="BA96" s="5"/>
      <c r="BB96" s="5"/>
      <c r="BE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-0.54305523504999298</v>
      </c>
      <c r="BF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-322.7218102158788</v>
      </c>
      <c r="BG96" s="7">
        <f t="shared" si="36"/>
        <v>3.3607964875432994E-2</v>
      </c>
      <c r="BM96">
        <f>EXP(-Parameters!$B$56*A96)*AZ96*BF96</f>
        <v>0</v>
      </c>
      <c r="BN96">
        <f>-EXP((Parameters!$B$56)*F96)*SUM(BM96:BM104)</f>
        <v>0</v>
      </c>
      <c r="BO96">
        <f>X96^-Parameters!B$52/(1-2*Parameters!B$5*'6states'!D96/'6states'!G96)</f>
        <v>1.1211609763155657</v>
      </c>
      <c r="BP96">
        <f t="shared" si="45"/>
        <v>0.99969731867729028</v>
      </c>
      <c r="BQ96">
        <f>$X96^-Parameters!$B$52/(1-2*Parameters!$B$5*'6states'!$E96/'6states'!$H96)</f>
        <v>1.1226574363544473</v>
      </c>
      <c r="BR96">
        <f t="shared" si="47"/>
        <v>0.99961364640366634</v>
      </c>
      <c r="BS96" s="7">
        <f>($X96^-Parameters!$B$52*(1/(1+EXP(-C96)) + IF(C96&lt;0,2*Parameters!$B$6*C96/F96,0)) + BK96*(1/(1+EXP((C96-Parameters!$B$22)*Parameters!$B$21))))/(1-IF(C96&gt;0,2*Parameters!$B$5*C96/F96,0))</f>
        <v>0.48306475092910606</v>
      </c>
      <c r="BT96">
        <f t="shared" si="48"/>
        <v>0.9994837567635646</v>
      </c>
      <c r="BU96" s="7">
        <f t="shared" si="51"/>
        <v>-2.4950771709891795E-4</v>
      </c>
    </row>
    <row r="97" spans="1:73" x14ac:dyDescent="0.25">
      <c r="A97">
        <f>A96+Parameters!$B$65</f>
        <v>93</v>
      </c>
      <c r="B97">
        <v>2118</v>
      </c>
      <c r="C97" s="74">
        <v>-5.4513361933580193E-7</v>
      </c>
      <c r="D97" s="69">
        <v>9.1840288866342185E-2</v>
      </c>
      <c r="E97" s="75">
        <v>0.22481620513253517</v>
      </c>
      <c r="F97" s="7">
        <f>MAX((1-Parameters!$B$4)^Parameters!B$65*F96 + C96*Parameters!B$65 - IF(C96&gt;0,Parameters!$B$5,0)*C96^2/F96*Parameters!B$65, 0.0001)</f>
        <v>2.8075398904579669E-3</v>
      </c>
      <c r="G97" s="7">
        <f>(1-Parameters!$B$4)^Parameters!B$65*G96+D96*Parameters!B$65-Parameters!$B$5*D96^2/G96*Parameters!B$65</f>
        <v>1.3594175715844505</v>
      </c>
      <c r="H97" s="7">
        <f>(1-Parameters!$B$4)^Parameters!B$65*H96+E96*Parameters!B$65-Parameters!$B$5*E96^2/H96*Parameters!B$65</f>
        <v>3.301217690591689</v>
      </c>
      <c r="I97" s="9">
        <f>I96 *(1-Parameters!$B$4)-C96*(C96&lt;0)*Parameters!B$65</f>
        <v>9.8201177363792656E-5</v>
      </c>
      <c r="J97" s="23">
        <f>J96*(1+Parameters!$B$51)^Parameters!B$65</f>
        <v>10.681933520532095</v>
      </c>
      <c r="K97" s="23">
        <f>K96*(1+Parameters!$B$53)^Parameters!B$65</f>
        <v>56.910479471568053</v>
      </c>
      <c r="L97" s="23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0.55802387979012169</v>
      </c>
      <c r="M97" s="8">
        <f>M96+L97*Parameters!B$65</f>
        <v>3196.291368561639</v>
      </c>
      <c r="N97" s="7">
        <f>M97*Parameters!$B$45</f>
        <v>1.9177748211369832</v>
      </c>
      <c r="O97" s="9">
        <f>EXP(-Parameters!$B$46/2*N97^2)</f>
        <v>0.96371227806510162</v>
      </c>
      <c r="P97" s="8">
        <f>MAX((Parameters!$B$62 + Parameters!$B$31*'6states'!A97 - '6states'!M97 + Parameters!$B$47/Parameters!$B$45)/Parameters!B$62,1)</f>
        <v>82.026172628767242</v>
      </c>
      <c r="Q97" s="7">
        <f>Parameters!B$61*EXP(-Parameters!B$60*A97)</f>
        <v>4.0593505811114546E-2</v>
      </c>
      <c r="R97" s="7">
        <f>(1-Parameters!B$61)*P97^-Parameters!B$63</f>
        <v>0.32179164180090747</v>
      </c>
      <c r="S97" s="7">
        <f>Parameters!B$61*EXP(-Parameters!B$60*A97)+(1-Parameters!B$61)*P97^-Parameters!B$63</f>
        <v>0.36238514761202201</v>
      </c>
      <c r="T97" s="7">
        <f>1-S97/Parameters!$B$12</f>
        <v>0.81880742619398905</v>
      </c>
      <c r="U97" s="7">
        <f t="shared" si="37"/>
        <v>5.5189899839417462</v>
      </c>
      <c r="V97" s="7">
        <f>(Parameters!$B$19*(F97+Parameters!$B$20)^T97+Parameters!$B$18*G97^T97)^(1/T97)</f>
        <v>0.33690867433993538</v>
      </c>
      <c r="W97" s="7">
        <f>(Parameters!$B$10*H97^Parameters!$B$9+Parameters!$B$11*V97^Parameters!$B$9)^(Parameters!$B$7/Parameters!$B$9)*O97</f>
        <v>1.3422622541502705</v>
      </c>
      <c r="X97" s="7">
        <f>W97 - D97 - E97 - LN(1+EXP(Parameters!$B$21*C97))/Parameters!$B$21 - IF(C97&gt;0, 0,Parameters!$B$6*C97^2/F97)</f>
        <v>1.0232955415759559</v>
      </c>
      <c r="Y97" s="7">
        <f>EXP(-Parameters!$B$55*A97)</f>
        <v>0.24553887352140147</v>
      </c>
      <c r="Z97" s="7">
        <f>IF(X97&gt;0,X97^(1-Parameters!$B$52)/(1-Parameters!$B$52)*Y97*Parameters!$B$65,-10+X97*1000)</f>
        <v>-0.6959080111511986</v>
      </c>
      <c r="AC97" s="23">
        <f t="shared" si="38"/>
        <v>5.9697866444566823E-2</v>
      </c>
      <c r="AD97" s="23">
        <f t="shared" si="39"/>
        <v>1.7067426879970393</v>
      </c>
      <c r="AE97" s="23">
        <f t="shared" si="40"/>
        <v>826.40891697463462</v>
      </c>
      <c r="AF97" s="23">
        <f t="shared" si="41"/>
        <v>204.81148581602648</v>
      </c>
      <c r="AG97" s="23">
        <f t="shared" si="42"/>
        <v>519.11900872655622</v>
      </c>
      <c r="AH97" s="23">
        <f t="shared" si="43"/>
        <v>815.97996004669619</v>
      </c>
      <c r="AI97" s="23">
        <f t="shared" si="44"/>
        <v>622.07564322793758</v>
      </c>
      <c r="AJ97" s="23"/>
      <c r="AK97" s="25">
        <f t="shared" si="35"/>
        <v>815.97996004669619</v>
      </c>
      <c r="AL97" s="4"/>
      <c r="AM97" s="4"/>
      <c r="AN97" s="4"/>
      <c r="AO97" s="16"/>
      <c r="AP97" s="16"/>
      <c r="AR97" s="13">
        <f>1-W97/'6states,ExoDamages'!T97</f>
        <v>9.1138890898799563E-2</v>
      </c>
      <c r="AS97" s="21">
        <f>-Y97*W97*X97^(-Parameters!B$52)*Parameters!B$46*Parameters!B$45*N97</f>
        <v>-7.3892625209522972E-6</v>
      </c>
      <c r="AT97" s="7">
        <f>1000*EXP(-(Parameters!$B$54)*'6states'!A97)*AK97*Parameters!B$46*Parameters!B$45*N97</f>
        <v>0.72136810425103348</v>
      </c>
      <c r="AU97" s="7">
        <f>SUM(AT97:AT$204)*EXP(Parameters!$B$54*A97)</f>
        <v>1275.2878029959409</v>
      </c>
      <c r="AZ97" s="5"/>
      <c r="BA97" s="5"/>
      <c r="BB97" s="5"/>
      <c r="BE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-0.53315963903504615</v>
      </c>
      <c r="BF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-324.11518659126585</v>
      </c>
      <c r="BG97" s="7">
        <f t="shared" si="36"/>
        <v>3.3795570586544914E-2</v>
      </c>
      <c r="BM97">
        <f>EXP(-Parameters!$B$56*A97)*AZ97*BF97</f>
        <v>0</v>
      </c>
      <c r="BN97">
        <f>-EXP((Parameters!$B$56)*F97)*SUM(BM97:BM105)</f>
        <v>0</v>
      </c>
      <c r="BO97">
        <f>X97^-Parameters!B$52/(1-2*Parameters!B$5*'6states'!D97/'6states'!G97)</f>
        <v>1.1208338420028461</v>
      </c>
      <c r="BP97">
        <f t="shared" si="45"/>
        <v>0.99970821824909151</v>
      </c>
      <c r="BQ97">
        <f>$X97^-Parameters!$B$52/(1-2*Parameters!$B$5*'6states'!$E97/'6states'!$H97)</f>
        <v>1.1222415366621321</v>
      </c>
      <c r="BR97">
        <f t="shared" si="47"/>
        <v>0.99962953998357174</v>
      </c>
      <c r="BS97" s="7">
        <f>($X97^-Parameters!$B$52*(1/(1+EXP(-C97)) + IF(C97&lt;0,2*Parameters!$B$6*C97/F97,0)) + BK97*(1/(1+EXP((C97-Parameters!$B$22)*Parameters!$B$21))))/(1-IF(C97&gt;0,2*Parameters!$B$5*C97/F97,0))</f>
        <v>0.48281262992844892</v>
      </c>
      <c r="BT97">
        <f t="shared" si="48"/>
        <v>0.99947808031910379</v>
      </c>
      <c r="BU97" s="7">
        <f t="shared" si="51"/>
        <v>-2.5212100065713505E-4</v>
      </c>
    </row>
    <row r="98" spans="1:73" x14ac:dyDescent="0.25">
      <c r="A98">
        <f>A97+Parameters!$B$65</f>
        <v>94</v>
      </c>
      <c r="B98">
        <v>2119</v>
      </c>
      <c r="C98" s="74">
        <v>-5.4513361933580193E-7</v>
      </c>
      <c r="D98" s="69">
        <v>9.1840288866342185E-2</v>
      </c>
      <c r="E98" s="75">
        <v>0.22481620513253517</v>
      </c>
      <c r="F98" s="7">
        <f>MAX((1-Parameters!$B$4)^Parameters!B$65*F97 + C97*Parameters!B$65 - IF(C97&gt;0,Parameters!$B$5,0)*C97^2/F97*Parameters!B$65, 0.0001)</f>
        <v>2.6304004977288249E-3</v>
      </c>
      <c r="G98" s="7">
        <f>(1-Parameters!$B$4)^Parameters!B$65*G97+D97*Parameters!B$65-Parameters!$B$5*D97^2/G97*Parameters!B$65</f>
        <v>1.3595458978504429</v>
      </c>
      <c r="H98" s="7">
        <f>(1-Parameters!$B$4)^Parameters!B$65*H97+E97*Parameters!B$65-Parameters!$B$5*E97^2/H97*Parameters!B$65</f>
        <v>3.3030770960177609</v>
      </c>
      <c r="I98" s="9">
        <f>I97 *(1-Parameters!$B$4)-C97*(C97&lt;0)*Parameters!B$65</f>
        <v>9.2569456926945906E-5</v>
      </c>
      <c r="J98" s="23">
        <f>J97*(1+Parameters!$B$51)^Parameters!B$65</f>
        <v>10.712911127741636</v>
      </c>
      <c r="K98" s="23">
        <f>K97*(1+Parameters!$B$53)^Parameters!B$65</f>
        <v>58.048689060999415</v>
      </c>
      <c r="L98" s="23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0.52931272259174389</v>
      </c>
      <c r="M98" s="8">
        <f>M97+L98*Parameters!B$65</f>
        <v>3196.8206812842309</v>
      </c>
      <c r="N98" s="7">
        <f>M98*Parameters!$B$45</f>
        <v>1.9180924087705384</v>
      </c>
      <c r="O98" s="9">
        <f>EXP(-Parameters!$B$46/2*N98^2)</f>
        <v>0.96370047926223246</v>
      </c>
      <c r="P98" s="8">
        <f>MAX((Parameters!$B$62 + Parameters!$B$31*'6states'!A98 - '6states'!M98 + Parameters!$B$47/Parameters!$B$45)/Parameters!B$62,1)</f>
        <v>83.079586374315383</v>
      </c>
      <c r="Q98" s="7">
        <f>Parameters!B$61*EXP(-Parameters!B$60*A98)</f>
        <v>3.9512145214131843E-2</v>
      </c>
      <c r="R98" s="7">
        <f>(1-Parameters!B$61)*P98^-Parameters!B$63</f>
        <v>0.32138127677243922</v>
      </c>
      <c r="S98" s="7">
        <f>Parameters!B$61*EXP(-Parameters!B$60*A98)+(1-Parameters!B$61)*P98^-Parameters!B$63</f>
        <v>0.36089342198657104</v>
      </c>
      <c r="T98" s="7">
        <f>1-S98/Parameters!$B$12</f>
        <v>0.81955328900671454</v>
      </c>
      <c r="U98" s="7">
        <f t="shared" si="37"/>
        <v>5.5418023110280501</v>
      </c>
      <c r="V98" s="7">
        <f>(Parameters!$B$19*(F98+Parameters!$B$20)^T98+Parameters!$B$18*G98^T98)^(1/T98)</f>
        <v>0.33707579078332556</v>
      </c>
      <c r="W98" s="7">
        <f>(Parameters!$B$10*H98^Parameters!$B$9+Parameters!$B$11*V98^Parameters!$B$9)^(Parameters!$B$7/Parameters!$B$9)*O98</f>
        <v>1.3424644074669518</v>
      </c>
      <c r="X98" s="7">
        <f>W98 - D98 - E98 - LN(1+EXP(Parameters!$B$21*C98))/Parameters!$B$21 - IF(C98&gt;0, 0,Parameters!$B$6*C98^2/F98)</f>
        <v>1.0234976948569967</v>
      </c>
      <c r="Y98" s="7">
        <f>EXP(-Parameters!$B$55*A98)</f>
        <v>0.24185908882440066</v>
      </c>
      <c r="Z98" s="7">
        <f>IF(X98&gt;0,X98^(1-Parameters!$B$52)/(1-Parameters!$B$52)*Y98*Parameters!$B$65,-10+X98*1000)</f>
        <v>-0.68543134966210928</v>
      </c>
      <c r="AC98" s="23">
        <f t="shared" si="38"/>
        <v>5.756620955700309E-2</v>
      </c>
      <c r="AD98" s="23">
        <f t="shared" si="39"/>
        <v>1.635768333291642</v>
      </c>
      <c r="AE98" s="23">
        <f t="shared" si="40"/>
        <v>845.46141520293168</v>
      </c>
      <c r="AF98" s="23">
        <f t="shared" si="41"/>
        <v>209.61747268474161</v>
      </c>
      <c r="AG98" s="23">
        <f t="shared" si="42"/>
        <v>531.30035260627051</v>
      </c>
      <c r="AH98" s="23">
        <f t="shared" si="43"/>
        <v>834.83894114285374</v>
      </c>
      <c r="AI98" s="23">
        <f t="shared" si="44"/>
        <v>636.48296899640627</v>
      </c>
      <c r="AJ98" s="23"/>
      <c r="AK98" s="25">
        <f t="shared" si="35"/>
        <v>834.83894114285374</v>
      </c>
      <c r="AL98" s="4"/>
      <c r="AM98" s="4"/>
      <c r="AN98" s="4"/>
      <c r="AO98" s="16"/>
      <c r="AP98" s="16"/>
      <c r="AR98" s="13">
        <f>1-W98/'6states,ExoDamages'!T98</f>
        <v>9.0969248124477931E-2</v>
      </c>
      <c r="AS98" s="21">
        <f>-Y98*W98*X98^(-Parameters!B$52)*Parameters!B$46*Parameters!B$45*N98</f>
        <v>-7.2788832557726057E-6</v>
      </c>
      <c r="AT98" s="7">
        <f>1000*EXP(-(Parameters!$B$54)*'6states'!A98)*AK98*Parameters!B$46*Parameters!B$45*N98</f>
        <v>0.7127025609027634</v>
      </c>
      <c r="AU98" s="7">
        <f>SUM(AT98:AT$204)*EXP(Parameters!$B$54*A98)</f>
        <v>1301.2987995530268</v>
      </c>
      <c r="AZ98" s="5"/>
      <c r="BA98" s="5"/>
      <c r="BB98" s="5"/>
      <c r="BE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-0.52314963692096517</v>
      </c>
      <c r="BF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-325.33129855594962</v>
      </c>
      <c r="BG98" s="7">
        <f t="shared" si="36"/>
        <v>3.3995768762952891E-2</v>
      </c>
      <c r="BM98">
        <f>EXP(-Parameters!$B$56*A98)*AZ98*BF98</f>
        <v>0</v>
      </c>
      <c r="BN98">
        <f>-EXP((Parameters!$B$56)*F98)*SUM(BM98:BM106)</f>
        <v>0</v>
      </c>
      <c r="BO98">
        <f>X98^-Parameters!B$52/(1-2*Parameters!B$5*'6states'!D98/'6states'!G98)</f>
        <v>1.1205184683659402</v>
      </c>
      <c r="BP98">
        <f t="shared" si="45"/>
        <v>0.99971862587915583</v>
      </c>
      <c r="BQ98">
        <f>$X98^-Parameters!$B$52/(1-2*Parameters!$B$5*'6states'!$E98/'6states'!$H98)</f>
        <v>1.1218427339718888</v>
      </c>
      <c r="BR98">
        <f t="shared" si="47"/>
        <v>0.99964463738222575</v>
      </c>
      <c r="BS98" s="7">
        <f>($X98^-Parameters!$B$52*(1/(1+EXP(-C98)) + IF(C98&lt;0,2*Parameters!$B$6*C98/F98,0)) + BK98*(1/(1+EXP((C98-Parameters!$B$22)*Parameters!$B$21))))/(1-IF(C98&gt;0,2*Parameters!$B$5*C98/F98,0))</f>
        <v>0.4825571742137299</v>
      </c>
      <c r="BT98">
        <f t="shared" si="48"/>
        <v>0.99947090092743252</v>
      </c>
      <c r="BU98" s="7">
        <f t="shared" si="51"/>
        <v>-2.5545571471902173E-4</v>
      </c>
    </row>
    <row r="99" spans="1:73" x14ac:dyDescent="0.25">
      <c r="A99">
        <f>A98+Parameters!$B$65</f>
        <v>95</v>
      </c>
      <c r="B99">
        <v>2120</v>
      </c>
      <c r="C99" s="74">
        <v>-5.4513361933580193E-7</v>
      </c>
      <c r="D99" s="69">
        <v>9.1840288866342185E-2</v>
      </c>
      <c r="E99" s="75">
        <v>0.22481620513253517</v>
      </c>
      <c r="F99" s="7">
        <f>MAX((1-Parameters!$B$4)^Parameters!B$65*F98 + C98*Parameters!B$65 - IF(C98&gt;0,Parameters!$B$5,0)*C98^2/F98*Parameters!B$65, 0.0001)</f>
        <v>2.4644031728023462E-3</v>
      </c>
      <c r="G99" s="7">
        <f>(1-Parameters!$B$4)^Parameters!B$65*G98+D98*Parameters!B$65-Parameters!$B$5*D98^2/G98*Parameters!B$65</f>
        <v>1.3596667380404461</v>
      </c>
      <c r="H99" s="7">
        <f>(1-Parameters!$B$4)^Parameters!B$65*H98+E98*Parameters!B$65-Parameters!$B$5*E98^2/H98*Parameters!B$65</f>
        <v>3.3048281634369778</v>
      </c>
      <c r="I99" s="9">
        <f>I98 *(1-Parameters!$B$4)-C98*(C98&lt;0)*Parameters!B$65</f>
        <v>8.7291971705576816E-5</v>
      </c>
      <c r="J99" s="23">
        <f>J98*(1+Parameters!$B$51)^Parameters!B$65</f>
        <v>10.743978570012086</v>
      </c>
      <c r="K99" s="23">
        <f>K98*(1+Parameters!$B$53)^Parameters!B$65</f>
        <v>59.209662842219402</v>
      </c>
      <c r="L99" s="23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0.50206162634265183</v>
      </c>
      <c r="M99" s="8">
        <f>M98+L99*Parameters!B$65</f>
        <v>3197.3227429105737</v>
      </c>
      <c r="N99" s="7">
        <f>M99*Parameters!$B$45</f>
        <v>1.918393645746344</v>
      </c>
      <c r="O99" s="9">
        <f>EXP(-Parameters!$B$46/2*N99^2)</f>
        <v>0.96368928623610606</v>
      </c>
      <c r="P99" s="8">
        <f>MAX((Parameters!$B$62 + Parameters!$B$31*'6states'!A99 - '6states'!M99 + Parameters!$B$47/Parameters!$B$45)/Parameters!B$62,1)</f>
        <v>84.133545141788531</v>
      </c>
      <c r="Q99" s="7">
        <f>Parameters!B$61*EXP(-Parameters!B$60*A99)</f>
        <v>3.8459590720917251E-2</v>
      </c>
      <c r="R99" s="7">
        <f>(1-Parameters!B$61)*P99^-Parameters!B$63</f>
        <v>0.32097638789638167</v>
      </c>
      <c r="S99" s="7">
        <f>Parameters!B$61*EXP(-Parameters!B$60*A99)+(1-Parameters!B$61)*P99^-Parameters!B$63</f>
        <v>0.35943597861729892</v>
      </c>
      <c r="T99" s="7">
        <f>1-S99/Parameters!$B$12</f>
        <v>0.82028201069135054</v>
      </c>
      <c r="U99" s="7">
        <f t="shared" si="37"/>
        <v>5.564273247474353</v>
      </c>
      <c r="V99" s="7">
        <f>(Parameters!$B$19*(F99+Parameters!$B$20)^T99+Parameters!$B$18*G99^T99)^(1/T99)</f>
        <v>0.33724737261722704</v>
      </c>
      <c r="W99" s="7">
        <f>(Parameters!$B$10*H99^Parameters!$B$9+Parameters!$B$11*V99^Parameters!$B$9)^(Parameters!$B$7/Parameters!$B$9)*O99</f>
        <v>1.342659711540775</v>
      </c>
      <c r="X99" s="7">
        <f>W99 - D99 - E99 - LN(1+EXP(Parameters!$B$21*C99))/Parameters!$B$21 - IF(C99&gt;0, 0,Parameters!$B$6*C99^2/F99)</f>
        <v>1.023692998892771</v>
      </c>
      <c r="Y99" s="7">
        <f>EXP(-Parameters!$B$55*A99)</f>
        <v>0.23823445146607616</v>
      </c>
      <c r="Z99" s="7">
        <f>IF(X99&gt;0,X99^(1-Parameters!$B$52)/(1-Parameters!$B$52)*Y99*Parameters!$B$65,-10+X99*1000)</f>
        <v>-0.67511400095548013</v>
      </c>
      <c r="AC99" s="23">
        <f t="shared" si="38"/>
        <v>5.5530556364559142E-2</v>
      </c>
      <c r="AD99" s="23">
        <f t="shared" si="39"/>
        <v>1.5677235445416815</v>
      </c>
      <c r="AE99" s="23">
        <f t="shared" si="40"/>
        <v>864.94839053964915</v>
      </c>
      <c r="AF99" s="23">
        <f t="shared" si="41"/>
        <v>214.53902195136186</v>
      </c>
      <c r="AG99" s="23">
        <f t="shared" si="42"/>
        <v>543.77460309328546</v>
      </c>
      <c r="AH99" s="23">
        <f t="shared" si="43"/>
        <v>854.12941572236707</v>
      </c>
      <c r="AI99" s="23">
        <f t="shared" si="44"/>
        <v>651.21958714317668</v>
      </c>
      <c r="AJ99" s="23"/>
      <c r="AK99" s="25">
        <f t="shared" si="35"/>
        <v>854.12941572236696</v>
      </c>
      <c r="AL99" s="4"/>
      <c r="AM99" s="4"/>
      <c r="AN99" s="4"/>
      <c r="AO99" s="16"/>
      <c r="AP99" s="16"/>
      <c r="AR99" s="13">
        <f>1-W99/'6states,ExoDamages'!T99</f>
        <v>9.0806397159228558E-2</v>
      </c>
      <c r="AS99" s="21">
        <f>-Y99*W99*X99^(-Parameters!B$52)*Parameters!B$46*Parameters!B$45*N99</f>
        <v>-7.1701199073125972E-6</v>
      </c>
      <c r="AT99" s="7">
        <f>1000*EXP(-(Parameters!$B$54)*'6states'!A99)*AK99*Parameters!B$46*Parameters!B$45*N99</f>
        <v>0.70413148506928025</v>
      </c>
      <c r="AU99" s="7">
        <f>SUM(AT99:AT$204)*EXP(Parameters!$B$54*A99)</f>
        <v>1327.7839232984459</v>
      </c>
      <c r="AZ99" s="5"/>
      <c r="BA99" s="5"/>
      <c r="BB99" s="5"/>
      <c r="BE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-0.51301914564885764</v>
      </c>
      <c r="BF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-326.3557693442711</v>
      </c>
      <c r="BG99" s="7">
        <f t="shared" si="36"/>
        <v>3.4209404635760464E-2</v>
      </c>
      <c r="BM99">
        <f>EXP(-Parameters!$B$56*A99)*AZ99*BF99</f>
        <v>0</v>
      </c>
      <c r="BN99">
        <f>-EXP((Parameters!$B$56)*F99)*SUM(BM99:BM107)</f>
        <v>0</v>
      </c>
      <c r="BO99">
        <f>X99^-Parameters!B$52/(1-2*Parameters!B$5*'6states'!D99/'6states'!G99)</f>
        <v>1.1202143273867364</v>
      </c>
      <c r="BP99">
        <f t="shared" si="45"/>
        <v>0.99972857120360792</v>
      </c>
      <c r="BQ99">
        <f>$X99^-Parameters!$B$52/(1-2*Parameters!$B$5*'6states'!$E99/'6states'!$H99)</f>
        <v>1.1214601715451065</v>
      </c>
      <c r="BR99">
        <f t="shared" si="47"/>
        <v>0.99965898747195348</v>
      </c>
      <c r="BS99" s="7">
        <f>($X99^-Parameters!$B$52*(1/(1+EXP(-C99)) + IF(C99&lt;0,2*Parameters!$B$6*C99/F99,0)) + BK99*(1/(1+EXP((C99-Parameters!$B$22)*Parameters!$B$21))))/(1-IF(C99&gt;0,2*Parameters!$B$5*C99/F99,0))</f>
        <v>0.48229764059568636</v>
      </c>
      <c r="BT99">
        <f t="shared" si="48"/>
        <v>0.9994621702216604</v>
      </c>
      <c r="BU99" s="7">
        <f t="shared" si="51"/>
        <v>-2.5953361804353925E-4</v>
      </c>
    </row>
    <row r="100" spans="1:73" x14ac:dyDescent="0.25">
      <c r="A100">
        <f>A99+Parameters!$B$65</f>
        <v>96</v>
      </c>
      <c r="B100">
        <v>2121</v>
      </c>
      <c r="C100" s="74">
        <v>-5.4513361933580193E-7</v>
      </c>
      <c r="D100" s="69">
        <v>9.1840288866342185E-2</v>
      </c>
      <c r="E100" s="75">
        <v>0.22481620513253517</v>
      </c>
      <c r="F100" s="7">
        <f>MAX((1-Parameters!$B$4)^Parameters!B$65*F99 + C99*Parameters!B$65 - IF(C99&gt;0,Parameters!$B$5,0)*C99^2/F99*Parameters!B$65, 0.0001)</f>
        <v>2.3088470796137428E-3</v>
      </c>
      <c r="G100" s="7">
        <f>(1-Parameters!$B$4)^Parameters!B$65*G99+D99*Parameters!B$65-Parameters!$B$5*D99^2/G99*Parameters!B$65</f>
        <v>1.359780528763165</v>
      </c>
      <c r="H100" s="7">
        <f>(1-Parameters!$B$4)^Parameters!B$65*H99+E99*Parameters!B$65-Parameters!$B$5*E99^2/H99*Parameters!B$65</f>
        <v>3.3064771962816502</v>
      </c>
      <c r="I100" s="9">
        <f>I99 *(1-Parameters!$B$4)-C99*(C99&lt;0)*Parameters!B$65</f>
        <v>8.234644030463184E-5</v>
      </c>
      <c r="J100" s="23">
        <f>J99*(1+Parameters!$B$51)^Parameters!B$65</f>
        <v>10.775136107865119</v>
      </c>
      <c r="K100" s="23">
        <f>K99*(1+Parameters!$B$53)^Parameters!B$65</f>
        <v>60.39385609906379</v>
      </c>
      <c r="L100" s="23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0.47619633387491911</v>
      </c>
      <c r="M100" s="8">
        <f>M99+L100*Parameters!B$65</f>
        <v>3197.7989392444488</v>
      </c>
      <c r="N100" s="7">
        <f>M100*Parameters!$B$45</f>
        <v>1.918679363546669</v>
      </c>
      <c r="O100" s="9">
        <f>EXP(-Parameters!$B$46/2*N100^2)</f>
        <v>0.96367866835004523</v>
      </c>
      <c r="P100" s="8">
        <f>MAX((Parameters!$B$62 + Parameters!$B$31*'6states'!A100 - '6states'!M100 + Parameters!$B$47/Parameters!$B$45)/Parameters!B$62,1)</f>
        <v>85.188021215111036</v>
      </c>
      <c r="Q100" s="7">
        <f>Parameters!B$61*EXP(-Parameters!B$60*A100)</f>
        <v>3.7435074972629871E-2</v>
      </c>
      <c r="R100" s="7">
        <f>(1-Parameters!B$61)*P100^-Parameters!B$63</f>
        <v>0.32057684564811156</v>
      </c>
      <c r="S100" s="7">
        <f>Parameters!B$61*EXP(-Parameters!B$60*A100)+(1-Parameters!B$61)*P100^-Parameters!B$63</f>
        <v>0.35801192062074144</v>
      </c>
      <c r="T100" s="7">
        <f>1-S100/Parameters!$B$12</f>
        <v>0.82099403968962925</v>
      </c>
      <c r="U100" s="7">
        <f t="shared" si="37"/>
        <v>5.5864061636056306</v>
      </c>
      <c r="V100" s="7">
        <f>(Parameters!$B$19*(F100+Parameters!$B$20)^T100+Parameters!$B$18*G100^T100)^(1/T100)</f>
        <v>0.33742282188364792</v>
      </c>
      <c r="W100" s="7">
        <f>(Parameters!$B$10*H100^Parameters!$B$9+Parameters!$B$11*V100^Parameters!$B$9)^(Parameters!$B$7/Parameters!$B$9)*O100</f>
        <v>1.3428484543026298</v>
      </c>
      <c r="X100" s="7">
        <f>W100 - D100 - E100 - LN(1+EXP(Parameters!$B$21*C100))/Parameters!$B$21 - IF(C100&gt;0, 0,Parameters!$B$6*C100^2/F100)</f>
        <v>1.0238817416140042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-0.66495345242041437</v>
      </c>
      <c r="AC100" s="23">
        <f t="shared" si="38"/>
        <v>5.3587112330682432E-2</v>
      </c>
      <c r="AD100" s="23">
        <f t="shared" si="39"/>
        <v>1.5024868998820637</v>
      </c>
      <c r="AE100" s="23">
        <f t="shared" si="40"/>
        <v>884.87992523227319</v>
      </c>
      <c r="AF100" s="23">
        <f t="shared" si="41"/>
        <v>219.5785827817725</v>
      </c>
      <c r="AG100" s="23">
        <f t="shared" si="42"/>
        <v>556.54796788909528</v>
      </c>
      <c r="AH100" s="23">
        <f t="shared" si="43"/>
        <v>873.86134358197273</v>
      </c>
      <c r="AI100" s="23">
        <f t="shared" si="44"/>
        <v>666.29311113182689</v>
      </c>
      <c r="AJ100" s="23"/>
      <c r="AK100" s="25">
        <f t="shared" si="35"/>
        <v>873.86134358197285</v>
      </c>
      <c r="AL100" s="4"/>
      <c r="AM100" s="4"/>
      <c r="AN100" s="4"/>
      <c r="AO100" s="16"/>
      <c r="AP100" s="16"/>
      <c r="AR100" s="13">
        <f>1-W100/'6states,ExoDamages'!T100</f>
        <v>9.0650015011336516E-2</v>
      </c>
      <c r="AS100" s="21">
        <f>-Y100*W100*X100^(-Parameters!B$52)*Parameters!B$46*Parameters!B$45*N100</f>
        <v>-7.0629512222607678E-6</v>
      </c>
      <c r="AT100" s="7">
        <f>1000*EXP(-(Parameters!$B$54)*'6states'!A100)*AK100*Parameters!B$46*Parameters!B$45*N100</f>
        <v>0.69565442864921156</v>
      </c>
      <c r="AU100" s="7">
        <f>SUM(AT100:AT$204)*EXP(Parameters!$B$54*A100)</f>
        <v>1354.7497967547349</v>
      </c>
      <c r="AZ100" s="5"/>
      <c r="BA100" s="5"/>
      <c r="BB100" s="5"/>
      <c r="BE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-0.50276226805249091</v>
      </c>
      <c r="BF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-327.17356128680262</v>
      </c>
      <c r="BG100" s="7">
        <f t="shared" ref="BG100:BG131" si="52">I100/(F100+I100)</f>
        <v>3.4437380169649673E-2</v>
      </c>
      <c r="BM100">
        <f>EXP(-Parameters!$B$56*A100)*AZ100*BF100</f>
        <v>0</v>
      </c>
      <c r="BN100">
        <f>-EXP((Parameters!$B$56)*F100)*SUM(BM100:BM108)</f>
        <v>0</v>
      </c>
      <c r="BO100">
        <f>X100^-Parameters!B$52/(1-2*Parameters!B$5*'6states'!D100/'6states'!G100)</f>
        <v>1.1199209222720978</v>
      </c>
      <c r="BP100">
        <f t="shared" si="45"/>
        <v>0.99973808126939145</v>
      </c>
      <c r="BQ100">
        <f>$X100^-Parameters!$B$52/(1-2*Parameters!$B$5*'6states'!$E100/'6states'!$H100)</f>
        <v>1.1210930450058403</v>
      </c>
      <c r="BR100">
        <f t="shared" si="47"/>
        <v>0.99967263524057182</v>
      </c>
      <c r="BS100" s="7">
        <f>($X100^-Parameters!$B$52*(1/(1+EXP(-C100)) + IF(C100&lt;0,2*Parameters!$B$6*C100/F100,0)) + BK100*(1/(1+EXP((C100-Parameters!$B$22)*Parameters!$B$21))))/(1-IF(C100&gt;0,2*Parameters!$B$5*C100/F100,0))</f>
        <v>0.48203326047416029</v>
      </c>
      <c r="BT100">
        <f t="shared" si="48"/>
        <v>0.99945183202389387</v>
      </c>
      <c r="BU100" s="7">
        <f t="shared" si="51"/>
        <v>-2.6438012152607548E-4</v>
      </c>
    </row>
    <row r="101" spans="1:73" x14ac:dyDescent="0.25">
      <c r="A101">
        <f>A100+Parameters!$B$65</f>
        <v>97</v>
      </c>
      <c r="B101">
        <v>2122</v>
      </c>
      <c r="C101" s="74">
        <v>-5.4513361933580193E-7</v>
      </c>
      <c r="D101" s="69">
        <v>9.1840288866342185E-2</v>
      </c>
      <c r="E101" s="75">
        <v>0.22481620513253517</v>
      </c>
      <c r="F101" s="7">
        <f>MAX((1-Parameters!$B$4)^Parameters!B$65*F100 + C100*Parameters!B$65 - IF(C100&gt;0,Parameters!$B$5,0)*C100^2/F100*Parameters!B$65, 0.0001)</f>
        <v>2.1630754646867027E-3</v>
      </c>
      <c r="G101" s="7">
        <f>(1-Parameters!$B$4)^Parameters!B$65*G100+D100*Parameters!B$65-Parameters!$B$5*D100^2/G100*Parameters!B$65</f>
        <v>1.3598876811745473</v>
      </c>
      <c r="H101" s="7">
        <f>(1-Parameters!$B$4)^Parameters!B$65*H100+E100*Parameters!B$65-Parameters!$B$5*E100^2/H100*Parameters!B$65</f>
        <v>3.3080301322478842</v>
      </c>
      <c r="I101" s="9">
        <f>I100 *(1-Parameters!$B$4)-C100*(C100&lt;0)*Parameters!B$65</f>
        <v>7.7711982828806297E-5</v>
      </c>
      <c r="J101" s="23">
        <f>J100*(1+Parameters!$B$51)^Parameters!B$65</f>
        <v>10.806384002577927</v>
      </c>
      <c r="K101" s="23">
        <f>K100*(1+Parameters!$B$53)^Parameters!B$65</f>
        <v>61.601733221045066</v>
      </c>
      <c r="L101" s="23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0.45164637811190578</v>
      </c>
      <c r="M101" s="8">
        <f>M100+L101*Parameters!B$65</f>
        <v>3198.2505856225607</v>
      </c>
      <c r="N101" s="7">
        <f>M101*Parameters!$B$45</f>
        <v>1.9189503513735362</v>
      </c>
      <c r="O101" s="9">
        <f>EXP(-Parameters!$B$46/2*N101^2)</f>
        <v>0.96366859650841263</v>
      </c>
      <c r="P101" s="8">
        <f>MAX((Parameters!$B$62 + Parameters!$B$31*'6states'!A101 - '6states'!M101 + Parameters!$B$47/Parameters!$B$45)/Parameters!B$62,1)</f>
        <v>86.242988287548798</v>
      </c>
      <c r="Q101" s="7">
        <f>Parameters!B$61*EXP(-Parameters!B$60*A101)</f>
        <v>3.6437851051915653E-2</v>
      </c>
      <c r="R101" s="7">
        <f>(1-Parameters!B$61)*P101^-Parameters!B$63</f>
        <v>0.32018252463989699</v>
      </c>
      <c r="S101" s="7">
        <f>Parameters!B$61*EXP(-Parameters!B$60*A101)+(1-Parameters!B$61)*P101^-Parameters!B$63</f>
        <v>0.35662037569181265</v>
      </c>
      <c r="T101" s="7">
        <f>1-S101/Parameters!$B$12</f>
        <v>0.82168981215409365</v>
      </c>
      <c r="U101" s="7">
        <f t="shared" si="37"/>
        <v>5.6082045119272079</v>
      </c>
      <c r="V101" s="7">
        <f>(Parameters!$B$19*(F101+Parameters!$B$20)^T101+Parameters!$B$18*G101^T101)^(1/T101)</f>
        <v>0.33760158466300444</v>
      </c>
      <c r="W101" s="7">
        <f>(Parameters!$B$10*H101^Parameters!$B$9+Parameters!$B$11*V101^Parameters!$B$9)^(Parameters!$B$7/Parameters!$B$9)*O101</f>
        <v>1.3430309075079834</v>
      </c>
      <c r="X101" s="7">
        <f>W101 - D101 - E101 - LN(1+EXP(Parameters!$B$21*C101))/Parameters!$B$21 - IF(C101&gt;0, 0,Parameters!$B$6*C101^2/F101)</f>
        <v>1.0240641947759885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-0.65494723705668356</v>
      </c>
      <c r="AC101" s="23">
        <f t="shared" si="38"/>
        <v>5.173224406181965E-2</v>
      </c>
      <c r="AD101" s="23">
        <f t="shared" si="39"/>
        <v>1.4399419985179822</v>
      </c>
      <c r="AE101" s="23">
        <f t="shared" si="40"/>
        <v>905.26632905712313</v>
      </c>
      <c r="AF101" s="23">
        <f t="shared" si="41"/>
        <v>224.73866883460508</v>
      </c>
      <c r="AG101" s="23">
        <f t="shared" si="42"/>
        <v>569.62681815971109</v>
      </c>
      <c r="AH101" s="23">
        <f t="shared" si="43"/>
        <v>894.04490994426158</v>
      </c>
      <c r="AI101" s="23">
        <f t="shared" si="44"/>
        <v>681.71132598465465</v>
      </c>
      <c r="AJ101" s="23"/>
      <c r="AK101" s="25">
        <f t="shared" si="35"/>
        <v>894.04490994426158</v>
      </c>
      <c r="AL101" s="4"/>
      <c r="AM101" s="4"/>
      <c r="AN101" s="4"/>
      <c r="AO101" s="16"/>
      <c r="AP101" s="16"/>
      <c r="AR101" s="13">
        <f>1-W101/'6states,ExoDamages'!T101</f>
        <v>9.0499796740997174E-2</v>
      </c>
      <c r="AS101" s="21">
        <f>-Y101*W101*X101^(-Parameters!B$52)*Parameters!B$46*Parameters!B$45*N101</f>
        <v>-6.9573560677152012E-6</v>
      </c>
      <c r="AT101" s="7">
        <f>1000*EXP(-(Parameters!$B$54)*'6states'!A101)*AK101*Parameters!B$46*Parameters!B$45*N101</f>
        <v>0.68727090478510944</v>
      </c>
      <c r="AU101" s="7">
        <f>SUM(AT101:AT$204)*EXP(Parameters!$B$54*A101)</f>
        <v>1382.203038200093</v>
      </c>
      <c r="AZ101" s="5"/>
      <c r="BA101" s="5"/>
      <c r="BB101" s="5"/>
      <c r="BE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-0.49237335124573134</v>
      </c>
      <c r="BF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-327.76899326185276</v>
      </c>
      <c r="BG101" s="7">
        <f t="shared" si="52"/>
        <v>3.4680657870950711E-2</v>
      </c>
    </row>
    <row r="102" spans="1:73" x14ac:dyDescent="0.25">
      <c r="A102">
        <f>A101+Parameters!$B$65</f>
        <v>98</v>
      </c>
      <c r="B102">
        <v>2123</v>
      </c>
      <c r="C102" s="74">
        <v>-5.4513361933580193E-7</v>
      </c>
      <c r="D102" s="69">
        <v>9.1840288866342185E-2</v>
      </c>
      <c r="E102" s="75">
        <v>0.22481620513253517</v>
      </c>
      <c r="F102" s="7">
        <f>MAX((1-Parameters!$B$4)^Parameters!B$65*F101 + C101*Parameters!B$65 - IF(C101&gt;0,Parameters!$B$5,0)*C101^2/F101*Parameters!B$65, 0.0001)</f>
        <v>2.0264728843385734E-3</v>
      </c>
      <c r="G102" s="7">
        <f>(1-Parameters!$B$4)^Parameters!B$65*G101+D101*Parameters!B$65-Parameters!$B$5*D101^2/G101*Parameters!B$65</f>
        <v>1.3599885824602858</v>
      </c>
      <c r="H102" s="7">
        <f>(1-Parameters!$B$4)^Parameters!B$65*H101+E101*Parameters!B$65-Parameters!$B$5*E101^2/H101*Parameters!B$65</f>
        <v>3.309492564399001</v>
      </c>
      <c r="I102" s="9">
        <f>I101 *(1-Parameters!$B$4)-C101*(C101&lt;0)*Parameters!B$65</f>
        <v>7.3369032728210179E-5</v>
      </c>
      <c r="J102" s="23">
        <f>J101*(1+Parameters!$B$51)^Parameters!B$65</f>
        <v>10.837722516185401</v>
      </c>
      <c r="K102" s="23">
        <f>K101*(1+Parameters!$B$53)^Parameters!B$65</f>
        <v>62.833767885465967</v>
      </c>
      <c r="L102" s="23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0.42834488942967947</v>
      </c>
      <c r="M102" s="8">
        <f>M101+L102*Parameters!B$65</f>
        <v>3198.6789305119905</v>
      </c>
      <c r="N102" s="7">
        <f>M102*Parameters!$B$45</f>
        <v>1.9192073583071942</v>
      </c>
      <c r="O102" s="9">
        <f>EXP(-Parameters!$B$46/2*N102^2)</f>
        <v>0.96365904307960237</v>
      </c>
      <c r="P102" s="8">
        <f>MAX((Parameters!$B$62 + Parameters!$B$31*'6states'!A102 - '6states'!M102 + Parameters!$B$47/Parameters!$B$45)/Parameters!B$62,1)</f>
        <v>87.298421389760193</v>
      </c>
      <c r="Q102" s="7">
        <f>Parameters!B$61*EXP(-Parameters!B$60*A102)</f>
        <v>3.5467191938371473E-2</v>
      </c>
      <c r="R102" s="7">
        <f>(1-Parameters!B$61)*P102^-Parameters!B$63</f>
        <v>0.31979330346236101</v>
      </c>
      <c r="S102" s="7">
        <f>Parameters!B$61*EXP(-Parameters!B$60*A102)+(1-Parameters!B$61)*P102^-Parameters!B$63</f>
        <v>0.35526049540073246</v>
      </c>
      <c r="T102" s="7">
        <f>1-S102/Parameters!$B$12</f>
        <v>0.82236975229963383</v>
      </c>
      <c r="U102" s="7">
        <f t="shared" si="37"/>
        <v>5.6296718207973235</v>
      </c>
      <c r="V102" s="7">
        <f>(Parameters!$B$19*(F102+Parameters!$B$20)^T102+Parameters!$B$18*G102^T102)^(1/T102)</f>
        <v>0.33778314838807738</v>
      </c>
      <c r="W102" s="7">
        <f>(Parameters!$B$10*H102^Parameters!$B$9+Parameters!$B$11*V102^Parameters!$B$9)^(Parameters!$B$7/Parameters!$B$9)*O102</f>
        <v>1.3432073281215244</v>
      </c>
      <c r="X102" s="7">
        <f>W102 - D102 - E102 - LN(1+EXP(Parameters!$B$21*C102))/Parameters!$B$21 - IF(C102&gt;0, 0,Parameters!$B$6*C102^2/F102)</f>
        <v>1.0242406153432251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-0.64509293213929597</v>
      </c>
      <c r="AC102" s="23">
        <f t="shared" si="38"/>
        <v>4.9962472732518928E-2</v>
      </c>
      <c r="AD102" s="23">
        <f t="shared" si="39"/>
        <v>1.3799772528284342</v>
      </c>
      <c r="AE102" s="23">
        <f t="shared" si="40"/>
        <v>926.11814468671798</v>
      </c>
      <c r="AF102" s="23">
        <f t="shared" si="41"/>
        <v>230.02185954067721</v>
      </c>
      <c r="AG102" s="23">
        <f t="shared" si="42"/>
        <v>583.01769177855249</v>
      </c>
      <c r="AH102" s="23">
        <f t="shared" si="43"/>
        <v>914.69053100365716</v>
      </c>
      <c r="AI102" s="23">
        <f t="shared" si="44"/>
        <v>697.48219259197333</v>
      </c>
      <c r="AJ102" s="23"/>
      <c r="AK102" s="25">
        <f t="shared" si="35"/>
        <v>914.69053100365716</v>
      </c>
      <c r="AL102" s="4"/>
      <c r="AM102" s="4"/>
      <c r="AN102" s="4"/>
      <c r="AO102" s="16"/>
      <c r="AP102" s="16"/>
      <c r="AR102" s="13">
        <f>1-W102/'6states,ExoDamages'!T102</f>
        <v>9.0355454169510852E-2</v>
      </c>
      <c r="AS102" s="21">
        <f>-Y102*W102*X102^(-Parameters!B$52)*Parameters!B$46*Parameters!B$45*N102</f>
        <v>-6.8533134401025475E-6</v>
      </c>
      <c r="AT102" s="7">
        <f>1000*EXP(-(Parameters!$B$54)*'6states'!A102)*AK102*Parameters!B$46*Parameters!B$45*N102</f>
        <v>0.67898039138121546</v>
      </c>
      <c r="AU102" s="7">
        <f>SUM(AT102:AT$204)*EXP(Parameters!$B$54*A102)</f>
        <v>1410.1502561422619</v>
      </c>
      <c r="AZ102" s="5"/>
      <c r="BA102" s="5"/>
      <c r="BB102" s="5"/>
      <c r="BE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-0.48184705192907473</v>
      </c>
      <c r="BF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-328.12576775316467</v>
      </c>
      <c r="BG102" s="7">
        <f t="shared" si="52"/>
        <v>3.494026485131678E-2</v>
      </c>
    </row>
    <row r="103" spans="1:73" x14ac:dyDescent="0.25">
      <c r="A103">
        <f>A102+Parameters!$B$65</f>
        <v>99</v>
      </c>
      <c r="B103">
        <v>2124</v>
      </c>
      <c r="C103" s="74">
        <v>-5.4513361933580193E-7</v>
      </c>
      <c r="D103" s="69">
        <v>9.1840288866342185E-2</v>
      </c>
      <c r="E103" s="75">
        <v>0.22481620513253517</v>
      </c>
      <c r="F103" s="7">
        <f>MAX((1-Parameters!$B$4)^Parameters!B$65*F102 + C102*Parameters!B$65 - IF(C102&gt;0,Parameters!$B$5,0)*C102^2/F102*Parameters!B$65, 0.0001)</f>
        <v>1.8984626062943414E-3</v>
      </c>
      <c r="G103" s="7">
        <f>(1-Parameters!$B$4)^Parameters!B$65*G102+D102*Parameters!B$65-Parameters!$B$5*D102^2/G102*Parameters!B$65</f>
        <v>1.3600835972321215</v>
      </c>
      <c r="H103" s="7">
        <f>(1-Parameters!$B$4)^Parameters!B$65*H102+E102*Parameters!B$65-Parameters!$B$5*E102^2/H102*Parameters!B$65</f>
        <v>3.3108697610649096</v>
      </c>
      <c r="I103" s="9">
        <f>I102 *(1-Parameters!$B$4)-C102*(C102&lt;0)*Parameters!B$65</f>
        <v>6.9299254188941558E-5</v>
      </c>
      <c r="J103" s="23">
        <f>J102*(1+Parameters!$B$51)^Parameters!B$65</f>
        <v>10.869151911482337</v>
      </c>
      <c r="K103" s="23">
        <f>K102*(1+Parameters!$B$53)^Parameters!B$65</f>
        <v>64.090443243175287</v>
      </c>
      <c r="L103" s="23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0.40622841281176358</v>
      </c>
      <c r="M103" s="8">
        <f>M102+L103*Parameters!B$65</f>
        <v>3199.0851589248023</v>
      </c>
      <c r="N103" s="7">
        <f>M103*Parameters!$B$45</f>
        <v>1.9194510953548811</v>
      </c>
      <c r="O103" s="9">
        <f>EXP(-Parameters!$B$46/2*N103^2)</f>
        <v>0.96364998182277917</v>
      </c>
      <c r="P103" s="8">
        <f>MAX((Parameters!$B$62 + Parameters!$B$31*'6states'!A103 - '6states'!M103 + Parameters!$B$47/Parameters!$B$45)/Parameters!B$62,1)</f>
        <v>88.354296821503965</v>
      </c>
      <c r="Q103" s="7">
        <f>Parameters!B$61*EXP(-Parameters!B$60*A103)</f>
        <v>3.4522389978515207E-2</v>
      </c>
      <c r="R103" s="7">
        <f>(1-Parameters!B$61)*P103^-Parameters!B$63</f>
        <v>0.31940906453273404</v>
      </c>
      <c r="S103" s="7">
        <f>Parameters!B$61*EXP(-Parameters!B$60*A103)+(1-Parameters!B$61)*P103^-Parameters!B$63</f>
        <v>0.35393145451124924</v>
      </c>
      <c r="T103" s="7">
        <f>1-S103/Parameters!$B$12</f>
        <v>0.82303427274437535</v>
      </c>
      <c r="U103" s="7">
        <f t="shared" si="37"/>
        <v>5.6508116882740422</v>
      </c>
      <c r="V103" s="7">
        <f>(Parameters!$B$19*(F103+Parameters!$B$20)^T103+Parameters!$B$18*G103^T103)^(1/T103)</f>
        <v>0.33796703929644367</v>
      </c>
      <c r="W103" s="7">
        <f>(Parameters!$B$10*H103^Parameters!$B$9+Parameters!$B$11*V103^Parameters!$B$9)^(Parameters!$B$7/Parameters!$B$9)*O103</f>
        <v>1.3433779595429349</v>
      </c>
      <c r="X103" s="7">
        <f>W103 - D103 - E103 - LN(1+EXP(Parameters!$B$21*C103))/Parameters!$B$21 - IF(C103&gt;0, 0,Parameters!$B$6*C103^2/F103)</f>
        <v>1.0244112467151958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-0.63538815797327708</v>
      </c>
      <c r="AC103" s="23">
        <f t="shared" si="38"/>
        <v>4.8274467784803238E-2</v>
      </c>
      <c r="AD103" s="23">
        <f t="shared" si="39"/>
        <v>1.3224856890715921</v>
      </c>
      <c r="AE103" s="23">
        <f t="shared" si="40"/>
        <v>947.44615317517571</v>
      </c>
      <c r="AF103" s="23">
        <f t="shared" si="41"/>
        <v>235.43080141034187</v>
      </c>
      <c r="AG103" s="23">
        <f t="shared" si="42"/>
        <v>596.72729664007909</v>
      </c>
      <c r="AH103" s="23">
        <f t="shared" si="43"/>
        <v>935.8088595579535</v>
      </c>
      <c r="AI103" s="23">
        <f t="shared" si="44"/>
        <v>713.61385207857404</v>
      </c>
      <c r="AJ103" s="23"/>
      <c r="AK103" s="25">
        <f t="shared" si="35"/>
        <v>935.8088595579535</v>
      </c>
      <c r="AL103" s="4"/>
      <c r="AM103" s="4"/>
      <c r="AN103" s="4"/>
      <c r="AO103" s="16"/>
      <c r="AP103" s="16"/>
      <c r="AR103" s="13">
        <f>1-W103/'6states,ExoDamages'!T103</f>
        <v>9.0216714709073553E-2</v>
      </c>
      <c r="AS103" s="21">
        <f>-Y103*W103*X103^(-Parameters!B$52)*Parameters!B$46*Parameters!B$45*N103</f>
        <v>-6.7508024737375207E-6</v>
      </c>
      <c r="AT103" s="7">
        <f>1000*EXP(-(Parameters!$B$54)*'6states'!A103)*AK103*Parameters!B$46*Parameters!B$45*N103</f>
        <v>0.67078233433219103</v>
      </c>
      <c r="AU103" s="7">
        <f>SUM(AT103:AT$204)*EXP(Parameters!$B$54*A103)</f>
        <v>1438.5980434606977</v>
      </c>
      <c r="AZ103" s="5"/>
      <c r="BA103" s="5"/>
      <c r="BB103" s="5"/>
      <c r="BE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-0.47117840903580721</v>
      </c>
      <c r="BF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-328.22700899317329</v>
      </c>
      <c r="BG103" s="7">
        <f t="shared" si="52"/>
        <v>3.5217297164160728E-2</v>
      </c>
    </row>
    <row r="104" spans="1:73" s="53" customFormat="1" x14ac:dyDescent="0.25">
      <c r="A104" s="53">
        <f>A103+Parameters!$B$65</f>
        <v>100</v>
      </c>
      <c r="B104" s="53">
        <v>2125</v>
      </c>
      <c r="C104" s="76">
        <v>-5.4513361933580193E-7</v>
      </c>
      <c r="D104" s="77">
        <v>9.1840288866342185E-2</v>
      </c>
      <c r="E104" s="78">
        <v>0.22481620513253517</v>
      </c>
      <c r="F104" s="54">
        <f>MAX((1-Parameters!$B$4)^Parameters!B$65*F103 + C103*Parameters!B$65 - IF(C103&gt;0,Parameters!$B$5,0)*C103^2/F103*Parameters!B$65, 0.0001)</f>
        <v>1.7785041747390914E-3</v>
      </c>
      <c r="G104" s="54">
        <f>(1-Parameters!$B$4)^Parameters!B$65*G103+D103*Parameters!B$65-Parameters!$B$5*D103^2/G103*Parameters!B$65</f>
        <v>1.3601730688429405</v>
      </c>
      <c r="H104" s="54">
        <f>(1-Parameters!$B$4)^Parameters!B$65*H103+E103*Parameters!B$65-Parameters!$B$5*E103^2/H103*Parameters!B$65</f>
        <v>3.312166684604521</v>
      </c>
      <c r="I104" s="9">
        <f>I103 *(1-Parameters!$B$4)-C103*(C103&lt;0)*Parameters!B$65</f>
        <v>6.5485464719792935E-5</v>
      </c>
      <c r="J104" s="56">
        <f>J103*(1+Parameters!$B$51)^Parameters!B$65</f>
        <v>10.900672452025635</v>
      </c>
      <c r="K104" s="56">
        <f>K103*(1+Parameters!$B$53)^Parameters!B$65</f>
        <v>65.372252108038793</v>
      </c>
      <c r="L104" s="56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0.38523673429191119</v>
      </c>
      <c r="M104" s="57">
        <f>M103+L104*Parameters!B$65</f>
        <v>3199.4703956590943</v>
      </c>
      <c r="N104" s="54">
        <f>M104*Parameters!$B$45</f>
        <v>1.9196822373954563</v>
      </c>
      <c r="O104" s="55">
        <f>EXP(-Parameters!$B$46/2*N104^2)</f>
        <v>0.96364138781819242</v>
      </c>
      <c r="P104" s="57">
        <f>MAX((Parameters!$B$62 + Parameters!$B$31*'6states'!A104 - '6states'!M104 + Parameters!$B$47/Parameters!$B$45)/Parameters!B$62,1)</f>
        <v>89.410592086818099</v>
      </c>
      <c r="Q104" s="54">
        <f>Parameters!B$61*EXP(-Parameters!B$60*A104)</f>
        <v>3.3602756369874878E-2</v>
      </c>
      <c r="R104" s="54">
        <f>(1-Parameters!B$61)*P104^-Parameters!B$63</f>
        <v>0.31902969394959091</v>
      </c>
      <c r="S104" s="54">
        <f>Parameters!B$61*EXP(-Parameters!B$60*A104)+(1-Parameters!B$61)*P104^-Parameters!B$63</f>
        <v>0.35263245031946577</v>
      </c>
      <c r="T104" s="54">
        <f>1-S104/Parameters!$B$12</f>
        <v>0.82368377484026711</v>
      </c>
      <c r="U104" s="54">
        <f t="shared" si="37"/>
        <v>5.6716277761394593</v>
      </c>
      <c r="V104" s="54">
        <f>(Parameters!$B$19*(F104+Parameters!$B$20)^T104+Parameters!$B$18*G104^T104)^(1/T104)</f>
        <v>0.33815282001576119</v>
      </c>
      <c r="W104" s="54">
        <f>(Parameters!$B$10*H104^Parameters!$B$9+Parameters!$B$11*V104^Parameters!$B$9)^(Parameters!$B$7/Parameters!$B$9)*O104</f>
        <v>1.3435430326933469</v>
      </c>
      <c r="X104" s="54">
        <f>W104 - D104 - E104 - LN(1+EXP(Parameters!$B$21*C104))/Parameters!$B$21 - IF(C104&gt;0, 0,Parameters!$B$6*C104^2/F104)</f>
        <v>1.0245763198128179</v>
      </c>
      <c r="Y104" s="54">
        <f>EXP(-Parameters!$B$55*A104)</f>
        <v>0.22090997795937814</v>
      </c>
      <c r="Z104" s="54">
        <f>IF(X104&gt;0,X104^(1-Parameters!$B$52)/(1-Parameters!$B$52)*Y104*Parameters!$B$65,-10+X104*1000)</f>
        <v>-0.62583057672841724</v>
      </c>
      <c r="AC104" s="56">
        <f t="shared" si="38"/>
        <v>4.6665040890513626E-2</v>
      </c>
      <c r="AD104" s="56">
        <f t="shared" si="39"/>
        <v>1.2673647563359816</v>
      </c>
      <c r="AE104" s="56">
        <f t="shared" si="40"/>
        <v>969.26137956453567</v>
      </c>
      <c r="AF104" s="56">
        <f t="shared" si="41"/>
        <v>240.96820936980421</v>
      </c>
      <c r="AG104" s="56">
        <f t="shared" si="42"/>
        <v>610.76251404684467</v>
      </c>
      <c r="AH104" s="56">
        <f t="shared" si="43"/>
        <v>957.41079073154606</v>
      </c>
      <c r="AI104" s="56">
        <f t="shared" si="44"/>
        <v>730.11463023283704</v>
      </c>
      <c r="AJ104" s="56"/>
      <c r="AK104" s="84">
        <f t="shared" si="35"/>
        <v>957.41079073154606</v>
      </c>
      <c r="AL104" s="85"/>
      <c r="AM104" s="85"/>
      <c r="AN104" s="85"/>
      <c r="AO104" s="86"/>
      <c r="AP104" s="86"/>
      <c r="AR104" s="60">
        <f>1-W104/'6states,ExoDamages'!T104</f>
        <v>9.0083320300009206E-2</v>
      </c>
      <c r="AS104" s="61">
        <f>-Y104*W104*X104^(-Parameters!B$52)*Parameters!B$46*Parameters!B$45*N104</f>
        <v>-6.6498024489686667E-6</v>
      </c>
      <c r="AT104" s="54">
        <f>1000*EXP(-(Parameters!$B$54)*'6states'!A104)*AK104*Parameters!B$46*Parameters!B$45*N104</f>
        <v>0.66267615049015605</v>
      </c>
      <c r="AU104" s="54">
        <f>SUM(AT104:AT$204)*EXP(Parameters!$B$54*A104)</f>
        <v>1467.5529712031284</v>
      </c>
      <c r="AW104" s="54"/>
      <c r="AX104" s="54"/>
      <c r="AY104" s="54"/>
      <c r="AZ104" s="62"/>
      <c r="BA104" s="62"/>
      <c r="BB104" s="62"/>
      <c r="BE104" s="53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-0.46036292409977836</v>
      </c>
      <c r="BF104" s="53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-328.05531379392352</v>
      </c>
      <c r="BG104" s="54">
        <f t="shared" si="52"/>
        <v>3.551292443216196E-2</v>
      </c>
      <c r="BS104" s="54"/>
    </row>
    <row r="105" spans="1:73" x14ac:dyDescent="0.25">
      <c r="A105">
        <f>A104+Parameters!$B$65</f>
        <v>101</v>
      </c>
      <c r="B105">
        <v>2126</v>
      </c>
      <c r="C105" s="74">
        <v>-5.4513361933580193E-7</v>
      </c>
      <c r="D105" s="69">
        <v>9.1840288866342185E-2</v>
      </c>
      <c r="E105" s="75">
        <v>0.22481620513253517</v>
      </c>
      <c r="F105" s="7">
        <f>MAX((1-Parameters!$B$4)^Parameters!B$65*F104 + C104*Parameters!B$65 - IF(C104&gt;0,Parameters!$B$5,0)*C104^2/F104*Parameters!B$65, 0.0001)</f>
        <v>1.6660911285286668E-3</v>
      </c>
      <c r="G105" s="7">
        <f>(1-Parameters!$B$4)^Parameters!B$65*G104+D104*Parameters!B$65-Parameters!$B$5*D104^2/G104*Parameters!B$65</f>
        <v>1.3602573206253739</v>
      </c>
      <c r="H105" s="7">
        <f>(1-Parameters!$B$4)^Parameters!B$65*H104+E104*Parameters!B$65-Parameters!$B$5*E104^2/H104*Parameters!B$65</f>
        <v>3.3133880090947434</v>
      </c>
      <c r="I105" s="9">
        <f>I104 *(1-Parameters!$B$4)-C104*(C104&lt;0)*Parameters!B$65</f>
        <v>6.1911562608253764E-5</v>
      </c>
      <c r="J105" s="23">
        <f>J104*(1+Parameters!$B$51)^Parameters!B$65</f>
        <v>10.932284402136508</v>
      </c>
      <c r="K105" s="23">
        <f>K104*(1+Parameters!$B$53)^Parameters!B$65</f>
        <v>66.679697150199573</v>
      </c>
      <c r="L105" s="23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0.36531271620439204</v>
      </c>
      <c r="M105" s="8">
        <f>M104+L105*Parameters!B$65</f>
        <v>3199.8357083752985</v>
      </c>
      <c r="N105" s="7">
        <f>M105*Parameters!$B$45</f>
        <v>1.9199014250251789</v>
      </c>
      <c r="O105" s="9">
        <f>EXP(-Parameters!$B$46/2*N105^2)</f>
        <v>0.96363323740089701</v>
      </c>
      <c r="P105" s="8">
        <f>MAX((Parameters!$B$62 + Parameters!$B$31*'6states'!A105 - '6states'!M105 + Parameters!$B$47/Parameters!$B$45)/Parameters!B$62,1)</f>
        <v>90.467285832494056</v>
      </c>
      <c r="Q105" s="8"/>
      <c r="R105" s="8"/>
      <c r="S105" s="7">
        <f>Parameters!B$61*EXP(-Parameters!B$60*A105)+(1-Parameters!B$61)*P105^-Parameters!B$63</f>
        <v>0.35136270201260367</v>
      </c>
      <c r="T105" s="7">
        <f>1-S105/Parameters!$B$12</f>
        <v>0.82431864899369822</v>
      </c>
      <c r="U105" s="7">
        <f t="shared" si="37"/>
        <v>5.6921238041033133</v>
      </c>
      <c r="V105" s="7">
        <f>(Parameters!$B$19*(F105+Parameters!$B$20)^T105+Parameters!$B$18*G105^T105)^(1/T105)</f>
        <v>0.33834008727647186</v>
      </c>
      <c r="W105" s="7">
        <f>(Parameters!$B$10*H105^Parameters!$B$9+Parameters!$B$11*V105^Parameters!$B$9)^(Parameters!$B$7/Parameters!$B$9)*O105</f>
        <v>1.3437027669797239</v>
      </c>
      <c r="X105" s="7">
        <f>W105 - D105 - E105 - LN(1+EXP(Parameters!$B$21*C105))/Parameters!$B$21 - IF(C105&gt;0, 0,Parameters!$B$6*C105^2/F105)</f>
        <v>1.0247360540428261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-0.61641789134507619</v>
      </c>
      <c r="AC105" s="23">
        <f t="shared" si="38"/>
        <v>4.5131140165789695E-2</v>
      </c>
      <c r="AD105" s="23">
        <f t="shared" si="39"/>
        <v>1.2145161433961555</v>
      </c>
      <c r="AE105" s="23">
        <f t="shared" si="40"/>
        <v>991.57509861495646</v>
      </c>
      <c r="AF105" s="23">
        <f t="shared" si="41"/>
        <v>246.6368681275101</v>
      </c>
      <c r="AG105" s="23">
        <f t="shared" si="42"/>
        <v>625.13040217277091</v>
      </c>
      <c r="AH105" s="23">
        <f t="shared" si="43"/>
        <v>979.50746779627787</v>
      </c>
      <c r="AI105" s="23">
        <f t="shared" si="44"/>
        <v>746.99304200374877</v>
      </c>
      <c r="AJ105" s="23"/>
      <c r="AK105" s="25">
        <f t="shared" si="35"/>
        <v>979.50746779627775</v>
      </c>
      <c r="AL105" s="4"/>
      <c r="AM105" s="4"/>
      <c r="AN105" s="4"/>
      <c r="AO105" s="16"/>
      <c r="AP105" s="16"/>
      <c r="AS105" s="21">
        <f>-Y105*W105*X105^(-Parameters!B$52)*Parameters!B$46*Parameters!B$45*N105</f>
        <v>-6.5502927998710129E-6</v>
      </c>
      <c r="AT105" s="7">
        <f>1000*EXP(-(Parameters!$B$54)*'6states'!A105)*AK105*Parameters!B$46*Parameters!B$45*N105</f>
        <v>0.65466123039443236</v>
      </c>
      <c r="AZ105" s="5"/>
      <c r="BA105" s="5"/>
      <c r="BB105" s="5"/>
      <c r="BE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-0.44939664966994369</v>
      </c>
      <c r="BF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-327.59281678325209</v>
      </c>
      <c r="BG105" s="7">
        <f t="shared" si="52"/>
        <v>3.5828394785380642E-2</v>
      </c>
    </row>
    <row r="106" spans="1:73" x14ac:dyDescent="0.25">
      <c r="A106">
        <f>A105+Parameters!$B$65</f>
        <v>102</v>
      </c>
      <c r="B106">
        <v>2127</v>
      </c>
      <c r="C106" s="74">
        <v>-5.4513361933580193E-7</v>
      </c>
      <c r="D106" s="69">
        <v>9.1840288866342185E-2</v>
      </c>
      <c r="E106" s="75">
        <v>0.22481620513253517</v>
      </c>
      <c r="F106" s="7">
        <f>MAX((1-Parameters!$B$4)^Parameters!B$65*F105 + C105*Parameters!B$65 - IF(C105&gt;0,Parameters!$B$5,0)*C105^2/F105*Parameters!B$65, 0.0001)</f>
        <v>1.5607488629248779E-3</v>
      </c>
      <c r="G106" s="7">
        <f>(1-Parameters!$B$4)^Parameters!B$65*G105+D105*Parameters!B$65-Parameters!$B$5*D105^2/G105*Parameters!B$65</f>
        <v>1.3603366570583362</v>
      </c>
      <c r="H106" s="7">
        <f>(1-Parameters!$B$4)^Parameters!B$65*H105+E105*Parameters!B$65-Parameters!$B$5*E105^2/H105*Parameters!B$65</f>
        <v>3.3145381370062181</v>
      </c>
      <c r="I106" s="9">
        <f>I105 *(1-Parameters!$B$4)-C105*(C105&lt;0)*Parameters!B$65</f>
        <v>5.8562458939530408E-5</v>
      </c>
      <c r="J106" s="23">
        <f>J105*(1+Parameters!$B$51)^Parameters!B$65</f>
        <v>10.963988026902703</v>
      </c>
      <c r="K106" s="23">
        <f>K105*(1+Parameters!$B$53)^Parameters!B$65</f>
        <v>68.013291093203563</v>
      </c>
      <c r="L106" s="23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0.34640214078474341</v>
      </c>
      <c r="M106" s="8">
        <f>M105+L106*Parameters!B$65</f>
        <v>3200.1821105160834</v>
      </c>
      <c r="N106" s="7">
        <f>M106*Parameters!$B$45</f>
        <v>1.92010926630965</v>
      </c>
      <c r="O106" s="9">
        <f>EXP(-Parameters!$B$46/2*N106^2)</f>
        <v>0.96362550809772274</v>
      </c>
      <c r="P106" s="8">
        <f>MAX((Parameters!$B$62 + Parameters!$B$31*'6states'!A106 - '6states'!M106 + Parameters!$B$47/Parameters!$B$45)/Parameters!B$62,1)</f>
        <v>91.524357789678348</v>
      </c>
      <c r="Q106" s="8"/>
      <c r="R106" s="8"/>
      <c r="S106" s="7">
        <f>Parameters!B$61*EXP(-Parameters!B$60*A106)+(1-Parameters!B$61)*P106^-Parameters!B$63</f>
        <v>0.35012145004706141</v>
      </c>
      <c r="T106" s="7">
        <f>1-S106/Parameters!$B$12</f>
        <v>0.82493927497646924</v>
      </c>
      <c r="U106" s="7">
        <f t="shared" si="37"/>
        <v>5.7123035441877965</v>
      </c>
      <c r="V106" s="7">
        <f>(Parameters!$B$19*(F106+Parameters!$B$20)^T106+Parameters!$B$18*G106^T106)^(1/T106)</f>
        <v>0.33852846974666334</v>
      </c>
      <c r="W106" s="7">
        <f>(Parameters!$B$10*H106^Parameters!$B$9+Parameters!$B$11*V106^Parameters!$B$9)^(Parameters!$B$7/Parameters!$B$9)*O106</f>
        <v>1.3438573711523536</v>
      </c>
      <c r="X106" s="7">
        <f>W106 - D106 - E106 - LN(1+EXP(Parameters!$B$21*C106))/Parameters!$B$21 - IF(C106&gt;0, 0,Parameters!$B$6*C106^2/F106)</f>
        <v>1.0248906581552626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-0.60714784450328751</v>
      </c>
      <c r="AC106" s="23">
        <f t="shared" si="38"/>
        <v>4.3669844627304465E-2</v>
      </c>
      <c r="AD106" s="23">
        <f t="shared" si="39"/>
        <v>1.1638456031456741</v>
      </c>
      <c r="AE106" s="23">
        <f t="shared" si="40"/>
        <v>1014.3988406618068</v>
      </c>
      <c r="AF106" s="23">
        <f t="shared" si="41"/>
        <v>252.43963357175375</v>
      </c>
      <c r="AG106" s="23">
        <f t="shared" si="42"/>
        <v>639.83819960554933</v>
      </c>
      <c r="AH106" s="23">
        <f t="shared" si="43"/>
        <v>1002.1102880956265</v>
      </c>
      <c r="AI106" s="23">
        <f t="shared" si="44"/>
        <v>764.25779607086679</v>
      </c>
      <c r="AJ106" s="23"/>
      <c r="AK106" s="25">
        <f t="shared" si="35"/>
        <v>1002.1102880956266</v>
      </c>
      <c r="AL106" s="4"/>
      <c r="AM106" s="4"/>
      <c r="AN106" s="4"/>
      <c r="AO106" s="16"/>
      <c r="AP106" s="16"/>
      <c r="AS106" s="21">
        <f>-Y106*W106*X106^(-Parameters!B$52)*Parameters!B$46*Parameters!B$45*N106</f>
        <v>-6.4522531214587934E-6</v>
      </c>
      <c r="AT106" s="7">
        <f>1000*EXP(-(Parameters!$B$54)*'6states'!A106)*AK106*Parameters!B$46*Parameters!B$45*N106</f>
        <v>0.64673694078579413</v>
      </c>
      <c r="AZ106" s="5"/>
      <c r="BA106" s="5"/>
      <c r="BB106" s="5"/>
      <c r="BE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-0.43827628601821711</v>
      </c>
      <c r="BF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-326.82127186650996</v>
      </c>
      <c r="BG106" s="7">
        <f t="shared" si="52"/>
        <v>3.6165040130827969E-2</v>
      </c>
    </row>
    <row r="107" spans="1:73" x14ac:dyDescent="0.25">
      <c r="A107">
        <f>A106+Parameters!$B$65</f>
        <v>103</v>
      </c>
      <c r="B107">
        <v>2128</v>
      </c>
      <c r="C107" s="74">
        <v>-5.4513361933580193E-7</v>
      </c>
      <c r="D107" s="69">
        <v>9.1840288866342185E-2</v>
      </c>
      <c r="E107" s="75">
        <v>0.22481620513253517</v>
      </c>
      <c r="F107" s="7">
        <f>MAX((1-Parameters!$B$4)^Parameters!B$65*F106 + C106*Parameters!B$65 - IF(C106&gt;0,Parameters!$B$5,0)*C106^2/F106*Parameters!B$65, 0.0001)</f>
        <v>1.4620326258275673E-3</v>
      </c>
      <c r="G107" s="7">
        <f>(1-Parameters!$B$4)^Parameters!B$65*G106+D106*Parameters!B$65-Parameters!$B$5*D106^2/G106*Parameters!B$65</f>
        <v>1.3604113648656837</v>
      </c>
      <c r="H107" s="7">
        <f>(1-Parameters!$B$4)^Parameters!B$65*H106+E106*Parameters!B$65-Parameters!$B$5*E106^2/H106*Parameters!B$65</f>
        <v>3.3156212149227362</v>
      </c>
      <c r="I107" s="9">
        <f>I106 *(1-Parameters!$B$4)-C106*(C106&lt;0)*Parameters!B$65</f>
        <v>5.5424013891569749E-5</v>
      </c>
      <c r="J107" s="23">
        <f>J106*(1+Parameters!$B$51)^Parameters!B$65</f>
        <v>10.99578359218072</v>
      </c>
      <c r="K107" s="23">
        <f>K106*(1+Parameters!$B$53)^Parameters!B$65</f>
        <v>69.373556915067638</v>
      </c>
      <c r="L107" s="23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0.32845356168614309</v>
      </c>
      <c r="M107" s="8">
        <f>M106+L107*Parameters!B$65</f>
        <v>3200.5105640777697</v>
      </c>
      <c r="N107" s="7">
        <f>M107*Parameters!$B$45</f>
        <v>1.9203063384466617</v>
      </c>
      <c r="O107" s="9">
        <f>EXP(-Parameters!$B$46/2*N107^2)</f>
        <v>0.96361817856733956</v>
      </c>
      <c r="P107" s="8">
        <f>MAX((Parameters!$B$62 + Parameters!$B$31*'6states'!A107 - '6states'!M107 + Parameters!$B$47/Parameters!$B$45)/Parameters!B$62,1)</f>
        <v>92.581788718444628</v>
      </c>
      <c r="Q107" s="8"/>
      <c r="R107" s="8"/>
      <c r="S107" s="7">
        <f>Parameters!B$61*EXP(-Parameters!B$60*A107)+(1-Parameters!B$61)*P107^-Parameters!B$63</f>
        <v>0.34890795554514176</v>
      </c>
      <c r="T107" s="7">
        <f>1-S107/Parameters!$B$12</f>
        <v>0.82554602222742912</v>
      </c>
      <c r="U107" s="7">
        <f t="shared" si="37"/>
        <v>5.732170815294694</v>
      </c>
      <c r="V107" s="7">
        <f>(Parameters!$B$19*(F107+Parameters!$B$20)^T107+Parameters!$B$18*G107^T107)^(1/T107)</f>
        <v>0.3387176259839827</v>
      </c>
      <c r="W107" s="7">
        <f>(Parameters!$B$10*H107^Parameters!$B$9+Parameters!$B$11*V107^Parameters!$B$9)^(Parameters!$B$7/Parameters!$B$9)*O107</f>
        <v>1.3440070440688028</v>
      </c>
      <c r="X107" s="7">
        <f>W107 - D107 - E107 - LN(1+EXP(Parameters!$B$21*C107))/Parameters!$B$21 - IF(C107&gt;0, 0,Parameters!$B$6*C107^2/F107)</f>
        <v>1.0250403310074321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-0.59801821764840768</v>
      </c>
      <c r="AC107" s="23">
        <f t="shared" si="38"/>
        <v>4.227835888030141E-2</v>
      </c>
      <c r="AD107" s="23">
        <f t="shared" si="39"/>
        <v>1.1152627842937457</v>
      </c>
      <c r="AE107" s="23">
        <f t="shared" si="40"/>
        <v>1037.7443976027237</v>
      </c>
      <c r="AF107" s="23">
        <f t="shared" si="41"/>
        <v>258.37943420068189</v>
      </c>
      <c r="AG107" s="23">
        <f t="shared" si="42"/>
        <v>654.89332897115673</v>
      </c>
      <c r="AH107" s="23">
        <f t="shared" si="43"/>
        <v>1025.2309090777862</v>
      </c>
      <c r="AI107" s="23">
        <f t="shared" si="44"/>
        <v>781.91779949208842</v>
      </c>
      <c r="AJ107" s="23"/>
      <c r="AK107" s="25">
        <f t="shared" si="35"/>
        <v>1025.2309090777865</v>
      </c>
      <c r="AL107" s="4"/>
      <c r="AM107" s="4"/>
      <c r="AN107" s="4"/>
      <c r="AO107" s="16"/>
      <c r="AP107" s="16"/>
      <c r="AS107" s="21">
        <f>-Y107*W107*X107^(-Parameters!B$52)*Parameters!B$46*Parameters!B$45*N107</f>
        <v>-6.3556631764018225E-6</v>
      </c>
      <c r="AT107" s="7">
        <f>1000*EXP(-(Parameters!$B$54)*'6states'!A107)*AK107*Parameters!B$46*Parameters!B$45*N107</f>
        <v>0.6389026269246989</v>
      </c>
      <c r="AZ107" s="5"/>
      <c r="BA107" s="5"/>
      <c r="BB107" s="5"/>
      <c r="BE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-0.42699928628292944</v>
      </c>
      <c r="BF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-325.72215181708754</v>
      </c>
      <c r="BG107" s="7">
        <f t="shared" si="52"/>
        <v>3.6524281775740269E-2</v>
      </c>
    </row>
    <row r="108" spans="1:73" x14ac:dyDescent="0.25">
      <c r="A108">
        <f>A107+Parameters!$B$65</f>
        <v>104</v>
      </c>
      <c r="B108">
        <v>2129</v>
      </c>
      <c r="C108" s="74">
        <v>-5.4513361933580193E-7</v>
      </c>
      <c r="D108" s="69">
        <v>9.1840288866342185E-2</v>
      </c>
      <c r="E108" s="75">
        <v>0.22481620513253517</v>
      </c>
      <c r="F108" s="7">
        <f>MAX((1-Parameters!$B$4)^Parameters!B$65*F107 + C107*Parameters!B$65 - IF(C107&gt;0,Parameters!$B$5,0)*C107^2/F107*Parameters!B$65, 0.0001)</f>
        <v>1.3695256400436775E-3</v>
      </c>
      <c r="G108" s="7">
        <f>(1-Parameters!$B$4)^Parameters!B$65*G107+D107*Parameters!B$65-Parameters!$B$5*D107^2/G107*Parameters!B$65</f>
        <v>1.3604817140509327</v>
      </c>
      <c r="H108" s="7">
        <f>(1-Parameters!$B$4)^Parameters!B$65*H107+E107*Parameters!B$65-Parameters!$B$5*E107^2/H107*Parameters!B$65</f>
        <v>3.3166411483582099</v>
      </c>
      <c r="I108" s="9">
        <f>I107 *(1-Parameters!$B$4)-C107*(C107&lt;0)*Parameters!B$65</f>
        <v>5.2482977037125816E-5</v>
      </c>
      <c r="J108" s="23">
        <f>J107*(1+Parameters!$B$51)^Parameters!B$65</f>
        <v>11.027671364598042</v>
      </c>
      <c r="K108" s="23">
        <f>K107*(1+Parameters!$B$53)^Parameters!B$65</f>
        <v>70.761028053368989</v>
      </c>
      <c r="L108" s="23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0.31141816299759512</v>
      </c>
      <c r="M108" s="8">
        <f>M107+L108*Parameters!B$65</f>
        <v>3200.8219822407673</v>
      </c>
      <c r="N108" s="7">
        <f>M108*Parameters!$B$45</f>
        <v>1.9204931893444601</v>
      </c>
      <c r="O108" s="9">
        <f>EXP(-Parameters!$B$46/2*N108^2)</f>
        <v>0.96361122854327375</v>
      </c>
      <c r="P108" s="8">
        <f>MAX((Parameters!$B$62 + Parameters!$B$31*'6states'!A108 - '6states'!M108 + Parameters!$B$47/Parameters!$B$45)/Parameters!B$62,1)</f>
        <v>93.639560355184656</v>
      </c>
      <c r="Q108" s="8"/>
      <c r="R108" s="8"/>
      <c r="S108" s="7">
        <f>Parameters!B$61*EXP(-Parameters!B$60*A108)+(1-Parameters!B$61)*P108^-Parameters!B$63</f>
        <v>0.34772149970984889</v>
      </c>
      <c r="T108" s="7">
        <f>1-S108/Parameters!$B$12</f>
        <v>0.8261392501450755</v>
      </c>
      <c r="U108" s="7">
        <f t="shared" si="37"/>
        <v>5.7517294779554042</v>
      </c>
      <c r="V108" s="7">
        <f>(Parameters!$B$19*(F108+Parameters!$B$20)^T108+Parameters!$B$18*G108^T108)^(1/T108)</f>
        <v>0.33890724249963938</v>
      </c>
      <c r="W108" s="7">
        <f>(Parameters!$B$10*H108^Parameters!$B$9+Parameters!$B$11*V108^Parameters!$B$9)^(Parameters!$B$7/Parameters!$B$9)*O108</f>
        <v>1.3441519753760549</v>
      </c>
      <c r="X108" s="7">
        <f>W108 - D108 - E108 - LN(1+EXP(Parameters!$B$21*C108))/Parameters!$B$21 - IF(C108&gt;0, 0,Parameters!$B$6*C108^2/F108)</f>
        <v>1.0251852622460369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-0.5890268300674375</v>
      </c>
      <c r="AC108" s="23">
        <f t="shared" si="38"/>
        <v>4.0954008028894463E-2</v>
      </c>
      <c r="AD108" s="23">
        <f t="shared" si="39"/>
        <v>1.0686810700248568</v>
      </c>
      <c r="AE108" s="23">
        <f t="shared" si="40"/>
        <v>1061.6238290177851</v>
      </c>
      <c r="AF108" s="23">
        <f t="shared" si="41"/>
        <v>264.45927258589865</v>
      </c>
      <c r="AG108" s="23">
        <f t="shared" si="42"/>
        <v>670.30340064353572</v>
      </c>
      <c r="AH108" s="23">
        <f t="shared" si="43"/>
        <v>1048.8812544430307</v>
      </c>
      <c r="AI108" s="23">
        <f t="shared" si="44"/>
        <v>799.98216243389709</v>
      </c>
      <c r="AJ108" s="23"/>
      <c r="AK108" s="25">
        <f t="shared" si="35"/>
        <v>1048.8812544430309</v>
      </c>
      <c r="AL108" s="4"/>
      <c r="AM108" s="4"/>
      <c r="AN108" s="4"/>
      <c r="AO108" s="16"/>
      <c r="AP108" s="16"/>
      <c r="AS108" s="21">
        <f>-Y108*W108*X108^(-Parameters!B$52)*Parameters!B$46*Parameters!B$45*N108</f>
        <v>-6.2605029012376121E-6</v>
      </c>
      <c r="AT108" s="7">
        <f>1000*EXP(-(Parameters!$B$54)*'6states'!A108)*AK108*Parameters!B$46*Parameters!B$45*N108</f>
        <v>0.63115761473093845</v>
      </c>
      <c r="AZ108" s="5"/>
      <c r="BA108" s="5"/>
      <c r="BB108" s="5"/>
      <c r="BE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-0.41556397005611717</v>
      </c>
      <c r="BF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-324.27676795389186</v>
      </c>
      <c r="BG108" s="7">
        <f t="shared" si="52"/>
        <v>3.6907636428298488E-2</v>
      </c>
    </row>
    <row r="109" spans="1:73" x14ac:dyDescent="0.25">
      <c r="A109">
        <f>A108+Parameters!$B$65</f>
        <v>105</v>
      </c>
      <c r="B109">
        <v>2130</v>
      </c>
      <c r="C109" s="74">
        <v>-5.4513361933580193E-7</v>
      </c>
      <c r="D109" s="69">
        <v>9.1840288866342185E-2</v>
      </c>
      <c r="E109" s="75">
        <v>0.22481620513253517</v>
      </c>
      <c r="F109" s="7">
        <f>MAX((1-Parameters!$B$4)^Parameters!B$65*F108 + C108*Parameters!B$65 - IF(C108&gt;0,Parameters!$B$5,0)*C108^2/F108*Parameters!B$65, 0.0001)</f>
        <v>1.2828373436655942E-3</v>
      </c>
      <c r="G109" s="7">
        <f>(1-Parameters!$B$4)^Parameters!B$65*G108+D108*Parameters!B$65-Parameters!$B$5*D108^2/G108*Parameters!B$65</f>
        <v>1.3605479588717473</v>
      </c>
      <c r="H109" s="7">
        <f>(1-Parameters!$B$4)^Parameters!B$65*H108+E108*Parameters!B$65-Parameters!$B$5*E108^2/H108*Parameters!B$65</f>
        <v>3.3176016157221477</v>
      </c>
      <c r="I109" s="9">
        <f>I108 *(1-Parameters!$B$4)-C108*(C108&lt;0)*Parameters!B$65</f>
        <v>4.9726931400826404E-5</v>
      </c>
      <c r="J109" s="23">
        <f>J108*(1+Parameters!$B$51)^Parameters!B$65</f>
        <v>11.059651611555376</v>
      </c>
      <c r="K109" s="23">
        <f>K108*(1+Parameters!$B$53)^Parameters!B$65</f>
        <v>72.176248614436375</v>
      </c>
      <c r="L109" s="23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0.29524962537005339</v>
      </c>
      <c r="M109" s="8">
        <f>M108+L109*Parameters!B$65</f>
        <v>3201.1172318661374</v>
      </c>
      <c r="N109" s="7">
        <f>M109*Parameters!$B$45</f>
        <v>1.9206703391196822</v>
      </c>
      <c r="O109" s="9">
        <f>EXP(-Parameters!$B$46/2*N109^2)</f>
        <v>0.96360463877973557</v>
      </c>
      <c r="P109" s="8">
        <f>MAX((Parameters!$B$62 + Parameters!$B$31*'6states'!A109 - '6states'!M109 + Parameters!$B$47/Parameters!$B$45)/Parameters!B$62,1)</f>
        <v>94.697655362677253</v>
      </c>
      <c r="Q109" s="8"/>
      <c r="R109" s="8"/>
      <c r="S109" s="7">
        <f>Parameters!B$61*EXP(-Parameters!B$60*A109)+(1-Parameters!B$61)*P109^-Parameters!B$63</f>
        <v>0.34656138325717073</v>
      </c>
      <c r="T109" s="7">
        <f>1-S109/Parameters!$B$12</f>
        <v>0.82671930837141461</v>
      </c>
      <c r="U109" s="7">
        <f t="shared" si="37"/>
        <v>5.7709834292641649</v>
      </c>
      <c r="V109" s="7">
        <f>(Parameters!$B$19*(F109+Parameters!$B$20)^T109+Parameters!$B$18*G109^T109)^(1/T109)</f>
        <v>0.33909703192967072</v>
      </c>
      <c r="W109" s="7">
        <f>(Parameters!$B$10*H109^Parameters!$B$9+Parameters!$B$11*V109^Parameters!$B$9)^(Parameters!$B$7/Parameters!$B$9)*O109</f>
        <v>1.344292346121108</v>
      </c>
      <c r="X109" s="7">
        <f>W109 - D109 - E109 - LN(1+EXP(Parameters!$B$21*C109))/Parameters!$B$21 - IF(C109&gt;0, 0,Parameters!$B$6*C109^2/F109)</f>
        <v>1.0253256329177747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-0.58017153801089028</v>
      </c>
      <c r="AC109" s="23">
        <f t="shared" si="38"/>
        <v>3.9694232799488458E-2</v>
      </c>
      <c r="AD109" s="23">
        <f t="shared" si="39"/>
        <v>1.0240174233331685</v>
      </c>
      <c r="AE109" s="23">
        <f t="shared" si="40"/>
        <v>1086.0494684260061</v>
      </c>
      <c r="AF109" s="23">
        <f t="shared" si="41"/>
        <v>270.68222687089491</v>
      </c>
      <c r="AG109" s="23">
        <f t="shared" si="42"/>
        <v>686.07621654254103</v>
      </c>
      <c r="AH109" s="23">
        <f t="shared" si="43"/>
        <v>1073.0735204106118</v>
      </c>
      <c r="AI109" s="23">
        <f t="shared" si="44"/>
        <v>818.46020298860867</v>
      </c>
      <c r="AJ109" s="23"/>
      <c r="AK109" s="25">
        <f t="shared" si="35"/>
        <v>1073.0735204106118</v>
      </c>
      <c r="AL109" s="4"/>
      <c r="AM109" s="4"/>
      <c r="AN109" s="4"/>
      <c r="AO109" s="16"/>
      <c r="AP109" s="16"/>
      <c r="AS109" s="21">
        <f>-Y109*W109*X109^(-Parameters!B$52)*Parameters!B$46*Parameters!B$45*N109</f>
        <v>-6.1667524120785078E-6</v>
      </c>
      <c r="AT109" s="7">
        <f>1000*EXP(-(Parameters!$B$54)*'6states'!A109)*AK109*Parameters!B$46*Parameters!B$45*N109</f>
        <v>0.62350121276031134</v>
      </c>
      <c r="AZ109" s="5"/>
      <c r="BA109" s="5"/>
      <c r="BB109" s="5"/>
      <c r="BE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-0.40396964525461665</v>
      </c>
      <c r="BF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-322.46641188072658</v>
      </c>
      <c r="BG109" s="7">
        <f t="shared" si="52"/>
        <v>3.7316722601127665E-2</v>
      </c>
    </row>
    <row r="110" spans="1:73" x14ac:dyDescent="0.25">
      <c r="A110">
        <f>A109+Parameters!$B$65</f>
        <v>106</v>
      </c>
      <c r="B110">
        <v>2131</v>
      </c>
      <c r="C110" s="74">
        <v>-5.4513361933580193E-7</v>
      </c>
      <c r="D110" s="69">
        <v>9.1840288866342185E-2</v>
      </c>
      <c r="E110" s="75">
        <v>0.22481620513253517</v>
      </c>
      <c r="F110" s="7">
        <f>MAX((1-Parameters!$B$4)^Parameters!B$65*F109 + C109*Parameters!B$65 - IF(C109&gt;0,Parameters!$B$5,0)*C109^2/F109*Parameters!B$65, 0.0001)</f>
        <v>1.2016017411296926E-3</v>
      </c>
      <c r="G110" s="7">
        <f>(1-Parameters!$B$4)^Parameters!B$65*G109+D109*Parameters!B$65-Parameters!$B$5*D109^2/G109*Parameters!B$65</f>
        <v>1.3606103387576978</v>
      </c>
      <c r="H110" s="7">
        <f>(1-Parameters!$B$4)^Parameters!B$65*H109+E109*Parameters!B$65-Parameters!$B$5*E109^2/H109*Parameters!B$65</f>
        <v>3.318506081481813</v>
      </c>
      <c r="I110" s="9">
        <f>I109 *(1-Parameters!$B$4)-C109*(C109&lt;0)*Parameters!B$65</f>
        <v>4.7144241035050224E-5</v>
      </c>
      <c r="J110" s="23">
        <f>J109*(1+Parameters!$B$51)^Parameters!B$65</f>
        <v>11.091724601228885</v>
      </c>
      <c r="K110" s="23">
        <f>K109*(1+Parameters!$B$53)^Parameters!B$65</f>
        <v>73.619773586725103</v>
      </c>
      <c r="L110" s="23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0.2799039988755152</v>
      </c>
      <c r="M110" s="8">
        <f>M109+L110*Parameters!B$65</f>
        <v>3201.3971358650128</v>
      </c>
      <c r="N110" s="7">
        <f>M110*Parameters!$B$45</f>
        <v>1.9208382815190075</v>
      </c>
      <c r="O110" s="9">
        <f>EXP(-Parameters!$B$46/2*N110^2)</f>
        <v>0.96359839100012545</v>
      </c>
      <c r="P110" s="8">
        <f>MAX((Parameters!$B$62 + Parameters!$B$31*'6states'!A110 - '6states'!M110 + Parameters!$B$47/Parameters!$B$45)/Parameters!B$62,1)</f>
        <v>95.756057282699771</v>
      </c>
      <c r="Q110" s="8"/>
      <c r="R110" s="8"/>
      <c r="S110" s="7">
        <f>Parameters!B$61*EXP(-Parameters!B$60*A110)+(1-Parameters!B$61)*P110^-Parameters!B$63</f>
        <v>0.34542692586528589</v>
      </c>
      <c r="T110" s="7">
        <f>1-S110/Parameters!$B$12</f>
        <v>0.827286537067357</v>
      </c>
      <c r="U110" s="7">
        <f t="shared" si="37"/>
        <v>5.7899365979940587</v>
      </c>
      <c r="V110" s="7">
        <f>(Parameters!$B$19*(F110+Parameters!$B$20)^T110+Parameters!$B$18*G110^T110)^(1/T110)</f>
        <v>0.3392867313087678</v>
      </c>
      <c r="W110" s="7">
        <f>(Parameters!$B$10*H110^Parameters!$B$9+Parameters!$B$11*V110^Parameters!$B$9)^(Parameters!$B$7/Parameters!$B$9)*O110</f>
        <v>1.3444283292990356</v>
      </c>
      <c r="X110" s="7">
        <f>W110 - D110 - E110 - LN(1+EXP(Parameters!$B$21*C110))/Parameters!$B$21 - IF(C110&gt;0, 0,Parameters!$B$6*C110^2/F110)</f>
        <v>1.025461616017397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-0.57145023385575322</v>
      </c>
      <c r="AC110" s="23">
        <f t="shared" si="38"/>
        <v>3.8496584868556109E-2</v>
      </c>
      <c r="AD110" s="23">
        <f t="shared" si="39"/>
        <v>0.9811922387553762</v>
      </c>
      <c r="AE110" s="23">
        <f t="shared" si="40"/>
        <v>1111.0339296814345</v>
      </c>
      <c r="AF110" s="23">
        <f t="shared" si="41"/>
        <v>277.05145230553734</v>
      </c>
      <c r="AG110" s="23">
        <f t="shared" si="42"/>
        <v>702.2197740232848</v>
      </c>
      <c r="AH110" s="23">
        <f t="shared" si="43"/>
        <v>1097.820182110315</v>
      </c>
      <c r="AI110" s="23">
        <f t="shared" si="44"/>
        <v>837.36145208299604</v>
      </c>
      <c r="AJ110" s="23"/>
      <c r="AK110" s="25">
        <f t="shared" si="35"/>
        <v>1097.820182110315</v>
      </c>
      <c r="AL110" s="4"/>
      <c r="AM110" s="4"/>
      <c r="AN110" s="4"/>
      <c r="AO110" s="16"/>
      <c r="AP110" s="16"/>
      <c r="AS110" s="21">
        <f>-Y110*W110*X110^(-Parameters!B$52)*Parameters!B$46*Parameters!B$45*N110</f>
        <v>-6.0743920098186234E-6</v>
      </c>
      <c r="AT110" s="7">
        <f>1000*EXP(-(Parameters!$B$54)*'6states'!A110)*AK110*Parameters!B$46*Parameters!B$45*N110</f>
        <v>0.61593271403232497</v>
      </c>
      <c r="AZ110" s="5"/>
      <c r="BA110" s="5"/>
      <c r="BB110" s="5"/>
      <c r="BE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-0.3922167379079457</v>
      </c>
      <c r="BF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-320.272521229387</v>
      </c>
      <c r="BG110" s="7">
        <f t="shared" si="52"/>
        <v>3.7753267444612E-2</v>
      </c>
    </row>
    <row r="111" spans="1:73" x14ac:dyDescent="0.25">
      <c r="A111">
        <f>A110+Parameters!$B$65</f>
        <v>107</v>
      </c>
      <c r="B111">
        <v>2132</v>
      </c>
      <c r="C111" s="74">
        <v>-5.4513361933580193E-7</v>
      </c>
      <c r="D111" s="69">
        <v>9.1840288866342185E-2</v>
      </c>
      <c r="E111" s="75">
        <v>0.22481620513253517</v>
      </c>
      <c r="F111" s="7">
        <f>MAX((1-Parameters!$B$4)^Parameters!B$65*F110 + C110*Parameters!B$65 - IF(C110&gt;0,Parameters!$B$5,0)*C110^2/F110*Parameters!B$65, 0.0001)</f>
        <v>1.1254758579932992E-3</v>
      </c>
      <c r="G111" s="7">
        <f>(1-Parameters!$B$4)^Parameters!B$65*G110+D110*Parameters!B$65-Parameters!$B$5*D110^2/G110*Parameters!B$65</f>
        <v>1.3606690791745819</v>
      </c>
      <c r="H111" s="7">
        <f>(1-Parameters!$B$4)^Parameters!B$65*H110+E110*Parameters!B$65-Parameters!$B$5*E110^2/H110*Parameters!B$65</f>
        <v>3.319357808566612</v>
      </c>
      <c r="I111" s="9">
        <f>I110 *(1-Parameters!$B$4)-C110*(C110&lt;0)*Parameters!B$65</f>
        <v>4.472400189328137E-5</v>
      </c>
      <c r="J111" s="23">
        <f>J110*(1+Parameters!$B$51)^Parameters!B$65</f>
        <v>11.123890602572446</v>
      </c>
      <c r="K111" s="23">
        <f>K110*(1+Parameters!$B$53)^Parameters!B$65</f>
        <v>75.092169058459604</v>
      </c>
      <c r="L111" s="23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0.26533958224209497</v>
      </c>
      <c r="M111" s="8">
        <f>M110+L111*Parameters!B$65</f>
        <v>3201.662475447255</v>
      </c>
      <c r="N111" s="7">
        <f>M111*Parameters!$B$45</f>
        <v>1.9209974852683529</v>
      </c>
      <c r="O111" s="9">
        <f>EXP(-Parameters!$B$46/2*N111^2)</f>
        <v>0.96359246784809383</v>
      </c>
      <c r="P111" s="8">
        <f>MAX((Parameters!$B$62 + Parameters!$B$31*'6states'!A111 - '6states'!M111 + Parameters!$B$47/Parameters!$B$45)/Parameters!B$62,1)</f>
        <v>96.814750491054909</v>
      </c>
      <c r="Q111" s="8"/>
      <c r="R111" s="8"/>
      <c r="S111" s="7">
        <f>Parameters!B$61*EXP(-Parameters!B$60*A111)+(1-Parameters!B$61)*P111^-Parameters!B$63</f>
        <v>0.34431746564015303</v>
      </c>
      <c r="T111" s="7">
        <f>1-S111/Parameters!$B$12</f>
        <v>0.82784126717992346</v>
      </c>
      <c r="U111" s="7">
        <f t="shared" si="37"/>
        <v>5.8085929398951963</v>
      </c>
      <c r="V111" s="7">
        <f>(Parameters!$B$19*(F111+Parameters!$B$20)^T111+Parameters!$B$18*G111^T111)^(1/T111)</f>
        <v>0.33947610044208465</v>
      </c>
      <c r="W111" s="7">
        <f>(Parameters!$B$10*H111^Parameters!$B$9+Parameters!$B$11*V111^Parameters!$B$9)^(Parameters!$B$7/Parameters!$B$9)*O111</f>
        <v>1.3445600903463775</v>
      </c>
      <c r="X111" s="7">
        <f>W111 - D111 - E111 - LN(1+EXP(Parameters!$B$21*C111))/Parameters!$B$21 - IF(C111&gt;0, 0,Parameters!$B$6*C111^2/F111)</f>
        <v>1.0255933769810994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-0.56286084530564628</v>
      </c>
      <c r="AC111" s="23">
        <f t="shared" si="38"/>
        <v>3.7358722386372695E-2</v>
      </c>
      <c r="AD111" s="23">
        <f t="shared" si="39"/>
        <v>0.94012920023716984</v>
      </c>
      <c r="AE111" s="23">
        <f t="shared" si="40"/>
        <v>1136.5901135122015</v>
      </c>
      <c r="AF111" s="23">
        <f t="shared" si="41"/>
        <v>283.57018281786219</v>
      </c>
      <c r="AG111" s="23">
        <f t="shared" si="42"/>
        <v>718.7422698600335</v>
      </c>
      <c r="AH111" s="23">
        <f t="shared" si="43"/>
        <v>1123.134000103699</v>
      </c>
      <c r="AI111" s="23">
        <f t="shared" si="44"/>
        <v>856.69565848254729</v>
      </c>
      <c r="AJ111" s="23"/>
      <c r="AK111" s="25">
        <f t="shared" si="35"/>
        <v>1123.1340001036988</v>
      </c>
      <c r="AL111" s="4"/>
      <c r="AM111" s="4"/>
      <c r="AN111" s="4"/>
      <c r="AO111" s="16"/>
      <c r="AP111" s="16"/>
      <c r="AS111" s="21">
        <f>-Y111*W111*X111^(-Parameters!B$52)*Parameters!B$46*Parameters!B$45*N111</f>
        <v>-5.9834021848500929E-6</v>
      </c>
      <c r="AT111" s="7">
        <f>1000*EXP(-(Parameters!$B$54)*'6states'!A111)*AK111*Parameters!B$46*Parameters!B$45*N111</f>
        <v>0.60845139772149137</v>
      </c>
      <c r="AZ111" s="5"/>
      <c r="BA111" s="5"/>
      <c r="BB111" s="5"/>
      <c r="BE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-0.38030692924578968</v>
      </c>
      <c r="BF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-317.67687125157937</v>
      </c>
      <c r="BG111" s="7">
        <f t="shared" si="52"/>
        <v>3.8219114038875512E-2</v>
      </c>
    </row>
    <row r="112" spans="1:73" x14ac:dyDescent="0.25">
      <c r="A112">
        <f>A111+Parameters!$B$65</f>
        <v>108</v>
      </c>
      <c r="B112">
        <v>2133</v>
      </c>
      <c r="C112" s="74">
        <v>-5.4513361933580193E-7</v>
      </c>
      <c r="D112" s="69">
        <v>9.1840288866342185E-2</v>
      </c>
      <c r="E112" s="75">
        <v>0.22481620513253517</v>
      </c>
      <c r="F112" s="7">
        <f>MAX((1-Parameters!$B$4)^Parameters!B$65*F111 + C111*Parameters!B$65 - IF(C111&gt;0,Parameters!$B$5,0)*C111^2/F111*Parameters!B$65, 0.0001)</f>
        <v>1.0541382929061848E-3</v>
      </c>
      <c r="G112" s="7">
        <f>(1-Parameters!$B$4)^Parameters!B$65*G111+D111*Parameters!B$65-Parameters!$B$5*D111^2/G111*Parameters!B$65</f>
        <v>1.3607243924384171</v>
      </c>
      <c r="H112" s="7">
        <f>(1-Parameters!$B$4)^Parameters!B$65*H111+E111*Parameters!B$65-Parameters!$B$5*E111^2/H111*Parameters!B$65</f>
        <v>3.3201598700577395</v>
      </c>
      <c r="I112" s="9">
        <f>I111 *(1-Parameters!$B$4)-C111*(C111&lt;0)*Parameters!B$65</f>
        <v>4.2455995793529773E-5</v>
      </c>
      <c r="J112" s="23">
        <f>J111*(1+Parameters!$B$51)^Parameters!B$65</f>
        <v>11.156149885319905</v>
      </c>
      <c r="K112" s="23">
        <f>K111*(1+Parameters!$B$53)^Parameters!B$65</f>
        <v>76.594012439628798</v>
      </c>
      <c r="L112" s="23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0.25151680812520516</v>
      </c>
      <c r="M112" s="8">
        <f>M111+L112*Parameters!B$65</f>
        <v>3201.9139922553804</v>
      </c>
      <c r="N112" s="7">
        <f>M112*Parameters!$B$45</f>
        <v>1.921148395353228</v>
      </c>
      <c r="O112" s="9">
        <f>EXP(-Parameters!$B$46/2*N112^2)</f>
        <v>0.96358685284103329</v>
      </c>
      <c r="P112" s="8">
        <f>MAX((Parameters!$B$62 + Parameters!$B$31*'6states'!A112 - '6states'!M112 + Parameters!$B$47/Parameters!$B$45)/Parameters!B$62,1)</f>
        <v>97.873720154892396</v>
      </c>
      <c r="Q112" s="8"/>
      <c r="R112" s="8"/>
      <c r="S112" s="7">
        <f>Parameters!B$61*EXP(-Parameters!B$60*A112)+(1-Parameters!B$61)*P112^-Parameters!B$63</f>
        <v>0.34323235859695628</v>
      </c>
      <c r="T112" s="7">
        <f>1-S112/Parameters!$B$12</f>
        <v>0.82838382070152183</v>
      </c>
      <c r="U112" s="7">
        <f t="shared" si="37"/>
        <v>5.8269564331739421</v>
      </c>
      <c r="V112" s="7">
        <f>(Parameters!$B$19*(F112+Parameters!$B$20)^T112+Parameters!$B$18*G112^T112)^(1/T112)</f>
        <v>0.3396649203705765</v>
      </c>
      <c r="W112" s="7">
        <f>(Parameters!$B$10*H112^Parameters!$B$9+Parameters!$B$11*V112^Parameters!$B$9)^(Parameters!$B$7/Parameters!$B$9)*O112</f>
        <v>1.3446877875867336</v>
      </c>
      <c r="X112" s="7">
        <f>W112 - D112 - E112 - LN(1+EXP(Parameters!$B$21*C112))/Parameters!$B$21 - IF(C112&gt;0, 0,Parameters!$B$6*C112^2/F112)</f>
        <v>1.0257210741321126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-0.55440133462478836</v>
      </c>
      <c r="AC112" s="23">
        <f t="shared" si="38"/>
        <v>3.6278405688657721E-2</v>
      </c>
      <c r="AD112" s="23">
        <f t="shared" si="39"/>
        <v>0.90075514487938968</v>
      </c>
      <c r="AE112" s="23">
        <f t="shared" si="40"/>
        <v>1162.7312142059409</v>
      </c>
      <c r="AF112" s="23">
        <f t="shared" si="41"/>
        <v>290.24173262442531</v>
      </c>
      <c r="AG112" s="23">
        <f t="shared" si="42"/>
        <v>735.65210432783226</v>
      </c>
      <c r="AH112" s="23">
        <f t="shared" si="43"/>
        <v>1149.0280270399307</v>
      </c>
      <c r="AI112" s="23">
        <f t="shared" si="44"/>
        <v>876.47279389549772</v>
      </c>
      <c r="AJ112" s="23"/>
      <c r="AK112" s="25">
        <f t="shared" si="35"/>
        <v>1149.0280270399307</v>
      </c>
      <c r="AL112" s="4"/>
      <c r="AM112" s="4"/>
      <c r="AN112" s="4"/>
      <c r="AO112" s="16"/>
      <c r="AP112" s="16"/>
      <c r="AS112" s="21">
        <f>-Y112*W112*X112^(-Parameters!B$52)*Parameters!B$46*Parameters!B$45*N112</f>
        <v>-5.8937636213015525E-6</v>
      </c>
      <c r="AT112" s="7">
        <f>1000*EXP(-(Parameters!$B$54)*'6states'!A112)*AK112*Parameters!B$46*Parameters!B$45*N112</f>
        <v>0.60105653072351917</v>
      </c>
      <c r="AZ112" s="5"/>
      <c r="BA112" s="5"/>
      <c r="BB112" s="5"/>
      <c r="BE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-0.36824329917032395</v>
      </c>
      <c r="BF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-314.66179392892013</v>
      </c>
      <c r="BG112" s="7">
        <f t="shared" si="52"/>
        <v>3.8716229175214771E-2</v>
      </c>
    </row>
    <row r="113" spans="1:59" x14ac:dyDescent="0.25">
      <c r="A113">
        <f>A112+Parameters!$B$65</f>
        <v>109</v>
      </c>
      <c r="B113">
        <v>2134</v>
      </c>
      <c r="C113" s="74">
        <v>-5.4513361933580193E-7</v>
      </c>
      <c r="D113" s="69">
        <v>9.1840288866342185E-2</v>
      </c>
      <c r="E113" s="75">
        <v>0.22481620513253517</v>
      </c>
      <c r="F113" s="7">
        <f>MAX((1-Parameters!$B$4)^Parameters!B$65*F112 + C112*Parameters!B$65 - IF(C112&gt;0,Parameters!$B$5,0)*C112^2/F112*Parameters!B$65, 0.0001)</f>
        <v>9.8728786066305005E-4</v>
      </c>
      <c r="G113" s="7">
        <f>(1-Parameters!$B$4)^Parameters!B$65*G112+D112*Parameters!B$65-Parameters!$B$5*D112^2/G112*Parameters!B$65</f>
        <v>1.3607764784820242</v>
      </c>
      <c r="H113" s="7">
        <f>(1-Parameters!$B$4)^Parameters!B$65*H112+E112*Parameters!B$65-Parameters!$B$5*E112^2/H112*Parameters!B$65</f>
        <v>3.3209151602037568</v>
      </c>
      <c r="I113" s="9">
        <f>I112 *(1-Parameters!$B$4)-C112*(C112&lt;0)*Parameters!B$65</f>
        <v>4.0330647277452552E-5</v>
      </c>
      <c r="J113" s="23">
        <f>J112*(1+Parameters!$B$51)^Parameters!B$65</f>
        <v>11.188502719987332</v>
      </c>
      <c r="K113" s="23">
        <f>K112*(1+Parameters!$B$53)^Parameters!B$65</f>
        <v>78.125892688421374</v>
      </c>
      <c r="L113" s="23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0.23839813409133132</v>
      </c>
      <c r="M113" s="8">
        <f>M112+L113*Parameters!B$65</f>
        <v>3202.1523903894717</v>
      </c>
      <c r="N113" s="7">
        <f>M113*Parameters!$B$45</f>
        <v>1.9212914342336829</v>
      </c>
      <c r="O113" s="9">
        <f>EXP(-Parameters!$B$46/2*N113^2)</f>
        <v>0.96358153032588811</v>
      </c>
      <c r="P113" s="8">
        <f>MAX((Parameters!$B$62 + Parameters!$B$31*'6states'!A113 - '6states'!M113 + Parameters!$B$47/Parameters!$B$45)/Parameters!B$62,1)</f>
        <v>98.932952192210578</v>
      </c>
      <c r="Q113" s="8"/>
      <c r="R113" s="8"/>
      <c r="S113" s="7">
        <f>Parameters!B$61*EXP(-Parameters!B$60*A113)+(1-Parameters!B$61)*P113^-Parameters!B$63</f>
        <v>0.34217097815690217</v>
      </c>
      <c r="T113" s="7">
        <f>1-S113/Parameters!$B$12</f>
        <v>0.82891451092154889</v>
      </c>
      <c r="U113" s="7">
        <f t="shared" si="37"/>
        <v>5.8450310741517697</v>
      </c>
      <c r="V113" s="7">
        <f>(Parameters!$B$19*(F113+Parameters!$B$20)^T113+Parameters!$B$18*G113^T113)^(1/T113)</f>
        <v>0.33985299192552632</v>
      </c>
      <c r="W113" s="7">
        <f>(Parameters!$B$10*H113^Parameters!$B$9+Parameters!$B$11*V113^Parameters!$B$9)^(Parameters!$B$7/Parameters!$B$9)*O113</f>
        <v>1.3448115726345529</v>
      </c>
      <c r="X113" s="7">
        <f>W113 - D113 - E113 - LN(1+EXP(Parameters!$B$21*C113))/Parameters!$B$21 - IF(C113&gt;0, 0,Parameters!$B$6*C113^2/F113)</f>
        <v>1.0258448590844902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-0.54606969790279658</v>
      </c>
      <c r="AC113" s="23">
        <f t="shared" si="38"/>
        <v>3.5253493188407869E-2</v>
      </c>
      <c r="AD113" s="23">
        <f t="shared" si="39"/>
        <v>0.86299993232047767</v>
      </c>
      <c r="AE113" s="23">
        <f t="shared" si="40"/>
        <v>1189.4707264450776</v>
      </c>
      <c r="AF113" s="23">
        <f t="shared" si="41"/>
        <v>297.06949788045512</v>
      </c>
      <c r="AG113" s="23">
        <f t="shared" si="42"/>
        <v>752.95788538501188</v>
      </c>
      <c r="AH113" s="23">
        <f t="shared" si="43"/>
        <v>1175.5156144510765</v>
      </c>
      <c r="AI113" s="23">
        <f t="shared" si="44"/>
        <v>896.70305818068698</v>
      </c>
      <c r="AJ113" s="23"/>
      <c r="AK113" s="25">
        <f t="shared" si="35"/>
        <v>1175.5156144510765</v>
      </c>
      <c r="AL113" s="4"/>
      <c r="AM113" s="4"/>
      <c r="AN113" s="4"/>
      <c r="AO113" s="16"/>
      <c r="AP113" s="16"/>
      <c r="AS113" s="21">
        <f>-Y113*W113*X113^(-Parameters!B$52)*Parameters!B$46*Parameters!B$45*N113</f>
        <v>-5.8054572008146419E-6</v>
      </c>
      <c r="AT113" s="7">
        <f>1000*EXP(-(Parameters!$B$54)*'6states'!A113)*AK113*Parameters!B$46*Parameters!B$45*N113</f>
        <v>0.59374736910657877</v>
      </c>
      <c r="AZ113" s="5"/>
      <c r="BA113" s="5"/>
      <c r="BB113" s="5"/>
      <c r="BE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-0.3560304748499441</v>
      </c>
      <c r="BF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-311.21042599792651</v>
      </c>
      <c r="BG113" s="7">
        <f t="shared" si="52"/>
        <v>3.924671165983673E-2</v>
      </c>
    </row>
    <row r="114" spans="1:59" x14ac:dyDescent="0.25">
      <c r="A114">
        <f>A113+Parameters!$B$65</f>
        <v>110</v>
      </c>
      <c r="B114">
        <v>2135</v>
      </c>
      <c r="C114" s="74">
        <v>-5.4513361933580193E-7</v>
      </c>
      <c r="D114" s="69">
        <v>9.1840288866342185E-2</v>
      </c>
      <c r="E114" s="75">
        <v>0.22481620513253517</v>
      </c>
      <c r="F114" s="7">
        <f>MAX((1-Parameters!$B$4)^Parameters!B$65*F113 + C113*Parameters!B$65 - IF(C113&gt;0,Parameters!$B$5,0)*C113^2/F113*Parameters!B$65, 0.0001)</f>
        <v>9.246423206080085E-4</v>
      </c>
      <c r="G114" s="7">
        <f>(1-Parameters!$B$4)^Parameters!B$65*G113+D113*Parameters!B$65-Parameters!$B$5*D113^2/G113*Parameters!B$65</f>
        <v>1.3608255255769646</v>
      </c>
      <c r="H114" s="7">
        <f>(1-Parameters!$B$4)^Parameters!B$65*H113+E113*Parameters!B$65-Parameters!$B$5*E113^2/H113*Parameters!B$65</f>
        <v>3.321626404800508</v>
      </c>
      <c r="I114" s="9">
        <f>I113 *(1-Parameters!$B$4)-C113*(C113&lt;0)*Parameters!B$65</f>
        <v>3.833898318303659E-5</v>
      </c>
      <c r="J114" s="23">
        <f>J113*(1+Parameters!$B$51)^Parameters!B$65</f>
        <v>11.220949377875295</v>
      </c>
      <c r="K114" s="23">
        <f>K113*(1+Parameters!$B$53)^Parameters!B$65</f>
        <v>79.6884105421898</v>
      </c>
      <c r="L114" s="23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0.22594793900658341</v>
      </c>
      <c r="M114" s="8">
        <f>M113+L114*Parameters!B$65</f>
        <v>3202.3783383284785</v>
      </c>
      <c r="N114" s="7">
        <f>M114*Parameters!$B$45</f>
        <v>1.921427002997087</v>
      </c>
      <c r="O114" s="9">
        <f>EXP(-Parameters!$B$46/2*N114^2)</f>
        <v>0.96357648543717334</v>
      </c>
      <c r="P114" s="8">
        <f>MAX((Parameters!$B$62 + Parameters!$B$31*'6states'!A114 - '6states'!M114 + Parameters!$B$47/Parameters!$B$45)/Parameters!B$62,1)</f>
        <v>99.992433233430418</v>
      </c>
      <c r="Q114" s="8"/>
      <c r="R114" s="8"/>
      <c r="S114" s="7">
        <f>Parameters!B$61*EXP(-Parameters!B$60*A114)+(1-Parameters!B$61)*P114^-Parameters!B$63</f>
        <v>0.34113271465887868</v>
      </c>
      <c r="T114" s="7">
        <f>1-S114/Parameters!$B$12</f>
        <v>0.82943364267056063</v>
      </c>
      <c r="U114" s="7">
        <f t="shared" si="37"/>
        <v>5.8628208731019331</v>
      </c>
      <c r="V114" s="7">
        <f>(Parameters!$B$19*(F114+Parameters!$B$20)^T114+Parameters!$B$18*G114^T114)^(1/T114)</f>
        <v>0.34004013436804859</v>
      </c>
      <c r="W114" s="7">
        <f>(Parameters!$B$10*H114^Parameters!$B$9+Parameters!$B$11*V114^Parameters!$B$9)^(Parameters!$B$7/Parameters!$B$9)*O114</f>
        <v>1.34493159076234</v>
      </c>
      <c r="X114" s="7">
        <f>W114 - D114 - E114 - LN(1+EXP(Parameters!$B$21*C114))/Parameters!$B$21 - IF(C114&gt;0, 0,Parameters!$B$6*C114^2/F114)</f>
        <v>1.0259648771103129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-0.53786396434773076</v>
      </c>
      <c r="AC114" s="23">
        <f t="shared" si="38"/>
        <v>3.4281937440526128E-2</v>
      </c>
      <c r="AD114" s="23">
        <f t="shared" si="39"/>
        <v>0.82679631952189936</v>
      </c>
      <c r="AE114" s="23">
        <f t="shared" si="40"/>
        <v>1216.8224522955538</v>
      </c>
      <c r="AF114" s="23">
        <f t="shared" si="41"/>
        <v>304.05695837106555</v>
      </c>
      <c r="AG114" s="23">
        <f t="shared" si="42"/>
        <v>770.66843295977014</v>
      </c>
      <c r="AH114" s="23">
        <f t="shared" si="43"/>
        <v>1202.6104196916258</v>
      </c>
      <c r="AI114" s="23">
        <f t="shared" si="44"/>
        <v>917.39688466320615</v>
      </c>
      <c r="AJ114" s="23"/>
      <c r="AK114" s="25">
        <f t="shared" si="35"/>
        <v>1202.610419691626</v>
      </c>
      <c r="AL114" s="4"/>
      <c r="AM114" s="4"/>
      <c r="AN114" s="4"/>
      <c r="AO114" s="16"/>
      <c r="AP114" s="16"/>
      <c r="AS114" s="21">
        <f>-Y114*W114*X114^(-Parameters!B$52)*Parameters!B$46*Parameters!B$45*N114</f>
        <v>-5.718464005876332E-6</v>
      </c>
      <c r="AT114" s="7">
        <f>1000*EXP(-(Parameters!$B$54)*'6states'!A114)*AK114*Parameters!B$46*Parameters!B$45*N114</f>
        <v>0.58652315945681976</v>
      </c>
      <c r="AZ114" s="5"/>
      <c r="BA114" s="5"/>
      <c r="BB114" s="5"/>
      <c r="BE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-0.3436747827685131</v>
      </c>
      <c r="BF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-307.30698689916079</v>
      </c>
      <c r="BG114" s="7">
        <f t="shared" si="52"/>
        <v>3.9812801174959958E-2</v>
      </c>
    </row>
    <row r="115" spans="1:59" x14ac:dyDescent="0.25">
      <c r="A115">
        <f>A114+Parameters!$B$65</f>
        <v>111</v>
      </c>
      <c r="B115">
        <v>2136</v>
      </c>
      <c r="C115" s="74">
        <v>-5.4513361933580193E-7</v>
      </c>
      <c r="D115" s="69">
        <v>9.1840288866342185E-2</v>
      </c>
      <c r="E115" s="75">
        <v>0.22481620513253517</v>
      </c>
      <c r="F115" s="7">
        <f>MAX((1-Parameters!$B$4)^Parameters!B$65*F114 + C114*Parameters!B$65 - IF(C114&gt;0,Parameters!$B$5,0)*C114^2/F114*Parameters!B$65, 0.0001)</f>
        <v>8.6593718502242902E-4</v>
      </c>
      <c r="G115" s="7">
        <f>(1-Parameters!$B$4)^Parameters!B$65*G114+D114*Parameters!B$65-Parameters!$B$5*D114^2/G114*Parameters!B$65</f>
        <v>1.3608717110134201</v>
      </c>
      <c r="H115" s="7">
        <f>(1-Parameters!$B$4)^Parameters!B$65*H114+E114*Parameters!B$65-Parameters!$B$5*E114^2/H114*Parameters!B$65</f>
        <v>3.3222961709716503</v>
      </c>
      <c r="I115" s="9">
        <f>I114 *(1-Parameters!$B$4)-C114*(C114&lt;0)*Parameters!B$65</f>
        <v>3.6472594760159389E-5</v>
      </c>
      <c r="J115" s="23">
        <f>J114*(1+Parameters!$B$51)^Parameters!B$65</f>
        <v>11.253490131071132</v>
      </c>
      <c r="K115" s="23">
        <f>K114*(1+Parameters!$B$53)^Parameters!B$65</f>
        <v>81.282178753033591</v>
      </c>
      <c r="L115" s="23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0.21413242453733564</v>
      </c>
      <c r="M115" s="8">
        <f>M114+L115*Parameters!B$65</f>
        <v>3202.5924707530157</v>
      </c>
      <c r="N115" s="7">
        <f>M115*Parameters!$B$45</f>
        <v>1.9215554824518093</v>
      </c>
      <c r="O115" s="9">
        <f>EXP(-Parameters!$B$46/2*N115^2)</f>
        <v>0.96357170405709924</v>
      </c>
      <c r="P115" s="8">
        <f>MAX((Parameters!$B$62 + Parameters!$B$31*'6states'!A115 - '6states'!M115 + Parameters!$B$47/Parameters!$B$45)/Parameters!B$62,1)</f>
        <v>101.0521505849397</v>
      </c>
      <c r="Q115" s="8"/>
      <c r="R115" s="8"/>
      <c r="S115" s="7">
        <f>Parameters!B$61*EXP(-Parameters!B$60*A115)+(1-Parameters!B$61)*P115^-Parameters!B$63</f>
        <v>0.34011697488550297</v>
      </c>
      <c r="T115" s="7">
        <f>1-S115/Parameters!$B$12</f>
        <v>0.82994151255724846</v>
      </c>
      <c r="U115" s="7">
        <f t="shared" si="37"/>
        <v>5.8803298502618979</v>
      </c>
      <c r="V115" s="7">
        <f>(Parameters!$B$19*(F115+Parameters!$B$20)^T115+Parameters!$B$18*G115^T115)^(1/T115)</f>
        <v>0.34022618410947164</v>
      </c>
      <c r="W115" s="7">
        <f>(Parameters!$B$10*H115^Parameters!$B$9+Parameters!$B$11*V115^Parameters!$B$9)^(Parameters!$B$7/Parameters!$B$9)*O115</f>
        <v>1.3450479812358176</v>
      </c>
      <c r="X115" s="7">
        <f>W115 - D115 - E115 - LN(1+EXP(Parameters!$B$21*C115))/Parameters!$B$21 - IF(C115&gt;0, 0,Parameters!$B$6*C115^2/F115)</f>
        <v>1.0260812674748494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-0.52978219560509709</v>
      </c>
      <c r="AC115" s="23">
        <f t="shared" si="38"/>
        <v>3.3361781372159331E-2</v>
      </c>
      <c r="AD115" s="23">
        <f t="shared" si="39"/>
        <v>0.79207984073286453</v>
      </c>
      <c r="AE115" s="23">
        <f t="shared" si="40"/>
        <v>1244.8005083526366</v>
      </c>
      <c r="AF115" s="23">
        <f t="shared" si="41"/>
        <v>311.20767924477167</v>
      </c>
      <c r="AG115" s="23">
        <f t="shared" si="42"/>
        <v>788.79278334397179</v>
      </c>
      <c r="AH115" s="23">
        <f t="shared" si="43"/>
        <v>1230.3264130269824</v>
      </c>
      <c r="AI115" s="23">
        <f t="shared" si="44"/>
        <v>938.56494556173084</v>
      </c>
      <c r="AJ115" s="23"/>
      <c r="AK115" s="25">
        <f t="shared" si="35"/>
        <v>1230.3264130269824</v>
      </c>
      <c r="AL115" s="4"/>
      <c r="AM115" s="4"/>
      <c r="AN115" s="4"/>
      <c r="AO115" s="16"/>
      <c r="AP115" s="16"/>
      <c r="AS115" s="21">
        <f>-Y115*W115*X115^(-Parameters!B$52)*Parameters!B$46*Parameters!B$45*N115</f>
        <v>-5.6327653227262857E-6</v>
      </c>
      <c r="AT115" s="7">
        <f>1000*EXP(-(Parameters!$B$54)*'6states'!A115)*AK115*Parameters!B$46*Parameters!B$45*N115</f>
        <v>0.57938314012642922</v>
      </c>
      <c r="AZ115" s="5"/>
      <c r="BA115" s="5"/>
      <c r="BB115" s="5"/>
      <c r="BE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-0.33118440210661754</v>
      </c>
      <c r="BF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-302.93708713643468</v>
      </c>
      <c r="BG115" s="7">
        <f t="shared" si="52"/>
        <v>4.041688773469021E-2</v>
      </c>
    </row>
    <row r="116" spans="1:59" x14ac:dyDescent="0.25">
      <c r="A116">
        <f>A115+Parameters!$B$65</f>
        <v>112</v>
      </c>
      <c r="B116">
        <v>2137</v>
      </c>
      <c r="C116" s="74">
        <v>-5.4513361933580193E-7</v>
      </c>
      <c r="D116" s="69">
        <v>9.1840288866342185E-2</v>
      </c>
      <c r="E116" s="75">
        <v>0.22481620513253517</v>
      </c>
      <c r="F116" s="7">
        <f>MAX((1-Parameters!$B$4)^Parameters!B$65*F115 + C115*Parameters!B$65 - IF(C115&gt;0,Parameters!$B$5,0)*C115^2/F115*Parameters!B$65, 0.0001)</f>
        <v>8.1092460246518254E-4</v>
      </c>
      <c r="G116" s="7">
        <f>(1-Parameters!$B$4)^Parameters!B$65*G115+D115*Parameters!B$65-Parameters!$B$5*D115^2/G115*Parameters!B$65</f>
        <v>1.360915201740468</v>
      </c>
      <c r="H116" s="7">
        <f>(1-Parameters!$B$4)^Parameters!B$65*H115+E115*Parameters!B$65-Parameters!$B$5*E115^2/H115*Parameters!B$65</f>
        <v>3.3229268763840532</v>
      </c>
      <c r="I116" s="9">
        <f>I115 *(1-Parameters!$B$4)-C115*(C115&lt;0)*Parameters!B$65</f>
        <v>3.4723602169081166E-5</v>
      </c>
      <c r="J116" s="23">
        <f>J115*(1+Parameters!$B$51)^Parameters!B$65</f>
        <v>11.286125252451237</v>
      </c>
      <c r="K116" s="23">
        <f>K115*(1+Parameters!$B$53)^Parameters!B$65</f>
        <v>82.907822328094269</v>
      </c>
      <c r="L116" s="23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0.20291952148494447</v>
      </c>
      <c r="M116" s="8">
        <f>M115+L116*Parameters!B$65</f>
        <v>3202.7953902745007</v>
      </c>
      <c r="N116" s="7">
        <f>M116*Parameters!$B$45</f>
        <v>1.9216772341647004</v>
      </c>
      <c r="O116" s="9">
        <f>EXP(-Parameters!$B$46/2*N116^2)</f>
        <v>0.9635671727777021</v>
      </c>
      <c r="P116" s="8">
        <f>MAX((Parameters!$B$62 + Parameters!$B$31*'6states'!A116 - '6states'!M116 + Parameters!$B$47/Parameters!$B$45)/Parameters!B$62,1)</f>
        <v>102.11209219451001</v>
      </c>
      <c r="Q116" s="8"/>
      <c r="R116" s="8"/>
      <c r="S116" s="7">
        <f>Parameters!B$61*EXP(-Parameters!B$60*A116)+(1-Parameters!B$61)*P116^-Parameters!B$63</f>
        <v>0.3391231816031044</v>
      </c>
      <c r="T116" s="7">
        <f>1-S116/Parameters!$B$12</f>
        <v>0.8304384091984478</v>
      </c>
      <c r="U116" s="7">
        <f t="shared" si="37"/>
        <v>5.8975620320191391</v>
      </c>
      <c r="V116" s="7">
        <f>(Parameters!$B$19*(F116+Parameters!$B$20)^T116+Parameters!$B$18*G116^T116)^(1/T116)</f>
        <v>0.34041099350862486</v>
      </c>
      <c r="W116" s="7">
        <f>(Parameters!$B$10*H116^Parameters!$B$9+Parameters!$B$11*V116^Parameters!$B$9)^(Parameters!$B$7/Parameters!$B$9)*O116</f>
        <v>1.3451608776209893</v>
      </c>
      <c r="X116" s="7">
        <f>W116 - D116 - E116 - LN(1+EXP(Parameters!$B$21*C116))/Parameters!$B$21 - IF(C116&gt;0, 0,Parameters!$B$6*C116^2/F116)</f>
        <v>1.0261941637436163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-0.52182248510081575</v>
      </c>
      <c r="AC116" s="23">
        <f t="shared" si="38"/>
        <v>3.2491154671951461E-2</v>
      </c>
      <c r="AD116" s="23">
        <f t="shared" si="39"/>
        <v>0.75878869241993152</v>
      </c>
      <c r="AE116" s="23">
        <f t="shared" si="40"/>
        <v>1273.4193330475434</v>
      </c>
      <c r="AF116" s="23">
        <f t="shared" si="41"/>
        <v>318.52531279055563</v>
      </c>
      <c r="AG116" s="23">
        <f t="shared" si="42"/>
        <v>807.34019369733346</v>
      </c>
      <c r="AH116" s="23">
        <f t="shared" si="43"/>
        <v>1258.6778848756189</v>
      </c>
      <c r="AI116" s="23">
        <f t="shared" si="44"/>
        <v>960.21815753137935</v>
      </c>
      <c r="AJ116" s="23"/>
      <c r="AK116" s="25">
        <f t="shared" si="35"/>
        <v>1258.6778848756189</v>
      </c>
      <c r="AL116" s="4"/>
      <c r="AM116" s="4"/>
      <c r="AN116" s="4"/>
      <c r="AO116" s="16"/>
      <c r="AP116" s="16"/>
      <c r="AS116" s="21">
        <f>-Y116*W116*X116^(-Parameters!B$52)*Parameters!B$46*Parameters!B$45*N116</f>
        <v>-5.5483426438596085E-6</v>
      </c>
      <c r="AT116" s="7">
        <f>1000*EXP(-(Parameters!$B$54)*'6states'!A116)*AK116*Parameters!B$46*Parameters!B$45*N116</f>
        <v>0.57232654239174363</v>
      </c>
      <c r="AZ116" s="5"/>
      <c r="BA116" s="5"/>
      <c r="BB116" s="5"/>
      <c r="BE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-0.31856951681917922</v>
      </c>
      <c r="BF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-298.08806685261851</v>
      </c>
      <c r="BG116" s="7">
        <f t="shared" si="52"/>
        <v>4.106152177559326E-2</v>
      </c>
    </row>
    <row r="117" spans="1:59" x14ac:dyDescent="0.25">
      <c r="A117">
        <f>A116+Parameters!$B$65</f>
        <v>113</v>
      </c>
      <c r="B117">
        <v>2138</v>
      </c>
      <c r="C117" s="74">
        <v>-5.4513361933580193E-7</v>
      </c>
      <c r="D117" s="69">
        <v>9.1840288866342185E-2</v>
      </c>
      <c r="E117" s="75">
        <v>0.22481620513253517</v>
      </c>
      <c r="F117" s="7">
        <f>MAX((1-Parameters!$B$4)^Parameters!B$65*F116 + C116*Parameters!B$65 - IF(C116&gt;0,Parameters!$B$5,0)*C116^2/F116*Parameters!B$65, 0.0001)</f>
        <v>7.5937231135078686E-4</v>
      </c>
      <c r="G117" s="7">
        <f>(1-Parameters!$B$4)^Parameters!B$65*G116+D116*Parameters!B$65-Parameters!$B$5*D116^2/G116*Parameters!B$65</f>
        <v>1.3609561549690501</v>
      </c>
      <c r="H117" s="7">
        <f>(1-Parameters!$B$4)^Parameters!B$65*H116+E116*Parameters!B$65-Parameters!$B$5*E116^2/H116*Parameters!B$65</f>
        <v>3.3235207979304069</v>
      </c>
      <c r="I117" s="9">
        <f>I116 *(1-Parameters!$B$4)-C116*(C116&lt;0)*Parameters!B$65</f>
        <v>3.3084621211981761E-5</v>
      </c>
      <c r="J117" s="23">
        <f>J116*(1+Parameters!$B$51)^Parameters!B$65</f>
        <v>11.318855015683344</v>
      </c>
      <c r="K117" s="23">
        <f>K116*(1+Parameters!$B$53)^Parameters!B$65</f>
        <v>84.565978774656159</v>
      </c>
      <c r="L117" s="23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0.1922788006908763</v>
      </c>
      <c r="M117" s="8">
        <f>M116+L117*Parameters!B$65</f>
        <v>3202.9876690751917</v>
      </c>
      <c r="N117" s="7">
        <f>M117*Parameters!$B$45</f>
        <v>1.9217926014451148</v>
      </c>
      <c r="O117" s="9">
        <f>EXP(-Parameters!$B$46/2*N117^2)</f>
        <v>0.96356287886488923</v>
      </c>
      <c r="P117" s="8">
        <f>MAX((Parameters!$B$62 + Parameters!$B$31*'6states'!A117 - '6states'!M117 + Parameters!$B$47/Parameters!$B$45)/Parameters!B$62,1)</f>
        <v>103.17224661849617</v>
      </c>
      <c r="Q117" s="8"/>
      <c r="R117" s="8"/>
      <c r="S117" s="7">
        <f>Parameters!B$61*EXP(-Parameters!B$60*A117)+(1-Parameters!B$61)*P117^-Parameters!B$63</f>
        <v>0.33815077311519937</v>
      </c>
      <c r="T117" s="7">
        <f>1-S117/Parameters!$B$12</f>
        <v>0.83092461344240032</v>
      </c>
      <c r="U117" s="7">
        <f t="shared" si="37"/>
        <v>5.9145214472676981</v>
      </c>
      <c r="V117" s="7">
        <f>(Parameters!$B$19*(F117+Parameters!$B$20)^T117+Parameters!$B$18*G117^T117)^(1/T117)</f>
        <v>0.34059442974218501</v>
      </c>
      <c r="W117" s="7">
        <f>(Parameters!$B$10*H117^Parameters!$B$9+Parameters!$B$11*V117^Parameters!$B$9)^(Parameters!$B$7/Parameters!$B$9)*O117</f>
        <v>1.3452704080665352</v>
      </c>
      <c r="X117" s="7">
        <f>W117 - D117 - E117 - LN(1+EXP(Parameters!$B$21*C117))/Parameters!$B$21 - IF(C117&gt;0, 0,Parameters!$B$6*C117^2/F117)</f>
        <v>1.0263036940647712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-0.51398295740638889</v>
      </c>
      <c r="AC117" s="23">
        <f t="shared" si="38"/>
        <v>3.1668270331702268E-2</v>
      </c>
      <c r="AD117" s="23">
        <f t="shared" si="39"/>
        <v>0.72686362295594897</v>
      </c>
      <c r="AE117" s="23">
        <f t="shared" si="40"/>
        <v>1302.6936941186862</v>
      </c>
      <c r="AF117" s="23">
        <f t="shared" si="41"/>
        <v>326.01360025972656</v>
      </c>
      <c r="AG117" s="23">
        <f t="shared" si="42"/>
        <v>826.32014666514362</v>
      </c>
      <c r="AH117" s="23">
        <f t="shared" si="43"/>
        <v>1287.6794532095714</v>
      </c>
      <c r="AI117" s="23">
        <f t="shared" si="44"/>
        <v>982.36768732589701</v>
      </c>
      <c r="AJ117" s="23"/>
      <c r="AK117" s="25">
        <f t="shared" si="35"/>
        <v>1287.6794532095714</v>
      </c>
      <c r="AL117" s="4"/>
      <c r="AM117" s="4"/>
      <c r="AN117" s="4"/>
      <c r="AO117" s="16"/>
      <c r="AP117" s="16"/>
      <c r="AS117" s="21">
        <f>-Y117*W117*X117^(-Parameters!B$52)*Parameters!B$46*Parameters!B$45*N117</f>
        <v>-5.4651776701456807E-6</v>
      </c>
      <c r="AT117" s="7">
        <f>1000*EXP(-(Parameters!$B$54)*'6states'!A117)*AK117*Parameters!B$46*Parameters!B$45*N117</f>
        <v>0.56535259152821249</v>
      </c>
      <c r="AZ117" s="5"/>
      <c r="BA117" s="5"/>
      <c r="BB117" s="5"/>
      <c r="BE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-0.30584246321038638</v>
      </c>
      <c r="BF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-292.74936357296332</v>
      </c>
      <c r="BG117" s="7">
        <f t="shared" si="52"/>
        <v>4.1749424924566743E-2</v>
      </c>
    </row>
    <row r="118" spans="1:59" x14ac:dyDescent="0.25">
      <c r="A118">
        <f>A117+Parameters!$B$65</f>
        <v>114</v>
      </c>
      <c r="B118">
        <v>2139</v>
      </c>
      <c r="C118" s="74">
        <v>-5.4513361933580193E-7</v>
      </c>
      <c r="D118" s="69">
        <v>9.1840288866342185E-2</v>
      </c>
      <c r="E118" s="75">
        <v>0.22481620513253517</v>
      </c>
      <c r="F118" s="7">
        <f>MAX((1-Parameters!$B$4)^Parameters!B$65*F117 + C117*Parameters!B$65 - IF(C117&gt;0,Parameters!$B$5,0)*C117^2/F117*Parameters!B$65, 0.0001)</f>
        <v>7.1106265934748659E-4</v>
      </c>
      <c r="G118" s="7">
        <f>(1-Parameters!$B$4)^Parameters!B$65*G117+D117*Parameters!B$65-Parameters!$B$5*D117^2/G117*Parameters!B$65</f>
        <v>1.3609947187398086</v>
      </c>
      <c r="H118" s="7">
        <f>(1-Parameters!$B$4)^Parameters!B$65*H117+E117*Parameters!B$65-Parameters!$B$5*E117^2/H117*Parameters!B$65</f>
        <v>3.3240800799095584</v>
      </c>
      <c r="I118" s="9">
        <f>I117 *(1-Parameters!$B$4)-C117*(C117&lt;0)*Parameters!B$65</f>
        <v>3.1548732157083913E-5</v>
      </c>
      <c r="J118" s="23">
        <f>J117*(1+Parameters!$B$51)^Parameters!B$65</f>
        <v>11.351679695228825</v>
      </c>
      <c r="K118" s="23">
        <f>K117*(1+Parameters!$B$53)^Parameters!B$65</f>
        <v>86.257298350149284</v>
      </c>
      <c r="L118" s="23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0.18218138826270014</v>
      </c>
      <c r="M118" s="8">
        <f>M117+L118*Parameters!B$65</f>
        <v>3203.1698504634542</v>
      </c>
      <c r="N118" s="7">
        <f>M118*Parameters!$B$45</f>
        <v>1.9219019102780723</v>
      </c>
      <c r="O118" s="9">
        <f>EXP(-Parameters!$B$46/2*N118^2)</f>
        <v>0.96355881022430778</v>
      </c>
      <c r="P118" s="8">
        <f>MAX((Parameters!$B$62 + Parameters!$B$31*'6states'!A118 - '6states'!M118 + Parameters!$B$47/Parameters!$B$45)/Parameters!B$62,1)</f>
        <v>104.23260299073092</v>
      </c>
      <c r="Q118" s="8"/>
      <c r="R118" s="8"/>
      <c r="S118" s="7">
        <f>Parameters!B$61*EXP(-Parameters!B$60*A118)+(1-Parameters!B$61)*P118^-Parameters!B$63</f>
        <v>0.33719920282903504</v>
      </c>
      <c r="T118" s="7">
        <f>1-S118/Parameters!$B$12</f>
        <v>0.83140039858548254</v>
      </c>
      <c r="U118" s="7">
        <f t="shared" si="37"/>
        <v>5.9312121239326601</v>
      </c>
      <c r="V118" s="7">
        <f>(Parameters!$B$19*(F118+Parameters!$B$20)^T118+Parameters!$B$18*G118^T118)^(1/T118)</f>
        <v>0.34077637374435338</v>
      </c>
      <c r="W118" s="7">
        <f>(Parameters!$B$10*H118^Parameters!$B$9+Parameters!$B$11*V118^Parameters!$B$9)^(Parameters!$B$7/Parameters!$B$9)*O118</f>
        <v>1.3453766955644968</v>
      </c>
      <c r="X118" s="7">
        <f>W118 - D118 - E118 - LN(1+EXP(Parameters!$B$21*C118))/Parameters!$B$21 - IF(C118&gt;0, 0,Parameters!$B$6*C118^2/F118)</f>
        <v>1.0264099814297953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-0.50626176762471553</v>
      </c>
      <c r="AC118" s="23">
        <f t="shared" si="38"/>
        <v>3.089142133419219E-2</v>
      </c>
      <c r="AD118" s="23">
        <f t="shared" si="39"/>
        <v>0.69624782687130005</v>
      </c>
      <c r="AE118" s="23">
        <f t="shared" si="40"/>
        <v>1332.6386962514284</v>
      </c>
      <c r="AF118" s="23">
        <f t="shared" si="41"/>
        <v>333.67637373380899</v>
      </c>
      <c r="AG118" s="23">
        <f t="shared" si="42"/>
        <v>845.74235511264749</v>
      </c>
      <c r="AH118" s="23">
        <f t="shared" si="43"/>
        <v>1317.3460711179205</v>
      </c>
      <c r="AI118" s="23">
        <f t="shared" si="44"/>
        <v>1005.0249575829208</v>
      </c>
      <c r="AJ118" s="23"/>
      <c r="AK118" s="25">
        <f t="shared" si="35"/>
        <v>1317.3460711179205</v>
      </c>
      <c r="AL118" s="4"/>
      <c r="AM118" s="4"/>
      <c r="AN118" s="4"/>
      <c r="AO118" s="16"/>
      <c r="AP118" s="16"/>
      <c r="AS118" s="21">
        <f>-Y118*W118*X118^(-Parameters!B$52)*Parameters!B$46*Parameters!B$45*N118</f>
        <v>-5.3832523125842905E-6</v>
      </c>
      <c r="AT118" s="7">
        <f>1000*EXP(-(Parameters!$B$54)*'6states'!A118)*AK118*Parameters!B$46*Parameters!B$45*N118</f>
        <v>0.55846050780840129</v>
      </c>
      <c r="AZ118" s="5"/>
      <c r="BA118" s="5"/>
      <c r="BB118" s="5"/>
      <c r="BE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-0.29301786919897566</v>
      </c>
      <c r="BF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-286.91290701646489</v>
      </c>
      <c r="BG118" s="7">
        <f t="shared" si="52"/>
        <v>4.248350148947283E-2</v>
      </c>
    </row>
    <row r="119" spans="1:59" x14ac:dyDescent="0.25">
      <c r="A119">
        <f>A118+Parameters!$B$65</f>
        <v>115</v>
      </c>
      <c r="B119">
        <v>2140</v>
      </c>
      <c r="C119" s="79">
        <v>-4.400547917790389E-7</v>
      </c>
      <c r="D119" s="70">
        <v>9.09499842522348E-2</v>
      </c>
      <c r="E119" s="80">
        <v>0.22597558573341789</v>
      </c>
      <c r="F119" s="7">
        <f>MAX((1-Parameters!$B$4)^Parameters!B$65*F118 + C118*Parameters!B$65 - IF(C118&gt;0,Parameters!$B$5,0)*C118^2/F118*Parameters!B$65, 0.0001)</f>
        <v>6.6579168445519391E-4</v>
      </c>
      <c r="G119" s="7">
        <f>(1-Parameters!$B$4)^Parameters!B$65*G118+D118*Parameters!B$65-Parameters!$B$5*D118^2/G118*Parameters!B$65</f>
        <v>1.3610310324578327</v>
      </c>
      <c r="H119" s="7">
        <f>(1-Parameters!$B$4)^Parameters!B$65*H118+E118*Parameters!B$65-Parameters!$B$5*E118^2/H118*Parameters!B$65</f>
        <v>3.3246067417333895</v>
      </c>
      <c r="I119" s="9">
        <f>I118 *(1-Parameters!$B$4)-C118*(C118&lt;0)*Parameters!B$65</f>
        <v>3.010945052373914E-5</v>
      </c>
      <c r="J119" s="23">
        <f>J118*(1+Parameters!$B$51)^Parameters!B$65</f>
        <v>11.384599566344987</v>
      </c>
      <c r="K119" s="23">
        <f>K118*(1+Parameters!$B$53)^Parameters!B$65</f>
        <v>87.982444317152272</v>
      </c>
      <c r="L119" s="23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0.17259988488543193</v>
      </c>
      <c r="M119" s="8">
        <f>M118+L119*Parameters!B$65</f>
        <v>3203.3424503483398</v>
      </c>
      <c r="N119" s="7">
        <f>M119*Parameters!$B$45</f>
        <v>1.9220054702090037</v>
      </c>
      <c r="O119" s="9">
        <f>EXP(-Parameters!$B$46/2*N119^2)</f>
        <v>0.9635549553689543</v>
      </c>
      <c r="P119" s="8">
        <f>MAX((Parameters!$B$62 + Parameters!$B$31*'6states'!A119 - '6states'!M119 + Parameters!$B$47/Parameters!$B$45)/Parameters!B$62,1)</f>
        <v>105.29315099303319</v>
      </c>
      <c r="Q119" s="8"/>
      <c r="R119" s="8"/>
      <c r="S119" s="7">
        <f>Parameters!B$61*EXP(-Parameters!B$60*A119)+(1-Parameters!B$61)*P119^-Parameters!B$63</f>
        <v>0.33626793883479028</v>
      </c>
      <c r="T119" s="7">
        <f>1-S119/Parameters!$B$12</f>
        <v>0.83186603058260489</v>
      </c>
      <c r="U119" s="7">
        <f t="shared" si="37"/>
        <v>5.947638085659448</v>
      </c>
      <c r="V119" s="7">
        <f>(Parameters!$B$19*(F119+Parameters!$B$20)^T119+Parameters!$B$18*G119^T119)^(1/T119)</f>
        <v>0.34095671921226856</v>
      </c>
      <c r="W119" s="7">
        <f>(Parameters!$B$10*H119^Parameters!$B$9+Parameters!$B$11*V119^Parameters!$B$9)^(Parameters!$B$7/Parameters!$B$9)*O119</f>
        <v>1.3454798581918341</v>
      </c>
      <c r="X119" s="7">
        <f>W119 - D119 - E119 - LN(1+EXP(Parameters!$B$21*C119))/Parameters!$B$21 - IF(C119&gt;0, 0,Parameters!$B$6*C119^2/F119)</f>
        <v>1.0262440161701789</v>
      </c>
      <c r="Y119" s="7">
        <f>EXP(-Parameters!$B$55*A119)</f>
        <v>0.17613579833694784</v>
      </c>
      <c r="Z119" s="7">
        <f>IF(X119&gt;0,X119^(1-Parameters!$B$52)/(1-Parameters!$B$52)*Y119*Parameters!$B$65,-10+X119*1000)</f>
        <v>-0.49870286657589957</v>
      </c>
      <c r="AC119" s="23">
        <f t="shared" si="38"/>
        <v>3.0158977481193859E-2</v>
      </c>
      <c r="AD119" s="23">
        <f t="shared" si="39"/>
        <v>0.66688684347856164</v>
      </c>
      <c r="AE119" s="23">
        <f t="shared" si="40"/>
        <v>1363.2697888903338</v>
      </c>
      <c r="AF119" s="23">
        <f t="shared" si="41"/>
        <v>341.51755803969962</v>
      </c>
      <c r="AG119" s="23">
        <f t="shared" si="42"/>
        <v>865.61676697923849</v>
      </c>
      <c r="AH119" s="23">
        <f t="shared" si="43"/>
        <v>1347.6930345379221</v>
      </c>
      <c r="AI119" s="23">
        <f t="shared" si="44"/>
        <v>1027.9320823036658</v>
      </c>
      <c r="AJ119" s="23"/>
      <c r="AK119" s="25">
        <f t="shared" si="35"/>
        <v>1347.6930345379221</v>
      </c>
      <c r="AL119" s="4"/>
      <c r="AM119" s="4"/>
      <c r="AN119" s="4"/>
      <c r="AO119" s="16"/>
      <c r="AP119" s="16"/>
      <c r="AS119" s="21">
        <f>-Y119*W119*X119^(-Parameters!B$52)*Parameters!B$46*Parameters!B$45*N119</f>
        <v>-5.3044260478299768E-6</v>
      </c>
      <c r="AT119" s="7">
        <f>1000*EXP(-(Parameters!$B$54)*'6states'!A119)*AK119*Parameters!B$46*Parameters!B$45*N119</f>
        <v>0.55164950742865648</v>
      </c>
      <c r="AZ119" s="5"/>
      <c r="BA119" s="5"/>
      <c r="BB119" s="5"/>
      <c r="BE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-0.28011278082546059</v>
      </c>
      <c r="BF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-280.57353761567595</v>
      </c>
      <c r="BG119" s="7">
        <f t="shared" si="52"/>
        <v>4.3266850721044796E-2</v>
      </c>
    </row>
    <row r="120" spans="1:59" x14ac:dyDescent="0.25">
      <c r="A120">
        <f>A119+Parameters!$B$65</f>
        <v>116</v>
      </c>
      <c r="B120">
        <v>2141</v>
      </c>
      <c r="C120" s="74">
        <v>-4.400547917790389E-7</v>
      </c>
      <c r="D120" s="69">
        <v>9.09499842522348E-2</v>
      </c>
      <c r="E120" s="75">
        <v>0.22597558573341789</v>
      </c>
      <c r="F120" s="7">
        <f>MAX((1-Parameters!$B$4)^Parameters!B$65*F119 + C119*Parameters!B$65 - IF(C119&gt;0,Parameters!$B$5,0)*C119^2/F119*Parameters!B$65, 0.0001)</f>
        <v>6.2347333271118319E-4</v>
      </c>
      <c r="G120" s="7">
        <f>(1-Parameters!$B$4)^Parameters!B$65*G119+D119*Parameters!B$65-Parameters!$B$5*D119^2/G119*Parameters!B$65</f>
        <v>1.3602944931811116</v>
      </c>
      <c r="H120" s="7">
        <f>(1-Parameters!$B$4)^Parameters!B$65*H119+E119*Parameters!B$65-Parameters!$B$5*E119^2/H119*Parameters!B$65</f>
        <v>3.3261048624563085</v>
      </c>
      <c r="I120" s="9">
        <f>I119 *(1-Parameters!$B$4)-C119*(C119&lt;0)*Parameters!B$65</f>
        <v>2.8655620877574989E-5</v>
      </c>
      <c r="J120" s="23">
        <f>J119*(1+Parameters!$B$51)^Parameters!B$65</f>
        <v>11.417614905087387</v>
      </c>
      <c r="K120" s="23">
        <f>K119*(1+Parameters!$B$53)^Parameters!B$65</f>
        <v>89.742093203495315</v>
      </c>
      <c r="L120" s="23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0.16356604990347695</v>
      </c>
      <c r="M120" s="8">
        <f>M119+L120*Parameters!B$65</f>
        <v>3203.5060163982434</v>
      </c>
      <c r="N120" s="7">
        <f>M120*Parameters!$B$45</f>
        <v>1.9221036098389459</v>
      </c>
      <c r="O120" s="9">
        <f>EXP(-Parameters!$B$46/2*N120^2)</f>
        <v>0.96355130209831608</v>
      </c>
      <c r="P120" s="8">
        <f>MAX((Parameters!$B$62 + Parameters!$B$31*'6states'!A120 - '6states'!M120 + Parameters!$B$47/Parameters!$B$45)/Parameters!B$62,1)</f>
        <v>106.35387967203515</v>
      </c>
      <c r="Q120" s="8"/>
      <c r="R120" s="8"/>
      <c r="S120" s="7">
        <f>Parameters!B$61*EXP(-Parameters!B$60*A120)+(1-Parameters!B$61)*P120^-Parameters!B$63</f>
        <v>0.33535646383760648</v>
      </c>
      <c r="T120" s="7">
        <f>1-S120/Parameters!$B$12</f>
        <v>0.83232176808119673</v>
      </c>
      <c r="U120" s="7">
        <f t="shared" si="37"/>
        <v>5.963803342608248</v>
      </c>
      <c r="V120" s="7">
        <f>(Parameters!$B$19*(F120+Parameters!$B$20)^T120+Parameters!$B$18*G120^T120)^(1/T120)</f>
        <v>0.34094981910109512</v>
      </c>
      <c r="W120" s="7">
        <f>(Parameters!$B$10*H120^Parameters!$B$9+Parameters!$B$11*V120^Parameters!$B$9)^(Parameters!$B$7/Parameters!$B$9)*O120</f>
        <v>1.3455999548024959</v>
      </c>
      <c r="X120" s="7">
        <f>W120 - D120 - E120 - LN(1+EXP(Parameters!$B$21*C120))/Parameters!$B$21 - IF(C120&gt;0, 0,Parameters!$B$6*C120^2/F120)</f>
        <v>1.0263641126821319</v>
      </c>
      <c r="Y120" s="7">
        <f>EXP(-Parameters!$B$55*A120)</f>
        <v>0.17349612745298973</v>
      </c>
      <c r="Z120" s="7">
        <f>IF(X120&gt;0,X120^(1-Parameters!$B$52)/(1-Parameters!$B$52)*Y120*Parameters!$B$65,-10+X120*1000)</f>
        <v>-0.49120890423087482</v>
      </c>
      <c r="AC120" s="23">
        <f t="shared" si="38"/>
        <v>2.936171431661792E-2</v>
      </c>
      <c r="AD120" s="23">
        <f t="shared" si="39"/>
        <v>0.63883612772883036</v>
      </c>
      <c r="AE120" s="23">
        <f t="shared" si="40"/>
        <v>1393.8130486123453</v>
      </c>
      <c r="AF120" s="23">
        <f t="shared" si="41"/>
        <v>349.35104800270148</v>
      </c>
      <c r="AG120" s="23">
        <f t="shared" si="42"/>
        <v>885.47167662095512</v>
      </c>
      <c r="AH120" s="23">
        <f t="shared" si="43"/>
        <v>1378.7564270953731</v>
      </c>
      <c r="AI120" s="23">
        <f t="shared" si="44"/>
        <v>1051.6544028185815</v>
      </c>
      <c r="AJ120" s="23"/>
      <c r="AK120" s="25">
        <f t="shared" si="35"/>
        <v>1378.7564270953731</v>
      </c>
      <c r="AL120" s="4"/>
      <c r="AM120" s="4"/>
      <c r="AN120" s="4"/>
      <c r="AO120" s="16"/>
      <c r="AP120" s="16"/>
      <c r="AS120" s="21">
        <f>-Y120*W120*X120^(-Parameters!B$52)*Parameters!B$46*Parameters!B$45*N120</f>
        <v>-5.2248386426940797E-6</v>
      </c>
      <c r="AT120" s="7">
        <f>1000*EXP(-(Parameters!$B$54)*'6states'!A120)*AK120*Parameters!B$46*Parameters!B$45*N120</f>
        <v>0.54492689049997556</v>
      </c>
      <c r="AZ120" s="5"/>
      <c r="BA120" s="5"/>
      <c r="BB120" s="5"/>
      <c r="BE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-0.26907934063470479</v>
      </c>
      <c r="BF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-275.70963344238379</v>
      </c>
      <c r="BG120" s="7">
        <f t="shared" si="52"/>
        <v>4.3941647920827685E-2</v>
      </c>
    </row>
    <row r="121" spans="1:59" x14ac:dyDescent="0.25">
      <c r="A121">
        <f>A120+Parameters!$B$65</f>
        <v>117</v>
      </c>
      <c r="B121">
        <v>2142</v>
      </c>
      <c r="C121" s="74">
        <v>-4.400547917790389E-7</v>
      </c>
      <c r="D121" s="69">
        <v>9.09499842522348E-2</v>
      </c>
      <c r="E121" s="75">
        <v>0.22597558573341789</v>
      </c>
      <c r="F121" s="7">
        <f>MAX((1-Parameters!$B$4)^Parameters!B$65*F120 + C120*Parameters!B$65 - IF(C120&gt;0,Parameters!$B$5,0)*C120^2/F120*Parameters!B$65, 0.0001)</f>
        <v>5.8381680529187075E-4</v>
      </c>
      <c r="G121" s="7">
        <f>(1-Parameters!$B$4)^Parameters!B$65*G120+D120*Parameters!B$65-Parameters!$B$5*D120^2/G120*Parameters!B$65</f>
        <v>1.3596009914346612</v>
      </c>
      <c r="H121" s="7">
        <f>(1-Parameters!$B$4)^Parameters!B$65*H120+E120*Parameters!B$65-Parameters!$B$5*E120^2/H120*Parameters!B$65</f>
        <v>3.3275156695940655</v>
      </c>
      <c r="I121" s="9">
        <f>I120 *(1-Parameters!$B$4)-C120*(C120&lt;0)*Parameters!B$65</f>
        <v>2.7293237116154563E-5</v>
      </c>
      <c r="J121" s="23">
        <f>J120*(1+Parameters!$B$51)^Parameters!B$65</f>
        <v>11.450725988312138</v>
      </c>
      <c r="K121" s="23">
        <f>K120*(1+Parameters!$B$53)^Parameters!B$65</f>
        <v>91.536935067565224</v>
      </c>
      <c r="L121" s="23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0.15499314355233454</v>
      </c>
      <c r="M121" s="8">
        <f>M120+L121*Parameters!B$65</f>
        <v>3203.6610095417959</v>
      </c>
      <c r="N121" s="7">
        <f>M121*Parameters!$B$45</f>
        <v>1.9221966057250774</v>
      </c>
      <c r="O121" s="9">
        <f>EXP(-Parameters!$B$46/2*N121^2)</f>
        <v>0.96354784014539829</v>
      </c>
      <c r="P121" s="8">
        <f>MAX((Parameters!$B$62 + Parameters!$B$31*'6states'!A121 - '6states'!M121 + Parameters!$B$47/Parameters!$B$45)/Parameters!B$62,1)</f>
        <v>107.4147798091641</v>
      </c>
      <c r="Q121" s="8"/>
      <c r="R121" s="8"/>
      <c r="S121" s="7">
        <f>Parameters!B$61*EXP(-Parameters!B$60*A121)+(1-Parameters!B$61)*P121^-Parameters!B$63</f>
        <v>0.3344642740436044</v>
      </c>
      <c r="T121" s="7">
        <f>1-S121/Parameters!$B$12</f>
        <v>0.83276786297819783</v>
      </c>
      <c r="U121" s="7">
        <f t="shared" si="37"/>
        <v>5.9797119011259738</v>
      </c>
      <c r="V121" s="7">
        <f>(Parameters!$B$19*(F121+Parameters!$B$20)^T121+Parameters!$B$18*G121^T121)^(1/T121)</f>
        <v>0.34095173002241064</v>
      </c>
      <c r="W121" s="7">
        <f>(Parameters!$B$10*H121^Parameters!$B$9+Parameters!$B$11*V121^Parameters!$B$9)^(Parameters!$B$7/Parameters!$B$9)*O121</f>
        <v>1.3457158847831525</v>
      </c>
      <c r="X121" s="7">
        <f>W121 - D121 - E121 - LN(1+EXP(Parameters!$B$21*C121))/Parameters!$B$21 - IF(C121&gt;0, 0,Parameters!$B$6*C121^2/F121)</f>
        <v>1.0264800425573002</v>
      </c>
      <c r="Y121" s="7">
        <f>EXP(-Parameters!$B$55*A121)</f>
        <v>0.17089601617270908</v>
      </c>
      <c r="Z121" s="7">
        <f>IF(X121&gt;0,X121^(1-Parameters!$B$52)/(1-Parameters!$B$52)*Y121*Parameters!$B$65,-10+X121*1000)</f>
        <v>-0.48382824266502933</v>
      </c>
      <c r="AC121" s="23">
        <f t="shared" si="38"/>
        <v>2.8607798448806863E-2</v>
      </c>
      <c r="AD121" s="23">
        <f t="shared" si="39"/>
        <v>0.61193596881663403</v>
      </c>
      <c r="AE121" s="23">
        <f t="shared" si="40"/>
        <v>1425.0853047672801</v>
      </c>
      <c r="AF121" s="23">
        <f t="shared" si="41"/>
        <v>357.37345232236754</v>
      </c>
      <c r="AG121" s="23">
        <f t="shared" si="42"/>
        <v>905.80541211159834</v>
      </c>
      <c r="AH121" s="23">
        <f t="shared" si="43"/>
        <v>1410.5314308227551</v>
      </c>
      <c r="AI121" s="23">
        <f t="shared" si="44"/>
        <v>1075.919798162048</v>
      </c>
      <c r="AJ121" s="23"/>
      <c r="AK121" s="25">
        <f t="shared" si="35"/>
        <v>1410.5314308227551</v>
      </c>
      <c r="AL121" s="4"/>
      <c r="AM121" s="4"/>
      <c r="AN121" s="4"/>
      <c r="AO121" s="16"/>
      <c r="AP121" s="16"/>
      <c r="AS121" s="21">
        <f>-Y121*W121*X121^(-Parameters!B$52)*Parameters!B$46*Parameters!B$45*N121</f>
        <v>-5.1464439001380935E-6</v>
      </c>
      <c r="AT121" s="7">
        <f>1000*EXP(-(Parameters!$B$54)*'6states'!A121)*AK121*Parameters!B$46*Parameters!B$45*N121</f>
        <v>0.53828308524598234</v>
      </c>
      <c r="AZ121" s="5"/>
      <c r="BA121" s="5"/>
      <c r="BB121" s="5"/>
      <c r="BE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-0.25795716195165413</v>
      </c>
      <c r="BF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-270.38150389171886</v>
      </c>
      <c r="BG121" s="7">
        <f t="shared" si="52"/>
        <v>4.4661738839388017E-2</v>
      </c>
    </row>
    <row r="122" spans="1:59" x14ac:dyDescent="0.25">
      <c r="A122">
        <f>A121+Parameters!$B$65</f>
        <v>118</v>
      </c>
      <c r="B122">
        <v>2143</v>
      </c>
      <c r="C122" s="74">
        <v>-4.400547917790389E-7</v>
      </c>
      <c r="D122" s="69">
        <v>9.09499842522348E-2</v>
      </c>
      <c r="E122" s="75">
        <v>0.22597558573341789</v>
      </c>
      <c r="F122" s="7">
        <f>MAX((1-Parameters!$B$4)^Parameters!B$65*F121 + C121*Parameters!B$65 - IF(C121&gt;0,Parameters!$B$5,0)*C121^2/F121*Parameters!B$65, 0.0001)</f>
        <v>5.4665467344723303E-4</v>
      </c>
      <c r="G122" s="7">
        <f>(1-Parameters!$B$4)^Parameters!B$65*G121+D121*Parameters!B$65-Parameters!$B$5*D121^2/G121*Parameters!B$65</f>
        <v>1.3589480091865489</v>
      </c>
      <c r="H122" s="7">
        <f>(1-Parameters!$B$4)^Parameters!B$65*H121+E121*Parameters!B$65-Parameters!$B$5*E121^2/H121*Parameters!B$65</f>
        <v>3.3288442462681878</v>
      </c>
      <c r="I122" s="9">
        <f>I121 *(1-Parameters!$B$4)-C121*(C121&lt;0)*Parameters!B$65</f>
        <v>2.6016547293327482E-5</v>
      </c>
      <c r="J122" s="23">
        <f>J121*(1+Parameters!$B$51)^Parameters!B$65</f>
        <v>11.483933093678242</v>
      </c>
      <c r="K122" s="23">
        <f>K121*(1+Parameters!$B$53)^Parameters!B$65</f>
        <v>93.367673768916532</v>
      </c>
      <c r="L122" s="23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0.14685789407485525</v>
      </c>
      <c r="M122" s="8">
        <f>M121+L122*Parameters!B$65</f>
        <v>3203.8078674358708</v>
      </c>
      <c r="N122" s="7">
        <f>M122*Parameters!$B$45</f>
        <v>1.9222847204615223</v>
      </c>
      <c r="O122" s="9">
        <f>EXP(-Parameters!$B$46/2*N122^2)</f>
        <v>0.96354455975972086</v>
      </c>
      <c r="P122" s="8">
        <f>MAX((Parameters!$B$62 + Parameters!$B$31*'6states'!A122 - '6states'!M122 + Parameters!$B$47/Parameters!$B$45)/Parameters!B$62,1)</f>
        <v>108.47584265128258</v>
      </c>
      <c r="Q122" s="8"/>
      <c r="R122" s="8"/>
      <c r="S122" s="7">
        <f>Parameters!B$61*EXP(-Parameters!B$60*A122)+(1-Parameters!B$61)*P122^-Parameters!B$63</f>
        <v>0.33359087915388347</v>
      </c>
      <c r="T122" s="7">
        <f>1-S122/Parameters!$B$12</f>
        <v>0.83320456042305824</v>
      </c>
      <c r="U122" s="7">
        <f t="shared" si="37"/>
        <v>5.9953677542766739</v>
      </c>
      <c r="V122" s="7">
        <f>(Parameters!$B$19*(F122+Parameters!$B$20)^T122+Parameters!$B$18*G122^T122)^(1/T122)</f>
        <v>0.34096177367129044</v>
      </c>
      <c r="W122" s="7">
        <f>(Parameters!$B$10*H122^Parameters!$B$9+Parameters!$B$11*V122^Parameters!$B$9)^(Parameters!$B$7/Parameters!$B$9)*O122</f>
        <v>1.3458278570394553</v>
      </c>
      <c r="X122" s="7">
        <f>W122 - D122 - E122 - LN(1+EXP(Parameters!$B$21*C122))/Parameters!$B$21 - IF(C122&gt;0, 0,Parameters!$B$6*C122^2/F122)</f>
        <v>1.0265920147008587</v>
      </c>
      <c r="Y122" s="7">
        <f>EXP(-Parameters!$B$55*A122)</f>
        <v>0.16833487163346803</v>
      </c>
      <c r="Z122" s="7">
        <f>IF(X122&gt;0,X122^(1-Parameters!$B$52)/(1-Parameters!$B$52)*Y122*Parameters!$B$65,-10+X122*1000)</f>
        <v>-0.47655912442111942</v>
      </c>
      <c r="AC122" s="23">
        <f t="shared" si="38"/>
        <v>2.7895673558733659E-2</v>
      </c>
      <c r="AD122" s="23">
        <f t="shared" si="39"/>
        <v>0.58613851207501244</v>
      </c>
      <c r="AE122" s="23">
        <f t="shared" si="40"/>
        <v>1457.1022672667061</v>
      </c>
      <c r="AF122" s="23">
        <f t="shared" si="41"/>
        <v>365.58880112352745</v>
      </c>
      <c r="AG122" s="23">
        <f t="shared" si="42"/>
        <v>926.62818828066463</v>
      </c>
      <c r="AH122" s="23">
        <f t="shared" si="43"/>
        <v>1443.0344712133033</v>
      </c>
      <c r="AI122" s="23">
        <f t="shared" si="44"/>
        <v>1100.740824569084</v>
      </c>
      <c r="AJ122" s="23"/>
      <c r="AK122" s="25">
        <f t="shared" si="35"/>
        <v>1443.0344712133033</v>
      </c>
      <c r="AL122" s="4"/>
      <c r="AM122" s="4"/>
      <c r="AN122" s="4"/>
      <c r="AO122" s="16"/>
      <c r="AP122" s="16"/>
      <c r="AS122" s="21">
        <f>-Y122*W122*X122^(-Parameters!B$52)*Parameters!B$46*Parameters!B$45*N122</f>
        <v>-5.0692240527760339E-6</v>
      </c>
      <c r="AT122" s="7">
        <f>1000*EXP(-(Parameters!$B$54)*'6states'!A122)*AK122*Parameters!B$46*Parameters!B$45*N122</f>
        <v>0.53171736296073857</v>
      </c>
      <c r="AZ122" s="5"/>
      <c r="BA122" s="5"/>
      <c r="BB122" s="5"/>
      <c r="BE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-0.2467604284180005</v>
      </c>
      <c r="BF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-264.58346992597455</v>
      </c>
      <c r="BG122" s="7">
        <f t="shared" si="52"/>
        <v>4.5430163680451233E-2</v>
      </c>
    </row>
    <row r="123" spans="1:59" x14ac:dyDescent="0.25">
      <c r="A123">
        <f>A122+Parameters!$B$65</f>
        <v>119</v>
      </c>
      <c r="B123">
        <v>2144</v>
      </c>
      <c r="C123" s="74">
        <v>-4.400547917790389E-7</v>
      </c>
      <c r="D123" s="69">
        <v>9.09499842522348E-2</v>
      </c>
      <c r="E123" s="75">
        <v>0.22597558573341789</v>
      </c>
      <c r="F123" s="7">
        <f>MAX((1-Parameters!$B$4)^Parameters!B$65*F122 + C122*Parameters!B$65 - IF(C122&gt;0,Parameters!$B$5,0)*C122^2/F122*Parameters!B$65, 0.0001)</f>
        <v>5.1183003969562299E-4</v>
      </c>
      <c r="G123" s="7">
        <f>(1-Parameters!$B$4)^Parameters!B$65*G122+D122*Parameters!B$65-Parameters!$B$5*D122^2/G122*Parameters!B$65</f>
        <v>1.3583331760944179</v>
      </c>
      <c r="H123" s="7">
        <f>(1-Parameters!$B$4)^Parameters!B$65*H122+E122*Parameters!B$65-Parameters!$B$5*E122^2/H122*Parameters!B$65</f>
        <v>3.3300953803282938</v>
      </c>
      <c r="I123" s="9">
        <f>I122 *(1-Parameters!$B$4)-C122*(C122&lt;0)*Parameters!B$65</f>
        <v>2.4820161260356224E-5</v>
      </c>
      <c r="J123" s="23">
        <f>J122*(1+Parameters!$B$51)^Parameters!B$65</f>
        <v>11.517236499649908</v>
      </c>
      <c r="K123" s="23">
        <f>K122*(1+Parameters!$B$53)^Parameters!B$65</f>
        <v>95.235027244294869</v>
      </c>
      <c r="L123" s="23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0.1391382170635678</v>
      </c>
      <c r="M123" s="8">
        <f>M122+L123*Parameters!B$65</f>
        <v>3203.9470056529344</v>
      </c>
      <c r="N123" s="7">
        <f>M123*Parameters!$B$45</f>
        <v>1.9223682033917604</v>
      </c>
      <c r="O123" s="9">
        <f>EXP(-Parameters!$B$46/2*N123^2)</f>
        <v>0.96354145168114824</v>
      </c>
      <c r="P123" s="8">
        <f>MAX((Parameters!$B$62 + Parameters!$B$31*'6states'!A123 - '6states'!M123 + Parameters!$B$47/Parameters!$B$45)/Parameters!B$62,1)</f>
        <v>109.53705988694132</v>
      </c>
      <c r="Q123" s="8"/>
      <c r="R123" s="8"/>
      <c r="S123" s="7">
        <f>Parameters!B$61*EXP(-Parameters!B$60*A123)+(1-Parameters!B$61)*P123^-Parameters!B$63</f>
        <v>0.33273580199038966</v>
      </c>
      <c r="T123" s="7">
        <f>1-S123/Parameters!$B$12</f>
        <v>0.83363209900480517</v>
      </c>
      <c r="U123" s="7">
        <f t="shared" si="37"/>
        <v>6.0107748791570241</v>
      </c>
      <c r="V123" s="7">
        <f>(Parameters!$B$19*(F123+Parameters!$B$20)^T123+Parameters!$B$18*G123^T123)^(1/T123)</f>
        <v>0.34097931557110289</v>
      </c>
      <c r="W123" s="7">
        <f>(Parameters!$B$10*H123^Parameters!$B$9+Parameters!$B$11*V123^Parameters!$B$9)^(Parameters!$B$7/Parameters!$B$9)*O123</f>
        <v>1.3459360659955817</v>
      </c>
      <c r="X123" s="7">
        <f>W123 - D123 - E123 - LN(1+EXP(Parameters!$B$21*C123))/Parameters!$B$21 - IF(C123&gt;0, 0,Parameters!$B$6*C123^2/F123)</f>
        <v>1.0267002235364728</v>
      </c>
      <c r="Y123" s="7">
        <f>EXP(-Parameters!$B$55*A123)</f>
        <v>0.16581210985760431</v>
      </c>
      <c r="Z123" s="7">
        <f>IF(X123&gt;0,X123^(1-Parameters!$B$52)/(1-Parameters!$B$52)*Y123*Parameters!$B$65,-10+X123*1000)</f>
        <v>-0.4693998228004933</v>
      </c>
      <c r="AC123" s="23">
        <f t="shared" si="38"/>
        <v>2.7223853193358162E-2</v>
      </c>
      <c r="AD123" s="23">
        <f t="shared" si="39"/>
        <v>0.56139787789696005</v>
      </c>
      <c r="AE123" s="23">
        <f t="shared" si="40"/>
        <v>1489.8800449264938</v>
      </c>
      <c r="AF123" s="23">
        <f t="shared" si="41"/>
        <v>374.00122955310007</v>
      </c>
      <c r="AG123" s="23">
        <f t="shared" si="42"/>
        <v>947.9504861485957</v>
      </c>
      <c r="AH123" s="23">
        <f t="shared" si="43"/>
        <v>1476.2823449835978</v>
      </c>
      <c r="AI123" s="23">
        <f t="shared" si="44"/>
        <v>1126.1303206675375</v>
      </c>
      <c r="AJ123" s="23"/>
      <c r="AK123" s="25">
        <f t="shared" si="35"/>
        <v>1476.2823449835978</v>
      </c>
      <c r="AL123" s="4"/>
      <c r="AM123" s="4"/>
      <c r="AN123" s="4"/>
      <c r="AO123" s="16"/>
      <c r="AP123" s="16"/>
      <c r="AS123" s="21">
        <f>-Y123*W123*X123^(-Parameters!B$52)*Parameters!B$46*Parameters!B$45*N123</f>
        <v>-4.9931616022956951E-6</v>
      </c>
      <c r="AT123" s="7">
        <f>1000*EXP(-(Parameters!$B$54)*'6states'!A123)*AK123*Parameters!B$46*Parameters!B$45*N123</f>
        <v>0.52522898743945046</v>
      </c>
      <c r="AZ123" s="5"/>
      <c r="BA123" s="5"/>
      <c r="BB123" s="5"/>
      <c r="BE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-0.23550549370318441</v>
      </c>
      <c r="BF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-258.31286588154944</v>
      </c>
      <c r="BG123" s="7">
        <f t="shared" si="52"/>
        <v>4.6250166712212208E-2</v>
      </c>
    </row>
    <row r="124" spans="1:59" x14ac:dyDescent="0.25">
      <c r="A124">
        <f>A123+Parameters!$B$65</f>
        <v>120</v>
      </c>
      <c r="B124">
        <v>2145</v>
      </c>
      <c r="C124" s="74">
        <v>-4.400547917790389E-7</v>
      </c>
      <c r="D124" s="69">
        <v>9.09499842522348E-2</v>
      </c>
      <c r="E124" s="75">
        <v>0.22597558573341789</v>
      </c>
      <c r="F124" s="7">
        <f>MAX((1-Parameters!$B$4)^Parameters!B$65*F123 + C123*Parameters!B$65 - IF(C123&gt;0,Parameters!$B$5,0)*C123^2/F123*Parameters!B$65, 0.0001)</f>
        <v>4.7919587540698932E-4</v>
      </c>
      <c r="G124" s="7">
        <f>(1-Parameters!$B$4)^Parameters!B$65*G123+D123*Parameters!B$65-Parameters!$B$5*D123^2/G123*Parameters!B$65</f>
        <v>1.3577542608024418</v>
      </c>
      <c r="H124" s="7">
        <f>(1-Parameters!$B$4)^Parameters!B$65*H123+E123*Parameters!B$65-Parameters!$B$5*E123^2/H123*Parameters!B$65</f>
        <v>3.3312735814291927</v>
      </c>
      <c r="I124" s="9">
        <f>I123 *(1-Parameters!$B$4)-C123*(C123&lt;0)*Parameters!B$65</f>
        <v>2.369902790885886E-5</v>
      </c>
      <c r="J124" s="23">
        <f>J123*(1+Parameters!$B$51)^Parameters!B$65</f>
        <v>11.550636485498892</v>
      </c>
      <c r="K124" s="23">
        <f>K123*(1+Parameters!$B$53)^Parameters!B$65</f>
        <v>97.139727789180768</v>
      </c>
      <c r="L124" s="23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0.13181315354620018</v>
      </c>
      <c r="M124" s="8">
        <f>M123+L124*Parameters!B$65</f>
        <v>3204.0788188064807</v>
      </c>
      <c r="N124" s="7">
        <f>M124*Parameters!$B$45</f>
        <v>1.9224472912838884</v>
      </c>
      <c r="O124" s="9">
        <f>EXP(-Parameters!$B$46/2*N124^2)</f>
        <v>0.96353850711506495</v>
      </c>
      <c r="P124" s="8">
        <f>MAX((Parameters!$B$62 + Parameters!$B$31*'6states'!A124 - '6states'!M124 + Parameters!$B$47/Parameters!$B$45)/Parameters!B$62,1)</f>
        <v>110.59842362387039</v>
      </c>
      <c r="Q124" s="8"/>
      <c r="R124" s="8"/>
      <c r="S124" s="7">
        <f>Parameters!B$61*EXP(-Parameters!B$60*A124)+(1-Parameters!B$61)*P124^-Parameters!B$63</f>
        <v>0.33189857813260432</v>
      </c>
      <c r="T124" s="7">
        <f>1-S124/Parameters!$B$12</f>
        <v>0.83405071093369787</v>
      </c>
      <c r="U124" s="7">
        <f t="shared" si="37"/>
        <v>6.02593723435879</v>
      </c>
      <c r="V124" s="7">
        <f>(Parameters!$B$19*(F124+Parameters!$B$20)^T124+Parameters!$B$18*G124^T124)^(1/T124)</f>
        <v>0.34100376240307878</v>
      </c>
      <c r="W124" s="7">
        <f>(Parameters!$B$10*H124^Parameters!$B$9+Parameters!$B$11*V124^Parameters!$B$9)^(Parameters!$B$7/Parameters!$B$9)*O124</f>
        <v>1.3460406929115705</v>
      </c>
      <c r="X124" s="7">
        <f>W124 - D124 - E124 - LN(1+EXP(Parameters!$B$21*C124))/Parameters!$B$21 - IF(C124&gt;0, 0,Parameters!$B$6*C124^2/F124)</f>
        <v>1.0268048503236316</v>
      </c>
      <c r="Y124" s="7">
        <f>EXP(-Parameters!$B$55*A124)</f>
        <v>0.16332715561927577</v>
      </c>
      <c r="Z124" s="7">
        <f>IF(X124&gt;0,X124^(1-Parameters!$B$52)/(1-Parameters!$B$52)*Y124*Parameters!$B$65,-10+X124*1000)</f>
        <v>-0.46234864099406559</v>
      </c>
      <c r="AC124" s="23">
        <f t="shared" si="38"/>
        <v>2.6590917999409925E-2</v>
      </c>
      <c r="AD124" s="23">
        <f t="shared" si="39"/>
        <v>0.53767007987021964</v>
      </c>
      <c r="AE124" s="23">
        <f t="shared" si="40"/>
        <v>1523.4351531714626</v>
      </c>
      <c r="AF124" s="23">
        <f t="shared" si="41"/>
        <v>382.61497975454932</v>
      </c>
      <c r="AG124" s="23">
        <f t="shared" si="42"/>
        <v>969.78305793126958</v>
      </c>
      <c r="AH124" s="23">
        <f t="shared" si="43"/>
        <v>1510.2922291467078</v>
      </c>
      <c r="AI124" s="23">
        <f t="shared" si="44"/>
        <v>1152.1014145118486</v>
      </c>
      <c r="AJ124" s="23"/>
      <c r="AK124" s="25">
        <f t="shared" si="35"/>
        <v>1510.2922291467075</v>
      </c>
      <c r="AL124" s="4"/>
      <c r="AM124" s="4"/>
      <c r="AN124" s="4"/>
      <c r="AO124" s="16"/>
      <c r="AP124" s="16"/>
      <c r="AS124" s="21">
        <f>-Y124*W124*X124^(-Parameters!B$52)*Parameters!B$46*Parameters!B$45*N124</f>
        <v>-4.9182393131093117E-6</v>
      </c>
      <c r="AT124" s="7">
        <f>1000*EXP(-(Parameters!$B$54)*'6states'!A124)*AK124*Parameters!B$46*Parameters!B$45*N124</f>
        <v>0.51881721637416267</v>
      </c>
      <c r="AZ124" s="5"/>
      <c r="BA124" s="5"/>
      <c r="BB124" s="5"/>
      <c r="BE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-0.22421096200719201</v>
      </c>
      <c r="BF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-251.57045800487995</v>
      </c>
      <c r="BG124" s="7">
        <f t="shared" si="52"/>
        <v>4.7125209964544917E-2</v>
      </c>
    </row>
    <row r="125" spans="1:59" x14ac:dyDescent="0.25">
      <c r="A125">
        <f>A124+Parameters!$B$65</f>
        <v>121</v>
      </c>
      <c r="B125">
        <v>2146</v>
      </c>
      <c r="C125" s="74">
        <v>-4.400547917790389E-7</v>
      </c>
      <c r="D125" s="69">
        <v>9.09499842522348E-2</v>
      </c>
      <c r="E125" s="75">
        <v>0.22597558573341789</v>
      </c>
      <c r="F125" s="7">
        <f>MAX((1-Parameters!$B$4)^Parameters!B$65*F124 + C124*Parameters!B$65 - IF(C124&gt;0,Parameters!$B$5,0)*C124^2/F124*Parameters!B$65, 0.0001)</f>
        <v>4.486144000521107E-4</v>
      </c>
      <c r="G125" s="7">
        <f>(1-Parameters!$B$4)^Parameters!B$65*G124+D124*Parameters!B$65-Parameters!$B$5*D124^2/G124*Parameters!B$65</f>
        <v>1.3572091627556144</v>
      </c>
      <c r="H125" s="7">
        <f>(1-Parameters!$B$4)^Parameters!B$65*H124+E124*Parameters!B$65-Parameters!$B$5*E124^2/H124*Parameters!B$65</f>
        <v>3.3323830971289929</v>
      </c>
      <c r="I125" s="9">
        <f>I124 *(1-Parameters!$B$4)-C124*(C124&lt;0)*Parameters!B$65</f>
        <v>2.2648413845170678E-5</v>
      </c>
      <c r="J125" s="23">
        <f>J124*(1+Parameters!$B$51)^Parameters!B$65</f>
        <v>11.584133331306838</v>
      </c>
      <c r="K125" s="23">
        <f>K124*(1+Parameters!$B$53)^Parameters!B$65</f>
        <v>99.082522344964389</v>
      </c>
      <c r="L125" s="23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0.12486281102662407</v>
      </c>
      <c r="M125" s="8">
        <f>M124+L125*Parameters!B$65</f>
        <v>3204.2036816175073</v>
      </c>
      <c r="N125" s="7">
        <f>M125*Parameters!$B$45</f>
        <v>1.9225222089705043</v>
      </c>
      <c r="O125" s="9">
        <f>EXP(-Parameters!$B$46/2*N125^2)</f>
        <v>0.96353571770883706</v>
      </c>
      <c r="P125" s="8">
        <f>MAX((Parameters!$B$62 + Parameters!$B$31*'6states'!A125 - '6states'!M125 + Parameters!$B$47/Parameters!$B$45)/Parameters!B$62,1)</f>
        <v>111.65992636764986</v>
      </c>
      <c r="Q125" s="8"/>
      <c r="R125" s="8"/>
      <c r="S125" s="7">
        <f>Parameters!B$61*EXP(-Parameters!B$60*A125)+(1-Parameters!B$61)*P125^-Parameters!B$63</f>
        <v>0.33107875556471855</v>
      </c>
      <c r="T125" s="7">
        <f>1-S125/Parameters!$B$12</f>
        <v>0.83446062221764072</v>
      </c>
      <c r="U125" s="7">
        <f t="shared" si="37"/>
        <v>6.0408587575745081</v>
      </c>
      <c r="V125" s="7">
        <f>(Parameters!$B$19*(F125+Parameters!$B$20)^T125+Parameters!$B$18*G125^T125)^(1/T125)</f>
        <v>0.34103455949354761</v>
      </c>
      <c r="W125" s="7">
        <f>(Parameters!$B$10*H125^Parameters!$B$9+Parameters!$B$11*V125^Parameters!$B$9)^(Parameters!$B$7/Parameters!$B$9)*O125</f>
        <v>1.3461419070607152</v>
      </c>
      <c r="X125" s="7">
        <f>W125 - D125 - E125 - LN(1+EXP(Parameters!$B$21*C125))/Parameters!$B$21 - IF(C125&gt;0, 0,Parameters!$B$6*C125^2/F125)</f>
        <v>1.0269060643350378</v>
      </c>
      <c r="Y125" s="7">
        <f>EXP(-Parameters!$B$55*A125)</f>
        <v>0.16087944231330067</v>
      </c>
      <c r="Z125" s="7">
        <f>IF(X125&gt;0,X125^(1-Parameters!$B$52)/(1-Parameters!$B$52)*Y125*Parameters!$B$65,-10+X125*1000)</f>
        <v>-0.45540391127085944</v>
      </c>
      <c r="AC125" s="23">
        <f t="shared" si="38"/>
        <v>2.5995513074529575E-2</v>
      </c>
      <c r="AD125" s="23">
        <f t="shared" si="39"/>
        <v>0.51491294629727746</v>
      </c>
      <c r="AE125" s="23">
        <f t="shared" si="40"/>
        <v>1557.7845219747235</v>
      </c>
      <c r="AF125" s="23">
        <f t="shared" si="41"/>
        <v>391.43440290284667</v>
      </c>
      <c r="AG125" s="23">
        <f t="shared" si="42"/>
        <v>992.1369321978558</v>
      </c>
      <c r="AH125" s="23">
        <f t="shared" si="43"/>
        <v>1545.0816902407803</v>
      </c>
      <c r="AI125" s="23">
        <f t="shared" si="44"/>
        <v>1178.6675307254397</v>
      </c>
      <c r="AJ125" s="23"/>
      <c r="AK125" s="25">
        <f t="shared" si="35"/>
        <v>1545.0816902407801</v>
      </c>
      <c r="AL125" s="4"/>
      <c r="AM125" s="4"/>
      <c r="AN125" s="4"/>
      <c r="AO125" s="16"/>
      <c r="AP125" s="16"/>
      <c r="AS125" s="21">
        <f>-Y125*W125*X125^(-Parameters!B$52)*Parameters!B$46*Parameters!B$45*N125</f>
        <v>-4.8444402065665449E-6</v>
      </c>
      <c r="AT125" s="7">
        <f>1000*EXP(-(Parameters!$B$54)*'6states'!A125)*AK125*Parameters!B$46*Parameters!B$45*N125</f>
        <v>0.51248130261089153</v>
      </c>
      <c r="AZ125" s="5"/>
      <c r="BA125" s="5"/>
      <c r="BB125" s="5"/>
      <c r="BE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-0.21289774417631332</v>
      </c>
      <c r="BF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-244.36086915876021</v>
      </c>
      <c r="BG125" s="7">
        <f t="shared" si="52"/>
        <v>4.8058987845595709E-2</v>
      </c>
    </row>
    <row r="126" spans="1:59" x14ac:dyDescent="0.25">
      <c r="A126">
        <f>A125+Parameters!$B$65</f>
        <v>122</v>
      </c>
      <c r="B126">
        <v>2147</v>
      </c>
      <c r="C126" s="74">
        <v>-4.400547917790389E-7</v>
      </c>
      <c r="D126" s="69">
        <v>9.09499842522348E-2</v>
      </c>
      <c r="E126" s="75">
        <v>0.22597558573341789</v>
      </c>
      <c r="F126" s="7">
        <f>MAX((1-Parameters!$B$4)^Parameters!B$65*F125 + C125*Parameters!B$65 - IF(C125&gt;0,Parameters!$B$5,0)*C125^2/F125*Parameters!B$65, 0.0001)</f>
        <v>4.1995649949705394E-4</v>
      </c>
      <c r="G126" s="7">
        <f>(1-Parameters!$B$4)^Parameters!B$65*G125+D125*Parameters!B$65-Parameters!$B$5*D125^2/G125*Parameters!B$65</f>
        <v>1.3566959045001368</v>
      </c>
      <c r="H126" s="7">
        <f>(1-Parameters!$B$4)^Parameters!B$65*H125+E125*Parameters!B$65-Parameters!$B$5*E125^2/H125*Parameters!B$65</f>
        <v>3.3334279280633332</v>
      </c>
      <c r="I126" s="9">
        <f>I125 *(1-Parameters!$B$4)-C125*(C125&lt;0)*Parameters!B$65</f>
        <v>2.1663883406088484E-5</v>
      </c>
      <c r="J126" s="23">
        <f>J125*(1+Parameters!$B$51)^Parameters!B$65</f>
        <v>11.617727317967626</v>
      </c>
      <c r="K126" s="23">
        <f>K125*(1+Parameters!$B$53)^Parameters!B$65</f>
        <v>101.06417279186368</v>
      </c>
      <c r="L126" s="23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0.11826830732842325</v>
      </c>
      <c r="M126" s="8">
        <f>M125+L126*Parameters!B$65</f>
        <v>3204.3219499248357</v>
      </c>
      <c r="N126" s="7">
        <f>M126*Parameters!$B$45</f>
        <v>1.9225931699549013</v>
      </c>
      <c r="O126" s="9">
        <f>EXP(-Parameters!$B$46/2*N126^2)</f>
        <v>0.96353307552949785</v>
      </c>
      <c r="P126" s="8">
        <f>MAX((Parameters!$B$62 + Parameters!$B$31*'6states'!A126 - '6states'!M126 + Parameters!$B$47/Parameters!$B$45)/Parameters!B$62,1)</f>
        <v>112.72156100150329</v>
      </c>
      <c r="Q126" s="8"/>
      <c r="R126" s="8"/>
      <c r="S126" s="7">
        <f>Parameters!B$61*EXP(-Parameters!B$60*A126)+(1-Parameters!B$61)*P126^-Parameters!B$63</f>
        <v>0.3302758943329715</v>
      </c>
      <c r="T126" s="7">
        <f>1-S126/Parameters!$B$12</f>
        <v>0.83486205283351422</v>
      </c>
      <c r="U126" s="7">
        <f t="shared" si="37"/>
        <v>6.0555433633423945</v>
      </c>
      <c r="V126" s="7">
        <f>(Parameters!$B$19*(F126+Parameters!$B$20)^T126+Parameters!$B$18*G126^T126)^(1/T126)</f>
        <v>0.34107118844980394</v>
      </c>
      <c r="W126" s="7">
        <f>(Parameters!$B$10*H126^Parameters!$B$9+Parameters!$B$11*V126^Parameters!$B$9)^(Parameters!$B$7/Parameters!$B$9)*O126</f>
        <v>1.346239866782736</v>
      </c>
      <c r="X126" s="7">
        <f>W126 - D126 - E126 - LN(1+EXP(Parameters!$B$21*C126))/Parameters!$B$21 - IF(C126&gt;0, 0,Parameters!$B$6*C126^2/F126)</f>
        <v>1.0270040239097762</v>
      </c>
      <c r="Y126" s="7">
        <f>EXP(-Parameters!$B$55*A126)</f>
        <v>0.15846841182596355</v>
      </c>
      <c r="Z126" s="7">
        <f>IF(X126&gt;0,X126^(1-Parameters!$B$52)/(1-Parameters!$B$52)*Y126*Parameters!$B$65,-10+X126*1000)</f>
        <v>-0.44856399421790499</v>
      </c>
      <c r="AC126" s="23">
        <f t="shared" si="38"/>
        <v>2.5436345430977777E-2</v>
      </c>
      <c r="AD126" s="23">
        <f t="shared" si="39"/>
        <v>0.49308604496039532</v>
      </c>
      <c r="AE126" s="23">
        <f t="shared" si="40"/>
        <v>1592.9455040345949</v>
      </c>
      <c r="AF126" s="23">
        <f t="shared" si="41"/>
        <v>400.46396130091392</v>
      </c>
      <c r="AG126" s="23">
        <f t="shared" si="42"/>
        <v>1015.0234191844975</v>
      </c>
      <c r="AH126" s="23">
        <f t="shared" si="43"/>
        <v>1580.6686937216114</v>
      </c>
      <c r="AI126" s="23">
        <f t="shared" si="44"/>
        <v>1205.8423977591883</v>
      </c>
      <c r="AJ126" s="23"/>
      <c r="AK126" s="25">
        <f t="shared" si="35"/>
        <v>1580.6686937216116</v>
      </c>
      <c r="AL126" s="4"/>
      <c r="AM126" s="4"/>
      <c r="AN126" s="4"/>
      <c r="AO126" s="16"/>
      <c r="AP126" s="16"/>
      <c r="AS126" s="21">
        <f>-Y126*W126*X126^(-Parameters!B$52)*Parameters!B$46*Parameters!B$45*N126</f>
        <v>-4.7717475556474028E-6</v>
      </c>
      <c r="AT126" s="7">
        <f>1000*EXP(-(Parameters!$B$54)*'6states'!A126)*AK126*Parameters!B$46*Parameters!B$45*N126</f>
        <v>0.50622049528271729</v>
      </c>
      <c r="AZ126" s="5"/>
      <c r="BA126" s="5"/>
      <c r="BB126" s="5"/>
      <c r="BE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-0.20158908354540223</v>
      </c>
      <c r="BF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-236.69300042179822</v>
      </c>
      <c r="BG126" s="7">
        <f t="shared" si="52"/>
        <v>4.9055442739471281E-2</v>
      </c>
    </row>
    <row r="127" spans="1:59" x14ac:dyDescent="0.25">
      <c r="A127">
        <f>A126+Parameters!$B$65</f>
        <v>123</v>
      </c>
      <c r="B127">
        <v>2148</v>
      </c>
      <c r="C127" s="74">
        <v>-4.400547917790389E-7</v>
      </c>
      <c r="D127" s="69">
        <v>9.09499842522348E-2</v>
      </c>
      <c r="E127" s="75">
        <v>0.22597558573341789</v>
      </c>
      <c r="F127" s="7">
        <f>MAX((1-Parameters!$B$4)^Parameters!B$65*F126 + C126*Parameters!B$65 - IF(C126&gt;0,Parameters!$B$5,0)*C126^2/F126*Parameters!B$65, 0.0001)</f>
        <v>3.9310118088691024E-4</v>
      </c>
      <c r="G127" s="7">
        <f>(1-Parameters!$B$4)^Parameters!B$65*G126+D126*Parameters!B$65-Parameters!$B$5*D126^2/G126*Parameters!B$65</f>
        <v>1.3562126244405979</v>
      </c>
      <c r="H127" s="7">
        <f>(1-Parameters!$B$4)^Parameters!B$65*H126+E126*Parameters!B$65-Parameters!$B$5*E126^2/H126*Parameters!B$65</f>
        <v>3.334411842247857</v>
      </c>
      <c r="I127" s="9">
        <f>I126 *(1-Parameters!$B$4)-C126*(C126&lt;0)*Parameters!B$65</f>
        <v>2.0741279931624559E-5</v>
      </c>
      <c r="J127" s="23">
        <f>J126*(1+Parameters!$B$51)^Parameters!B$65</f>
        <v>11.65141872718973</v>
      </c>
      <c r="K127" s="23">
        <f>K126*(1+Parameters!$B$53)^Parameters!B$65</f>
        <v>103.08545624770096</v>
      </c>
      <c r="L127" s="23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0.11201171710057072</v>
      </c>
      <c r="M127" s="8">
        <f>M126+L127*Parameters!B$65</f>
        <v>3204.4339616419361</v>
      </c>
      <c r="N127" s="7">
        <f>M127*Parameters!$B$45</f>
        <v>1.9226603769851616</v>
      </c>
      <c r="O127" s="9">
        <f>EXP(-Parameters!$B$46/2*N127^2)</f>
        <v>0.96353057304260259</v>
      </c>
      <c r="P127" s="8">
        <f>MAX((Parameters!$B$62 + Parameters!$B$31*'6states'!A127 - '6states'!M127 + Parameters!$B$47/Parameters!$B$45)/Parameters!B$62,1)</f>
        <v>113.78332076716127</v>
      </c>
      <c r="Q127" s="8"/>
      <c r="R127" s="8"/>
      <c r="S127" s="7">
        <f>Parameters!B$61*EXP(-Parameters!B$60*A127)+(1-Parameters!B$61)*P127^-Parameters!B$63</f>
        <v>0.32948956621283776</v>
      </c>
      <c r="T127" s="7">
        <f>1-S127/Parameters!$B$12</f>
        <v>0.83525521689358118</v>
      </c>
      <c r="U127" s="7">
        <f t="shared" si="37"/>
        <v>6.0699949409265255</v>
      </c>
      <c r="V127" s="7">
        <f>(Parameters!$B$19*(F127+Parameters!$B$20)^T127+Parameters!$B$18*G127^T127)^(1/T127)</f>
        <v>0.34111316493606086</v>
      </c>
      <c r="W127" s="7">
        <f>(Parameters!$B$10*H127^Parameters!$B$9+Parameters!$B$11*V127^Parameters!$B$9)^(Parameters!$B$7/Parameters!$B$9)*O127</f>
        <v>1.3463347204266813</v>
      </c>
      <c r="X127" s="7">
        <f>W127 - D127 - E127 - LN(1+EXP(Parameters!$B$21*C127))/Parameters!$B$21 - IF(C127&gt;0, 0,Parameters!$B$6*C127^2/F127)</f>
        <v>1.0270988773962126</v>
      </c>
      <c r="Y127" s="7">
        <f>EXP(-Parameters!$B$55*A127)</f>
        <v>0.15609351440775748</v>
      </c>
      <c r="Z127" s="7">
        <f>IF(X127&gt;0,X127^(1-Parameters!$B$52)/(1-Parameters!$B$52)*Y127*Parameters!$B$65,-10+X127*1000)</f>
        <v>-0.44182727802604455</v>
      </c>
      <c r="AC127" s="23">
        <f t="shared" si="38"/>
        <v>2.491218156732054E-2</v>
      </c>
      <c r="AD127" s="23">
        <f t="shared" si="39"/>
        <v>0.47215061099731209</v>
      </c>
      <c r="AE127" s="23">
        <f t="shared" si="40"/>
        <v>1628.9358831921504</v>
      </c>
      <c r="AF127" s="23">
        <f t="shared" si="41"/>
        <v>409.70823053854377</v>
      </c>
      <c r="AG127" s="23">
        <f t="shared" si="42"/>
        <v>1038.4541162663518</v>
      </c>
      <c r="AH127" s="23">
        <f t="shared" si="43"/>
        <v>1617.0716135274779</v>
      </c>
      <c r="AI127" s="23">
        <f t="shared" si="44"/>
        <v>1233.6400552731668</v>
      </c>
      <c r="AJ127" s="23"/>
      <c r="AK127" s="25">
        <f t="shared" si="35"/>
        <v>1617.0716135274779</v>
      </c>
      <c r="AL127" s="4"/>
      <c r="AM127" s="4"/>
      <c r="AN127" s="4"/>
      <c r="AO127" s="16"/>
      <c r="AP127" s="16"/>
      <c r="AS127" s="21">
        <f>-Y127*W127*X127^(-Parameters!B$52)*Parameters!B$46*Parameters!B$45*N127</f>
        <v>-4.7001448800644324E-6</v>
      </c>
      <c r="AT127" s="7">
        <f>1000*EXP(-(Parameters!$B$54)*'6states'!A127)*AK127*Parameters!B$46*Parameters!B$45*N127</f>
        <v>0.50003404083171354</v>
      </c>
      <c r="AZ127" s="5"/>
      <c r="BA127" s="5"/>
      <c r="BB127" s="5"/>
      <c r="BE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-0.19031054521468313</v>
      </c>
      <c r="BF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-228.58043824649394</v>
      </c>
      <c r="BG127" s="7">
        <f t="shared" si="52"/>
        <v>5.0118781650874085E-2</v>
      </c>
    </row>
    <row r="128" spans="1:59" x14ac:dyDescent="0.25">
      <c r="A128">
        <f>A127+Parameters!$B$65</f>
        <v>124</v>
      </c>
      <c r="B128">
        <v>2149</v>
      </c>
      <c r="C128" s="74">
        <v>-4.400547917790389E-7</v>
      </c>
      <c r="D128" s="69">
        <v>9.09499842522348E-2</v>
      </c>
      <c r="E128" s="75">
        <v>0.22597558573341789</v>
      </c>
      <c r="F128" s="7">
        <f>MAX((1-Parameters!$B$4)^Parameters!B$65*F127 + C127*Parameters!B$65 - IF(C127&gt;0,Parameters!$B$5,0)*C127^2/F127*Parameters!B$65, 0.0001)</f>
        <v>3.679350618173446E-4</v>
      </c>
      <c r="G128" s="7">
        <f>(1-Parameters!$B$4)^Parameters!B$65*G127+D127*Parameters!B$65-Parameters!$B$5*D127^2/G127*Parameters!B$65</f>
        <v>1.3557575700264628</v>
      </c>
      <c r="H128" s="7">
        <f>(1-Parameters!$B$4)^Parameters!B$65*H127+E127*Parameters!B$65-Parameters!$B$5*E127^2/H127*Parameters!B$65</f>
        <v>3.3353383885582248</v>
      </c>
      <c r="I128" s="9">
        <f>I127 *(1-Parameters!$B$4)-C127*(C127&lt;0)*Parameters!B$65</f>
        <v>1.9876708215704415E-5</v>
      </c>
      <c r="J128" s="23">
        <f>J127*(1+Parameters!$B$51)^Parameters!B$65</f>
        <v>11.685207841498579</v>
      </c>
      <c r="K128" s="23">
        <f>K127*(1+Parameters!$B$53)^Parameters!B$65</f>
        <v>105.14716537265498</v>
      </c>
      <c r="L128" s="23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0.10607602085733048</v>
      </c>
      <c r="M128" s="8">
        <f>M127+L128*Parameters!B$65</f>
        <v>3204.5400376627936</v>
      </c>
      <c r="N128" s="7">
        <f>M128*Parameters!$B$45</f>
        <v>1.9227240225976761</v>
      </c>
      <c r="O128" s="9">
        <f>EXP(-Parameters!$B$46/2*N128^2)</f>
        <v>0.96352820309219855</v>
      </c>
      <c r="P128" s="8">
        <f>MAX((Parameters!$B$62 + Parameters!$B$31*'6states'!A128 - '6states'!M128 + Parameters!$B$47/Parameters!$B$45)/Parameters!B$62,1)</f>
        <v>114.84519924674413</v>
      </c>
      <c r="Q128" s="8"/>
      <c r="R128" s="8"/>
      <c r="S128" s="7">
        <f>Parameters!B$61*EXP(-Parameters!B$60*A128)+(1-Parameters!B$61)*P128^-Parameters!B$63</f>
        <v>0.3287193543857645</v>
      </c>
      <c r="T128" s="7">
        <f>1-S128/Parameters!$B$12</f>
        <v>0.83564032280711775</v>
      </c>
      <c r="U128" s="7">
        <f t="shared" si="37"/>
        <v>6.0842173523282268</v>
      </c>
      <c r="V128" s="7">
        <f>(Parameters!$B$19*(F128+Parameters!$B$20)^T128+Parameters!$B$18*G128^T128)^(1/T128)</f>
        <v>0.34116003658142385</v>
      </c>
      <c r="W128" s="7">
        <f>(Parameters!$B$10*H128^Parameters!$B$9+Parameters!$B$11*V128^Parameters!$B$9)^(Parameters!$B$7/Parameters!$B$9)*O128</f>
        <v>1.3464266071959594</v>
      </c>
      <c r="X128" s="7">
        <f>W128 - D128 - E128 - LN(1+EXP(Parameters!$B$21*C128))/Parameters!$B$21 - IF(C128&gt;0, 0,Parameters!$B$6*C128^2/F128)</f>
        <v>1.0271907639970201</v>
      </c>
      <c r="Y128" s="7">
        <f>EXP(-Parameters!$B$55*A128)</f>
        <v>0.15375420854803312</v>
      </c>
      <c r="Z128" s="7">
        <f>IF(X128&gt;0,X128^(1-Parameters!$B$52)/(1-Parameters!$B$52)*Y128*Parameters!$B$65,-10+X128*1000)</f>
        <v>-0.43519217781685687</v>
      </c>
      <c r="AC128" s="23">
        <f t="shared" si="38"/>
        <v>2.4421845143691317E-2</v>
      </c>
      <c r="AD128" s="23">
        <f t="shared" si="39"/>
        <v>0.4520694777588069</v>
      </c>
      <c r="AE128" s="23">
        <f t="shared" si="40"/>
        <v>1665.7738830926494</v>
      </c>
      <c r="AF128" s="23">
        <f t="shared" si="41"/>
        <v>419.17190171482969</v>
      </c>
      <c r="AG128" s="23">
        <f t="shared" si="42"/>
        <v>1062.4409135906021</v>
      </c>
      <c r="AH128" s="23">
        <f t="shared" si="43"/>
        <v>1654.3092418243307</v>
      </c>
      <c r="AI128" s="23">
        <f t="shared" si="44"/>
        <v>1262.074861648623</v>
      </c>
      <c r="AJ128" s="23"/>
      <c r="AK128" s="25">
        <f t="shared" si="35"/>
        <v>1654.3092418243307</v>
      </c>
      <c r="AL128" s="4"/>
      <c r="AM128" s="4"/>
      <c r="AN128" s="4"/>
      <c r="AO128" s="16"/>
      <c r="AP128" s="16"/>
      <c r="AS128" s="21">
        <f>-Y128*W128*X128^(-Parameters!B$52)*Parameters!B$46*Parameters!B$45*N128</f>
        <v>-4.6296159417136598E-6</v>
      </c>
      <c r="AT128" s="7">
        <f>1000*EXP(-(Parameters!$B$54)*'6states'!A128)*AK128*Parameters!B$46*Parameters!B$45*N128</f>
        <v>0.49392118393115914</v>
      </c>
      <c r="AZ128" s="5"/>
      <c r="BA128" s="5"/>
      <c r="BB128" s="5"/>
      <c r="BE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-0.17908996220035175</v>
      </c>
      <c r="BF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-220.04183369713573</v>
      </c>
      <c r="BG128" s="7">
        <f t="shared" si="52"/>
        <v>5.1253493966958608E-2</v>
      </c>
    </row>
    <row r="129" spans="1:59" x14ac:dyDescent="0.25">
      <c r="A129">
        <f>A128+Parameters!$B$65</f>
        <v>125</v>
      </c>
      <c r="B129">
        <v>2150</v>
      </c>
      <c r="C129" s="74">
        <v>-4.400547917790389E-7</v>
      </c>
      <c r="D129" s="69">
        <v>9.09499842522348E-2</v>
      </c>
      <c r="E129" s="75">
        <v>0.22597558573341789</v>
      </c>
      <c r="F129" s="7">
        <f>MAX((1-Parameters!$B$4)^Parameters!B$65*F128 + C128*Parameters!B$65 - IF(C128&gt;0,Parameters!$B$5,0)*C128^2/F128*Parameters!B$65, 0.0001)</f>
        <v>3.443518916372546E-4</v>
      </c>
      <c r="G129" s="7">
        <f>(1-Parameters!$B$4)^Parameters!B$65*G128+D128*Parameters!B$65-Parameters!$B$5*D128^2/G128*Parameters!B$65</f>
        <v>1.3553290913420748</v>
      </c>
      <c r="H129" s="7">
        <f>(1-Parameters!$B$4)^Parameters!B$65*H128+E128*Parameters!B$65-Parameters!$B$5*E128^2/H128*Parameters!B$65</f>
        <v>3.3362109094342656</v>
      </c>
      <c r="I129" s="9">
        <f>I128 *(1-Parameters!$B$4)-C128*(C128&lt;0)*Parameters!B$65</f>
        <v>1.9066518060715647E-5</v>
      </c>
      <c r="J129" s="23">
        <f>J128*(1+Parameters!$B$51)^Parameters!B$65</f>
        <v>11.719094944238924</v>
      </c>
      <c r="K129" s="23">
        <f>K128*(1+Parameters!$B$53)^Parameters!B$65</f>
        <v>107.25010868010808</v>
      </c>
      <c r="L129" s="23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0.10044505643750007</v>
      </c>
      <c r="M129" s="8">
        <f>M128+L129*Parameters!B$65</f>
        <v>3204.6404827192309</v>
      </c>
      <c r="N129" s="7">
        <f>M129*Parameters!$B$45</f>
        <v>1.9227842896315384</v>
      </c>
      <c r="O129" s="9">
        <f>EXP(-Parameters!$B$46/2*N129^2)</f>
        <v>0.96352595888185777</v>
      </c>
      <c r="P129" s="8">
        <f>MAX((Parameters!$B$62 + Parameters!$B$31*'6states'!A129 - '6states'!M129 + Parameters!$B$47/Parameters!$B$45)/Parameters!B$62,1)</f>
        <v>115.90719034561538</v>
      </c>
      <c r="Q129" s="8"/>
      <c r="R129" s="8"/>
      <c r="S129" s="7">
        <f>Parameters!B$61*EXP(-Parameters!B$60*A129)+(1-Parameters!B$61)*P129^-Parameters!B$63</f>
        <v>0.32796485312516627</v>
      </c>
      <c r="T129" s="7">
        <f>1-S129/Parameters!$B$12</f>
        <v>0.83601757343741689</v>
      </c>
      <c r="U129" s="7">
        <f t="shared" si="37"/>
        <v>6.0982144304246821</v>
      </c>
      <c r="V129" s="7">
        <f>(Parameters!$B$19*(F129+Parameters!$B$20)^T129+Parameters!$B$18*G129^T129)^(1/T129)</f>
        <v>0.34121138101225934</v>
      </c>
      <c r="W129" s="7">
        <f>(Parameters!$B$10*H129^Parameters!$B$9+Parameters!$B$11*V129^Parameters!$B$9)^(Parameters!$B$7/Parameters!$B$9)*O129</f>
        <v>1.3465156579064814</v>
      </c>
      <c r="X129" s="7">
        <f>W129 - D129 - E129 - LN(1+EXP(Parameters!$B$21*C129))/Parameters!$B$21 - IF(C129&gt;0, 0,Parameters!$B$6*C129^2/F129)</f>
        <v>1.0272798145273183</v>
      </c>
      <c r="Y129" s="7">
        <f>EXP(-Parameters!$B$55*A129)</f>
        <v>0.15144996085152654</v>
      </c>
      <c r="Z129" s="7">
        <f>IF(X129&gt;0,X129^(1-Parameters!$B$52)/(1-Parameters!$B$52)*Y129*Parameters!$B$65,-10+X129*1000)</f>
        <v>-0.42865713500649494</v>
      </c>
      <c r="AC129" s="23">
        <f t="shared" si="38"/>
        <v>2.3964214756413853E-2</v>
      </c>
      <c r="AD129" s="23">
        <f t="shared" si="39"/>
        <v>0.4328070105246466</v>
      </c>
      <c r="AE129" s="23">
        <f t="shared" si="40"/>
        <v>1703.4781760942899</v>
      </c>
      <c r="AF129" s="23">
        <f t="shared" si="41"/>
        <v>428.8597837251582</v>
      </c>
      <c r="AG129" s="23">
        <f t="shared" si="42"/>
        <v>1086.9959998731122</v>
      </c>
      <c r="AH129" s="23">
        <f t="shared" si="43"/>
        <v>1692.4007989392503</v>
      </c>
      <c r="AI129" s="23">
        <f t="shared" si="44"/>
        <v>1291.1615016369503</v>
      </c>
      <c r="AJ129" s="23"/>
      <c r="AK129" s="25">
        <f t="shared" si="35"/>
        <v>1692.4007989392503</v>
      </c>
      <c r="AL129" s="4"/>
      <c r="AM129" s="4"/>
      <c r="AN129" s="4"/>
      <c r="AO129" s="16"/>
      <c r="AP129" s="16"/>
      <c r="AS129" s="21">
        <f>-Y129*W129*X129^(-Parameters!B$52)*Parameters!B$46*Parameters!B$45*N129</f>
        <v>-4.5601447404225626E-6</v>
      </c>
      <c r="AT129" s="7">
        <f>1000*EXP(-(Parameters!$B$54)*'6states'!A129)*AK129*Parameters!B$46*Parameters!B$45*N129</f>
        <v>0.48788116831819228</v>
      </c>
      <c r="AZ129" s="5"/>
      <c r="BA129" s="5"/>
      <c r="BB129" s="5"/>
      <c r="BE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-0.16795733181928016</v>
      </c>
      <c r="BF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-211.10123813977694</v>
      </c>
      <c r="BG129" s="7">
        <f t="shared" si="52"/>
        <v>5.2464370411398391E-2</v>
      </c>
    </row>
    <row r="130" spans="1:59" x14ac:dyDescent="0.25">
      <c r="A130">
        <f>A129+Parameters!$B$65</f>
        <v>126</v>
      </c>
      <c r="B130">
        <v>2151</v>
      </c>
      <c r="C130" s="74">
        <v>-4.400547917790389E-7</v>
      </c>
      <c r="D130" s="69">
        <v>9.09499842522348E-2</v>
      </c>
      <c r="E130" s="75">
        <v>0.22597558573341789</v>
      </c>
      <c r="F130" s="7">
        <f>MAX((1-Parameters!$B$4)^Parameters!B$65*F129 + C129*Parameters!B$65 - IF(C129&gt;0,Parameters!$B$5,0)*C129^2/F129*Parameters!B$65, 0.0001)</f>
        <v>3.222521028614923E-4</v>
      </c>
      <c r="G130" s="7">
        <f>(1-Parameters!$B$4)^Parameters!B$65*G129+D129*Parameters!B$65-Parameters!$B$5*D129^2/G129*Parameters!B$65</f>
        <v>1.3549256350759649</v>
      </c>
      <c r="H130" s="7">
        <f>(1-Parameters!$B$4)^Parameters!B$65*H129+E129*Parameters!B$65-Parameters!$B$5*E129^2/H129*Parameters!B$65</f>
        <v>3.3370325528523002</v>
      </c>
      <c r="I130" s="9">
        <f>I129 *(1-Parameters!$B$4)-C129*(C129&lt;0)*Parameters!B$65</f>
        <v>1.8307288866475674E-5</v>
      </c>
      <c r="J130" s="23">
        <f>J129*(1+Parameters!$B$51)^Parameters!B$65</f>
        <v>11.753080319577215</v>
      </c>
      <c r="K130" s="23">
        <f>K129*(1+Parameters!$B$53)^Parameters!B$65</f>
        <v>109.39511085371025</v>
      </c>
      <c r="L130" s="23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9.5103472781448026E-2</v>
      </c>
      <c r="M130" s="8">
        <f>M129+L130*Parameters!B$65</f>
        <v>3204.7355861920123</v>
      </c>
      <c r="N130" s="7">
        <f>M130*Parameters!$B$45</f>
        <v>1.9228413517152072</v>
      </c>
      <c r="O130" s="9">
        <f>EXP(-Parameters!$B$46/2*N130^2)</f>
        <v>0.9635238339567227</v>
      </c>
      <c r="P130" s="8">
        <f>MAX((Parameters!$B$62 + Parameters!$B$31*'6states'!A130 - '6states'!M130 + Parameters!$B$47/Parameters!$B$45)/Parameters!B$62,1)</f>
        <v>116.96928827615977</v>
      </c>
      <c r="Q130" s="8"/>
      <c r="R130" s="8"/>
      <c r="S130" s="7">
        <f>Parameters!B$61*EXP(-Parameters!B$60*A130)+(1-Parameters!B$61)*P130^-Parameters!B$63</f>
        <v>0.32722566749139448</v>
      </c>
      <c r="T130" s="7">
        <f>1-S130/Parameters!$B$12</f>
        <v>0.83638716625430276</v>
      </c>
      <c r="U130" s="7">
        <f t="shared" si="37"/>
        <v>6.1119899772306123</v>
      </c>
      <c r="V130" s="7">
        <f>(Parameters!$B$19*(F130+Parameters!$B$20)^T130+Parameters!$B$18*G130^T130)^(1/T130)</f>
        <v>0.34126680400176068</v>
      </c>
      <c r="W130" s="7">
        <f>(Parameters!$B$10*H130^Parameters!$B$9+Parameters!$B$11*V130^Parameters!$B$9)^(Parameters!$B$7/Parameters!$B$9)*O130</f>
        <v>1.3466019956676678</v>
      </c>
      <c r="X130" s="7">
        <f>W130 - D130 - E130 - LN(1+EXP(Parameters!$B$21*C130))/Parameters!$B$21 - IF(C130&gt;0, 0,Parameters!$B$6*C130^2/F130)</f>
        <v>1.0273661520956754</v>
      </c>
      <c r="Y130" s="7">
        <f>EXP(-Parameters!$B$55*A130)</f>
        <v>0.14918024591673743</v>
      </c>
      <c r="Z130" s="7">
        <f>IF(X130&gt;0,X130^(1-Parameters!$B$52)/(1-Parameters!$B$52)*Y130*Parameters!$B$65,-10+X130*1000)</f>
        <v>-0.4222206167027423</v>
      </c>
      <c r="AC130" s="23">
        <f t="shared" si="38"/>
        <v>2.353822180794601E-2</v>
      </c>
      <c r="AD130" s="23">
        <f t="shared" si="39"/>
        <v>0.4143290429595472</v>
      </c>
      <c r="AE130" s="23">
        <f t="shared" si="40"/>
        <v>1742.0678924279075</v>
      </c>
      <c r="AF130" s="23">
        <f t="shared" si="41"/>
        <v>438.77680561385449</v>
      </c>
      <c r="AG130" s="23">
        <f t="shared" si="42"/>
        <v>1112.1318683614834</v>
      </c>
      <c r="AH130" s="23">
        <f t="shared" si="43"/>
        <v>1731.3659434899284</v>
      </c>
      <c r="AI130" s="23">
        <f t="shared" si="44"/>
        <v>1320.9149941522357</v>
      </c>
      <c r="AJ130" s="23"/>
      <c r="AK130" s="25">
        <f t="shared" si="35"/>
        <v>1731.3659434899284</v>
      </c>
      <c r="AL130" s="4"/>
      <c r="AM130" s="4"/>
      <c r="AN130" s="4"/>
      <c r="AO130" s="16"/>
      <c r="AP130" s="16"/>
      <c r="AS130" s="21">
        <f>-Y130*W130*X130^(-Parameters!B$52)*Parameters!B$46*Parameters!B$45*N130</f>
        <v>-4.4917155099509782E-6</v>
      </c>
      <c r="AT130" s="7">
        <f>1000*EXP(-(Parameters!$B$54)*'6states'!A130)*AK130*Parameters!B$46*Parameters!B$45*N130</f>
        <v>0.48191323754594145</v>
      </c>
      <c r="AZ130" s="5"/>
      <c r="BA130" s="5"/>
      <c r="BB130" s="5"/>
      <c r="BE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-0.15694465583873382</v>
      </c>
      <c r="BF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-201.78837771379054</v>
      </c>
      <c r="BG130" s="7">
        <f t="shared" si="52"/>
        <v>5.3756523270687452E-2</v>
      </c>
    </row>
    <row r="131" spans="1:59" x14ac:dyDescent="0.25">
      <c r="A131">
        <f>A130+Parameters!$B$65</f>
        <v>127</v>
      </c>
      <c r="B131">
        <v>2152</v>
      </c>
      <c r="C131" s="74">
        <v>-4.400547917790389E-7</v>
      </c>
      <c r="D131" s="69">
        <v>9.09499842522348E-2</v>
      </c>
      <c r="E131" s="75">
        <v>0.22597558573341789</v>
      </c>
      <c r="F131" s="7">
        <f>MAX((1-Parameters!$B$4)^Parameters!B$65*F130 + C130*Parameters!B$65 - IF(C130&gt;0,Parameters!$B$5,0)*C130^2/F130*Parameters!B$65, 0.0001)</f>
        <v>3.0154239079972545E-4</v>
      </c>
      <c r="G131" s="7">
        <f>(1-Parameters!$B$4)^Parameters!B$65*G130+D130*Parameters!B$65-Parameters!$B$5*D130^2/G130*Parameters!B$65</f>
        <v>1.354545738846749</v>
      </c>
      <c r="H131" s="7">
        <f>(1-Parameters!$B$4)^Parameters!B$65*H130+E130*Parameters!B$65-Parameters!$B$5*E130^2/H130*Parameters!B$65</f>
        <v>3.3378062836072635</v>
      </c>
      <c r="I131" s="9">
        <f>I130 *(1-Parameters!$B$4)-C130*(C130&lt;0)*Parameters!B$65</f>
        <v>1.7595815188553396E-5</v>
      </c>
      <c r="J131" s="23">
        <f>J130*(1+Parameters!$B$51)^Parameters!B$65</f>
        <v>11.787164252503988</v>
      </c>
      <c r="K131" s="23">
        <f>K130*(1+Parameters!$B$53)^Parameters!B$65</f>
        <v>111.58301307078446</v>
      </c>
      <c r="L131" s="23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9.0036685938007274E-2</v>
      </c>
      <c r="M131" s="8">
        <f>M130+L131*Parameters!B$65</f>
        <v>3204.8256228779505</v>
      </c>
      <c r="N131" s="7">
        <f>M131*Parameters!$B$45</f>
        <v>1.9228953737267702</v>
      </c>
      <c r="O131" s="9">
        <f>EXP(-Parameters!$B$46/2*N131^2)</f>
        <v>0.96352182218651927</v>
      </c>
      <c r="P131" s="8">
        <f>MAX((Parameters!$B$62 + Parameters!$B$31*'6states'!A131 - '6states'!M131 + Parameters!$B$47/Parameters!$B$45)/Parameters!B$62,1)</f>
        <v>118.03148754244098</v>
      </c>
      <c r="Q131" s="8"/>
      <c r="R131" s="8"/>
      <c r="S131" s="7">
        <f>Parameters!B$61*EXP(-Parameters!B$60*A131)+(1-Parameters!B$61)*P131^-Parameters!B$63</f>
        <v>0.32650141303541175</v>
      </c>
      <c r="T131" s="7">
        <f>1-S131/Parameters!$B$12</f>
        <v>0.8367492934822941</v>
      </c>
      <c r="U131" s="7">
        <f t="shared" si="37"/>
        <v>6.1255477622790053</v>
      </c>
      <c r="V131" s="7">
        <f>(Parameters!$B$19*(F131+Parameters!$B$20)^T131+Parameters!$B$18*G131^T131)^(1/T131)</f>
        <v>0.34132593772991304</v>
      </c>
      <c r="W131" s="7">
        <f>(Parameters!$B$10*H131^Parameters!$B$9+Parameters!$B$11*V131^Parameters!$B$9)^(Parameters!$B$7/Parameters!$B$9)*O131</f>
        <v>1.346685736494954</v>
      </c>
      <c r="X131" s="7">
        <f>W131 - D131 - E131 - LN(1+EXP(Parameters!$B$21*C131))/Parameters!$B$21 - IF(C131&gt;0, 0,Parameters!$B$6*C131^2/F131)</f>
        <v>1.0274498927166074</v>
      </c>
      <c r="Y131" s="7">
        <f>EXP(-Parameters!$B$55*A131)</f>
        <v>0.14694454621613023</v>
      </c>
      <c r="Z131" s="7">
        <f>IF(X131&gt;0,X131^(1-Parameters!$B$52)/(1-Parameters!$B$52)*Y131*Parameters!$B$65,-10+X131*1000)</f>
        <v>-0.41588111513203641</v>
      </c>
      <c r="AC131" s="23">
        <f t="shared" si="38"/>
        <v>2.314284846827349E-2</v>
      </c>
      <c r="AD131" s="23">
        <f t="shared" si="39"/>
        <v>0.39660281619567744</v>
      </c>
      <c r="AE131" s="23">
        <f t="shared" si="40"/>
        <v>1781.5626296114265</v>
      </c>
      <c r="AF131" s="23">
        <f t="shared" si="41"/>
        <v>448.9280189935975</v>
      </c>
      <c r="AG131" s="23">
        <f t="shared" si="42"/>
        <v>1137.861322967352</v>
      </c>
      <c r="AH131" s="23">
        <f t="shared" si="43"/>
        <v>1771.2247827177971</v>
      </c>
      <c r="AI131" s="23">
        <f t="shared" si="44"/>
        <v>1351.3507002138028</v>
      </c>
      <c r="AJ131" s="23"/>
      <c r="AK131" s="25">
        <f t="shared" si="35"/>
        <v>1771.2247827177973</v>
      </c>
      <c r="AL131" s="4"/>
      <c r="AM131" s="4"/>
      <c r="AN131" s="4"/>
      <c r="AO131" s="16"/>
      <c r="AP131" s="16"/>
      <c r="AS131" s="21">
        <f>-Y131*W131*X131^(-Parameters!B$52)*Parameters!B$46*Parameters!B$45*N131</f>
        <v>-4.4243127142074124E-6</v>
      </c>
      <c r="AT131" s="7">
        <f>1000*EXP(-(Parameters!$B$54)*'6states'!A131)*AK131*Parameters!B$46*Parameters!B$45*N131</f>
        <v>0.4760166356631832</v>
      </c>
      <c r="AZ131" s="5"/>
      <c r="BA131" s="5"/>
      <c r="BB131" s="5"/>
      <c r="BE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-0.14608571840665827</v>
      </c>
      <c r="BF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-192.13884711993907</v>
      </c>
      <c r="BG131" s="7">
        <f t="shared" si="52"/>
        <v>5.5135407978070941E-2</v>
      </c>
    </row>
    <row r="132" spans="1:59" x14ac:dyDescent="0.25">
      <c r="A132">
        <f>A131+Parameters!$B$65</f>
        <v>128</v>
      </c>
      <c r="B132">
        <v>2153</v>
      </c>
      <c r="C132" s="74">
        <v>-4.400547917790389E-7</v>
      </c>
      <c r="D132" s="69">
        <v>9.09499842522348E-2</v>
      </c>
      <c r="E132" s="75">
        <v>0.22597558573341789</v>
      </c>
      <c r="F132" s="7">
        <f>MAX((1-Parameters!$B$4)^Parameters!B$65*F131 + C131*Parameters!B$65 - IF(C131&gt;0,Parameters!$B$5,0)*C131^2/F131*Parameters!B$65, 0.0001)</f>
        <v>2.8213531962664371E-4</v>
      </c>
      <c r="G132" s="7">
        <f>(1-Parameters!$B$4)^Parameters!B$65*G131+D131*Parameters!B$65-Parameters!$B$5*D131^2/G131*Parameters!B$65</f>
        <v>1.3541880258642811</v>
      </c>
      <c r="H132" s="7">
        <f>(1-Parameters!$B$4)^Parameters!B$65*H131+E131*Parameters!B$65-Parameters!$B$5*E131^2/H131*Parameters!B$65</f>
        <v>3.3385348939439248</v>
      </c>
      <c r="I132" s="9">
        <f>I131 *(1-Parameters!$B$4)-C131*(C131&lt;0)*Parameters!B$65</f>
        <v>1.692909320497243E-5</v>
      </c>
      <c r="J132" s="23">
        <f>J131*(1+Parameters!$B$51)^Parameters!B$65</f>
        <v>11.821347028836248</v>
      </c>
      <c r="K132" s="23">
        <f>K131*(1+Parameters!$B$53)^Parameters!B$65</f>
        <v>113.81467333220016</v>
      </c>
      <c r="L132" s="23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8.5230837227013398E-2</v>
      </c>
      <c r="M132" s="8">
        <f>M131+L132*Parameters!B$65</f>
        <v>3204.9108537151774</v>
      </c>
      <c r="N132" s="7">
        <f>M132*Parameters!$B$45</f>
        <v>1.9229465122291063</v>
      </c>
      <c r="O132" s="9">
        <f>EXP(-Parameters!$B$46/2*N132^2)</f>
        <v>0.96351991774948731</v>
      </c>
      <c r="P132" s="8">
        <f>MAX((Parameters!$B$62 + Parameters!$B$31*'6states'!A132 - '6states'!M132 + Parameters!$B$47/Parameters!$B$45)/Parameters!B$62,1)</f>
        <v>119.09378292569647</v>
      </c>
      <c r="Q132" s="8"/>
      <c r="R132" s="8"/>
      <c r="S132" s="7">
        <f>Parameters!B$61*EXP(-Parameters!B$60*A132)+(1-Parameters!B$61)*P132^-Parameters!B$63</f>
        <v>0.3257917155109058</v>
      </c>
      <c r="T132" s="7">
        <f>1-S132/Parameters!$B$12</f>
        <v>0.8371041422445471</v>
      </c>
      <c r="U132" s="7">
        <f t="shared" si="37"/>
        <v>6.1388915211168111</v>
      </c>
      <c r="V132" s="7">
        <f>(Parameters!$B$19*(F132+Parameters!$B$20)^T132+Parameters!$B$18*G132^T132)^(1/T132)</f>
        <v>0.34138843914743944</v>
      </c>
      <c r="W132" s="7">
        <f>(Parameters!$B$10*H132^Parameters!$B$9+Parameters!$B$11*V132^Parameters!$B$9)^(Parameters!$B$7/Parameters!$B$9)*O132</f>
        <v>1.3467669898614401</v>
      </c>
      <c r="X132" s="7">
        <f>W132 - D132 - E132 - LN(1+EXP(Parameters!$B$21*C132))/Parameters!$B$21 - IF(C132&gt;0, 0,Parameters!$B$6*C132^2/F132)</f>
        <v>1.0275311458622227</v>
      </c>
      <c r="Y132" s="7">
        <f>EXP(-Parameters!$B$55*A132)</f>
        <v>0.14474235197813023</v>
      </c>
      <c r="Z132" s="7">
        <f>IF(X132&gt;0,X132^(1-Parameters!$B$52)/(1-Parameters!$B$52)*Y132*Parameters!$B$65,-10+X132*1000)</f>
        <v>-0.409637147093598</v>
      </c>
      <c r="AC132" s="23">
        <f t="shared" si="38"/>
        <v>2.277712572404441E-2</v>
      </c>
      <c r="AD132" s="23">
        <f t="shared" si="39"/>
        <v>0.37959692043292659</v>
      </c>
      <c r="AE132" s="23">
        <f t="shared" si="40"/>
        <v>1821.9824621230482</v>
      </c>
      <c r="AF132" s="23">
        <f t="shared" si="41"/>
        <v>459.31860053275523</v>
      </c>
      <c r="AG132" s="23">
        <f t="shared" si="42"/>
        <v>1164.1974845708332</v>
      </c>
      <c r="AH132" s="23">
        <f t="shared" si="43"/>
        <v>1811.9978830323194</v>
      </c>
      <c r="AI132" s="23">
        <f t="shared" si="44"/>
        <v>1382.4843310450294</v>
      </c>
      <c r="AJ132" s="23"/>
      <c r="AK132" s="25">
        <f t="shared" ref="AK132:AK195" si="53">W132*K132*J132</f>
        <v>1811.9978830323194</v>
      </c>
      <c r="AL132" s="4"/>
      <c r="AM132" s="4"/>
      <c r="AN132" s="4"/>
      <c r="AO132" s="16"/>
      <c r="AP132" s="16"/>
      <c r="AS132" s="21">
        <f>-Y132*W132*X132^(-Parameters!B$52)*Parameters!B$46*Parameters!B$45*N132</f>
        <v>-4.3579210436489285E-6</v>
      </c>
      <c r="AT132" s="7">
        <f>1000*EXP(-(Parameters!$B$54)*'6states'!A132)*AK132*Parameters!B$46*Parameters!B$45*N132</f>
        <v>0.47019060782868127</v>
      </c>
      <c r="AZ132" s="5"/>
      <c r="BA132" s="5"/>
      <c r="BB132" s="5"/>
      <c r="BE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-0.13541579664318806</v>
      </c>
      <c r="BF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-182.19420188776428</v>
      </c>
      <c r="BG132" s="7">
        <f t="shared" ref="BG132:BG142" si="54">I132/(F132+I132)</f>
        <v>5.6606846146231744E-2</v>
      </c>
    </row>
    <row r="133" spans="1:59" x14ac:dyDescent="0.25">
      <c r="A133">
        <f>A132+Parameters!$B$65</f>
        <v>129</v>
      </c>
      <c r="B133">
        <v>2154</v>
      </c>
      <c r="C133" s="74">
        <v>-4.400547917790389E-7</v>
      </c>
      <c r="D133" s="69">
        <v>9.09499842522348E-2</v>
      </c>
      <c r="E133" s="75">
        <v>0.22597558573341789</v>
      </c>
      <c r="F133" s="7">
        <f>MAX((1-Parameters!$B$4)^Parameters!B$65*F132 + C132*Parameters!B$65 - IF(C132&gt;0,Parameters!$B$5,0)*C132^2/F132*Parameters!B$65, 0.0001)</f>
        <v>2.6394895323034884E-4</v>
      </c>
      <c r="G133" s="7">
        <f>(1-Parameters!$B$4)^Parameters!B$65*G132+D132*Parameters!B$65-Parameters!$B$5*D132^2/G132*Parameters!B$65</f>
        <v>1.3538511999060363</v>
      </c>
      <c r="H133" s="7">
        <f>(1-Parameters!$B$4)^Parameters!B$65*H132+E132*Parameters!B$65-Parameters!$B$5*E132^2/H132*Parameters!B$65</f>
        <v>3.3392210135743414</v>
      </c>
      <c r="I133" s="9">
        <f>I132 *(1-Parameters!$B$4)-C132*(C132&lt;0)*Parameters!B$65</f>
        <v>1.6304308034158705E-5</v>
      </c>
      <c r="J133" s="23">
        <f>J132*(1+Parameters!$B$51)^Parameters!B$65</f>
        <v>11.855628935219872</v>
      </c>
      <c r="K133" s="23">
        <f>K132*(1+Parameters!$B$53)^Parameters!B$65</f>
        <v>116.09096679884416</v>
      </c>
      <c r="L133" s="23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8.0672753496909583E-2</v>
      </c>
      <c r="M133" s="8">
        <f>M132+L133*Parameters!B$65</f>
        <v>3204.9915264686742</v>
      </c>
      <c r="N133" s="7">
        <f>M133*Parameters!$B$45</f>
        <v>1.9229949158812043</v>
      </c>
      <c r="O133" s="9">
        <f>EXP(-Parameters!$B$46/2*N133^2)</f>
        <v>0.96351811511718599</v>
      </c>
      <c r="P133" s="8">
        <f>MAX((Parameters!$B$62 + Parameters!$B$31*'6states'!A133 - '6states'!M133 + Parameters!$B$47/Parameters!$B$45)/Parameters!B$62,1)</f>
        <v>120.15616947062652</v>
      </c>
      <c r="Q133" s="8"/>
      <c r="R133" s="8"/>
      <c r="S133" s="7">
        <f>Parameters!B$61*EXP(-Parameters!B$60*A133)+(1-Parameters!B$61)*P133^-Parameters!B$63</f>
        <v>0.32509621059459121</v>
      </c>
      <c r="T133" s="7">
        <f>1-S133/Parameters!$B$12</f>
        <v>0.83745189470270442</v>
      </c>
      <c r="U133" s="7">
        <f t="shared" ref="U133:U196" si="55">1/(1-T133)</f>
        <v>6.1520249539115222</v>
      </c>
      <c r="V133" s="7">
        <f>(Parameters!$B$19*(F133+Parameters!$B$20)^T133+Parameters!$B$18*G133^T133)^(1/T133)</f>
        <v>0.34145398843767083</v>
      </c>
      <c r="W133" s="7">
        <f>(Parameters!$B$10*H133^Parameters!$B$9+Parameters!$B$11*V133^Parameters!$B$9)^(Parameters!$B$7/Parameters!$B$9)*O133</f>
        <v>1.3468458591954628</v>
      </c>
      <c r="X133" s="7">
        <f>W133 - D133 - E133 - LN(1+EXP(Parameters!$B$21*C133))/Parameters!$B$21 - IF(C133&gt;0, 0,Parameters!$B$6*C133^2/F133)</f>
        <v>1.0276100149597887</v>
      </c>
      <c r="Y133" s="7">
        <f>EXP(-Parameters!$B$55*A133)</f>
        <v>0.14257316107088844</v>
      </c>
      <c r="Z133" s="7">
        <f>IF(X133&gt;0,X133^(1-Parameters!$B$52)/(1-Parameters!$B$52)*Y133*Parameters!$B$65,-10+X133*1000)</f>
        <v>-0.40348725343814884</v>
      </c>
      <c r="AC133" s="23">
        <f t="shared" ref="AC133:AC196" si="56">I133*J133*K133</f>
        <v>2.2440131511890855E-2</v>
      </c>
      <c r="AD133" s="23">
        <f t="shared" ref="AD133:AD196" si="57">F133*J133*K133</f>
        <v>0.36328123895265829</v>
      </c>
      <c r="AE133" s="23">
        <f t="shared" ref="AE133:AE196" si="58">G133*J133*K133</f>
        <v>1863.3479513373479</v>
      </c>
      <c r="AF133" s="23">
        <f t="shared" ref="AF133:AF196" si="59">V133*J133*K133</f>
        <v>469.95385451182449</v>
      </c>
      <c r="AG133" s="23">
        <f t="shared" ref="AG133:AG196" si="60">AF133/AF$4*100</f>
        <v>1191.1537975001231</v>
      </c>
      <c r="AH133" s="23">
        <f t="shared" ref="AH133:AH196" si="61">W133*J133*K133</f>
        <v>1853.7062807738671</v>
      </c>
      <c r="AI133" s="23">
        <f t="shared" ref="AI133:AI196" si="62">X133*J133*K133</f>
        <v>1414.3319563346101</v>
      </c>
      <c r="AJ133" s="23"/>
      <c r="AK133" s="25">
        <f t="shared" si="53"/>
        <v>1853.7062807738673</v>
      </c>
      <c r="AL133" s="4"/>
      <c r="AM133" s="4"/>
      <c r="AN133" s="4"/>
      <c r="AO133" s="16"/>
      <c r="AP133" s="16"/>
      <c r="AS133" s="21">
        <f>-Y133*W133*X133^(-Parameters!B$52)*Parameters!B$46*Parameters!B$45*N133</f>
        <v>-4.2925254118377113E-6</v>
      </c>
      <c r="AT133" s="7">
        <f>1000*EXP(-(Parameters!$B$54)*'6states'!A133)*AK133*Parameters!B$46*Parameters!B$45*N133</f>
        <v>0.46443440086660148</v>
      </c>
      <c r="AZ133" s="5"/>
      <c r="BA133" s="5"/>
      <c r="BB133" s="5"/>
      <c r="BE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-0.12497130008373336</v>
      </c>
      <c r="BF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-172.00192754059785</v>
      </c>
      <c r="BG133" s="7">
        <f t="shared" si="54"/>
        <v>5.8177050145976489E-2</v>
      </c>
    </row>
    <row r="134" spans="1:59" x14ac:dyDescent="0.25">
      <c r="A134">
        <f>A133+Parameters!$B$65</f>
        <v>130</v>
      </c>
      <c r="B134">
        <v>2155</v>
      </c>
      <c r="C134" s="74">
        <v>-4.400547917790389E-7</v>
      </c>
      <c r="D134" s="69">
        <v>9.09499842522348E-2</v>
      </c>
      <c r="E134" s="75">
        <v>0.22597558573341789</v>
      </c>
      <c r="F134" s="7">
        <f>MAX((1-Parameters!$B$4)^Parameters!B$65*F133 + C133*Parameters!B$65 - IF(C133&gt;0,Parameters!$B$5,0)*C133^2/F133*Parameters!B$65, 0.0001)</f>
        <v>2.4690650928038091E-4</v>
      </c>
      <c r="G134" s="7">
        <f>(1-Parameters!$B$4)^Parameters!B$65*G133+D133*Parameters!B$65-Parameters!$B$5*D133^2/G133*Parameters!B$65</f>
        <v>1.3535340405899152</v>
      </c>
      <c r="H134" s="7">
        <f>(1-Parameters!$B$4)^Parameters!B$65*H133+E133*Parameters!B$65-Parameters!$B$5*E133^2/H133*Parameters!B$65</f>
        <v>3.3398671191166045</v>
      </c>
      <c r="I134" s="9">
        <f>I133 *(1-Parameters!$B$4)-C133*(C133&lt;0)*Parameters!B$65</f>
        <v>1.5718821850589164E-5</v>
      </c>
      <c r="J134" s="23">
        <f>J133*(1+Parameters!$B$51)^Parameters!B$65</f>
        <v>11.890010259132008</v>
      </c>
      <c r="K134" s="23">
        <f>K133*(1+Parameters!$B$53)^Parameters!B$65</f>
        <v>118.41278613482105</v>
      </c>
      <c r="L134" s="23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7.6349909430071874E-2</v>
      </c>
      <c r="M134" s="8">
        <f>M133+L134*Parameters!B$65</f>
        <v>3205.0678763781043</v>
      </c>
      <c r="N134" s="7">
        <f>M134*Parameters!$B$45</f>
        <v>1.9230407258268625</v>
      </c>
      <c r="O134" s="9">
        <f>EXP(-Parameters!$B$46/2*N134^2)</f>
        <v>0.96351640904012914</v>
      </c>
      <c r="P134" s="8">
        <f>MAX((Parameters!$B$62 + Parameters!$B$31*'6states'!A134 - '6states'!M134 + Parameters!$B$47/Parameters!$B$45)/Parameters!B$62,1)</f>
        <v>121.21864247243792</v>
      </c>
      <c r="Q134" s="8"/>
      <c r="R134" s="8"/>
      <c r="S134" s="7">
        <f>Parameters!B$61*EXP(-Parameters!B$60*A134)+(1-Parameters!B$61)*P134^-Parameters!B$63</f>
        <v>0.32441454361445138</v>
      </c>
      <c r="T134" s="7">
        <f>1-S134/Parameters!$B$12</f>
        <v>0.83779272819277428</v>
      </c>
      <c r="U134" s="7">
        <f t="shared" si="55"/>
        <v>6.1649517241646485</v>
      </c>
      <c r="V134" s="7">
        <f>(Parameters!$B$19*(F134+Parameters!$B$20)^T134+Parameters!$B$18*G134^T134)^(1/T134)</f>
        <v>0.34152228757062436</v>
      </c>
      <c r="W134" s="7">
        <f>(Parameters!$B$10*H134^Parameters!$B$9+Parameters!$B$11*V134^Parameters!$B$9)^(Parameters!$B$7/Parameters!$B$9)*O134</f>
        <v>1.3469224423300841</v>
      </c>
      <c r="X134" s="7">
        <f>W134 - D134 - E134 - LN(1+EXP(Parameters!$B$21*C134))/Parameters!$B$21 - IF(C134&gt;0, 0,Parameters!$B$6*C134^2/F134)</f>
        <v>1.0276865978412104</v>
      </c>
      <c r="Y134" s="7">
        <f>EXP(-Parameters!$B$55*A134)</f>
        <v>0.14043647888778818</v>
      </c>
      <c r="Z134" s="7">
        <f>IF(X134&gt;0,X134^(1-Parameters!$B$52)/(1-Parameters!$B$52)*Y134*Parameters!$B$65,-10+X134*1000)</f>
        <v>-0.39742999856899441</v>
      </c>
      <c r="AC134" s="23">
        <f t="shared" si="56"/>
        <v>2.2130988932532399E-2</v>
      </c>
      <c r="AD134" s="23">
        <f t="shared" si="57"/>
        <v>0.34762689444498723</v>
      </c>
      <c r="AE134" s="23">
        <f t="shared" si="58"/>
        <v>1905.6801557286249</v>
      </c>
      <c r="AF134" s="23">
        <f t="shared" si="59"/>
        <v>480.83921545019234</v>
      </c>
      <c r="AG134" s="23">
        <f t="shared" si="60"/>
        <v>1218.744036189335</v>
      </c>
      <c r="AH134" s="23">
        <f t="shared" si="61"/>
        <v>1896.3714932025473</v>
      </c>
      <c r="AI134" s="23">
        <f t="shared" si="62"/>
        <v>1446.9100126663268</v>
      </c>
      <c r="AJ134" s="23"/>
      <c r="AK134" s="25">
        <f t="shared" si="53"/>
        <v>1896.3714932025473</v>
      </c>
      <c r="AL134" s="4"/>
      <c r="AM134" s="4"/>
      <c r="AN134" s="4"/>
      <c r="AO134" s="16"/>
      <c r="AP134" s="16"/>
      <c r="AS134" s="21">
        <f>-Y134*W134*X134^(-Parameters!B$52)*Parameters!B$46*Parameters!B$45*N134</f>
        <v>-4.2281109521315994E-6</v>
      </c>
      <c r="AT134" s="7">
        <f>1000*EXP(-(Parameters!$B$54)*'6states'!A134)*AK134*Parameters!B$46*Parameters!B$45*N134</f>
        <v>0.45874726376870156</v>
      </c>
      <c r="AZ134" s="5"/>
      <c r="BA134" s="5"/>
      <c r="BB134" s="5"/>
      <c r="BE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-0.11478933697444343</v>
      </c>
      <c r="BF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-161.61526419099417</v>
      </c>
      <c r="BG134" s="7">
        <f t="shared" si="54"/>
        <v>5.9852649334691393E-2</v>
      </c>
    </row>
    <row r="135" spans="1:59" x14ac:dyDescent="0.25">
      <c r="A135">
        <f>A134+Parameters!$B$65</f>
        <v>131</v>
      </c>
      <c r="B135">
        <v>2156</v>
      </c>
      <c r="C135" s="74">
        <v>-4.400547917790389E-7</v>
      </c>
      <c r="D135" s="69">
        <v>9.09499842522348E-2</v>
      </c>
      <c r="E135" s="75">
        <v>0.22597558573341789</v>
      </c>
      <c r="F135" s="7">
        <f>MAX((1-Parameters!$B$4)^Parameters!B$65*F134 + C134*Parameters!B$65 - IF(C134&gt;0,Parameters!$B$5,0)*C134^2/F134*Parameters!B$65, 0.0001)</f>
        <v>2.3093603505486591E-4</v>
      </c>
      <c r="G135" s="7">
        <f>(1-Parameters!$B$4)^Parameters!B$65*G134+D134*Parameters!B$65-Parameters!$B$5*D134^2/G134*Parameters!B$65</f>
        <v>1.3532353989258075</v>
      </c>
      <c r="H135" s="7">
        <f>(1-Parameters!$B$4)^Parameters!B$65*H134+E134*Parameters!B$65-Parameters!$B$5*E134^2/H134*Parameters!B$65</f>
        <v>3.3404755429879787</v>
      </c>
      <c r="I135" s="9">
        <f>I134 *(1-Parameters!$B$4)-C134*(C134&lt;0)*Parameters!B$65</f>
        <v>1.5170162747966146E-5</v>
      </c>
      <c r="J135" s="23">
        <f>J134*(1+Parameters!$B$51)^Parameters!B$65</f>
        <v>11.924491288883489</v>
      </c>
      <c r="K135" s="23">
        <f>K134*(1+Parameters!$B$53)^Parameters!B$65</f>
        <v>120.78104185751747</v>
      </c>
      <c r="L135" s="23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7.2250391860938457E-2</v>
      </c>
      <c r="M135" s="8">
        <f>M134+L135*Parameters!B$65</f>
        <v>3205.1401267699653</v>
      </c>
      <c r="N135" s="7">
        <f>M135*Parameters!$B$45</f>
        <v>1.923084076061979</v>
      </c>
      <c r="O135" s="9">
        <f>EXP(-Parameters!$B$46/2*N135^2)</f>
        <v>0.96351479453420519</v>
      </c>
      <c r="P135" s="8">
        <f>MAX((Parameters!$B$62 + Parameters!$B$31*'6states'!A135 - '6states'!M135 + Parameters!$B$47/Parameters!$B$45)/Parameters!B$62,1)</f>
        <v>122.28119746460069</v>
      </c>
      <c r="Q135" s="8"/>
      <c r="R135" s="8"/>
      <c r="S135" s="7">
        <f>Parameters!B$61*EXP(-Parameters!B$60*A135)+(1-Parameters!B$61)*P135^-Parameters!B$63</f>
        <v>0.32374636928568512</v>
      </c>
      <c r="T135" s="7">
        <f>1-S135/Parameters!$B$12</f>
        <v>0.8381268153571575</v>
      </c>
      <c r="U135" s="7">
        <f t="shared" si="55"/>
        <v>6.1776754575280837</v>
      </c>
      <c r="V135" s="7">
        <f>(Parameters!$B$19*(F135+Parameters!$B$20)^T135+Parameters!$B$18*G135^T135)^(1/T135)</f>
        <v>0.34159305894389647</v>
      </c>
      <c r="W135" s="7">
        <f>(Parameters!$B$10*H135^Parameters!$B$9+Parameters!$B$11*V135^Parameters!$B$9)^(Parameters!$B$7/Parameters!$B$9)*O135</f>
        <v>1.3469968319097942</v>
      </c>
      <c r="X135" s="7">
        <f>W135 - D135 - E135 - LN(1+EXP(Parameters!$B$21*C135))/Parameters!$B$21 - IF(C135&gt;0, 0,Parameters!$B$6*C135^2/F135)</f>
        <v>1.0277609871497284</v>
      </c>
      <c r="Y135" s="7">
        <f>EXP(-Parameters!$B$55*A135)</f>
        <v>0.13833181823466795</v>
      </c>
      <c r="Z135" s="7">
        <f>IF(X135&gt;0,X135^(1-Parameters!$B$52)/(1-Parameters!$B$52)*Y135*Parameters!$B$65,-10+X135*1000)</f>
        <v>-0.39146396996351401</v>
      </c>
      <c r="AC135" s="23">
        <f t="shared" si="56"/>
        <v>2.1848864542399364E-2</v>
      </c>
      <c r="AD135" s="23">
        <f t="shared" si="57"/>
        <v>0.33260619755374932</v>
      </c>
      <c r="AE135" s="23">
        <f t="shared" si="58"/>
        <v>1949.0006413460342</v>
      </c>
      <c r="AF135" s="23">
        <f t="shared" si="59"/>
        <v>491.98025080447155</v>
      </c>
      <c r="AG135" s="23">
        <f t="shared" si="60"/>
        <v>1246.9823120177523</v>
      </c>
      <c r="AH135" s="23">
        <f t="shared" si="61"/>
        <v>1940.0155297202655</v>
      </c>
      <c r="AI135" s="23">
        <f t="shared" si="62"/>
        <v>1480.2353121233095</v>
      </c>
      <c r="AJ135" s="23"/>
      <c r="AK135" s="25">
        <f t="shared" si="53"/>
        <v>1940.0155297202657</v>
      </c>
      <c r="AL135" s="4"/>
      <c r="AM135" s="4"/>
      <c r="AN135" s="4"/>
      <c r="AO135" s="16"/>
      <c r="AP135" s="16"/>
      <c r="AS135" s="21">
        <f>-Y135*W135*X135^(-Parameters!B$52)*Parameters!B$46*Parameters!B$45*N135</f>
        <v>-4.1646630144895977E-6</v>
      </c>
      <c r="AT135" s="7">
        <f>1000*EXP(-(Parameters!$B$54)*'6states'!A135)*AK135*Parameters!B$46*Parameters!B$45*N135</f>
        <v>0.45312844814839781</v>
      </c>
      <c r="AZ135" s="5"/>
      <c r="BA135" s="5"/>
      <c r="BB135" s="5"/>
      <c r="BE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-0.10490720777289284</v>
      </c>
      <c r="BF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-151.09286632133086</v>
      </c>
      <c r="BG135" s="7">
        <f t="shared" si="54"/>
        <v>6.1640718045303834E-2</v>
      </c>
    </row>
    <row r="136" spans="1:59" x14ac:dyDescent="0.25">
      <c r="A136">
        <f>A135+Parameters!$B$65</f>
        <v>132</v>
      </c>
      <c r="B136">
        <v>2157</v>
      </c>
      <c r="C136" s="74">
        <v>-4.400547917790389E-7</v>
      </c>
      <c r="D136" s="69">
        <v>9.09499842522348E-2</v>
      </c>
      <c r="E136" s="75">
        <v>0.22597558573341789</v>
      </c>
      <c r="F136" s="7">
        <f>MAX((1-Parameters!$B$4)^Parameters!B$65*F135 + C135*Parameters!B$65 - IF(C135&gt;0,Parameters!$B$5,0)*C135^2/F135*Parameters!B$65, 0.0001)</f>
        <v>2.1597010365813582E-4</v>
      </c>
      <c r="G136" s="7">
        <f>(1-Parameters!$B$4)^Parameters!B$65*G135+D135*Parameters!B$65-Parameters!$B$5*D135^2/G135*Parameters!B$65</f>
        <v>1.3529541931293176</v>
      </c>
      <c r="H136" s="7">
        <f>(1-Parameters!$B$4)^Parameters!B$65*H135+E135*Parameters!B$65-Parameters!$B$5*E135^2/H135*Parameters!B$65</f>
        <v>3.3410484817836843</v>
      </c>
      <c r="I136" s="9">
        <f>I135 *(1-Parameters!$B$4)-C135*(C135&lt;0)*Parameters!B$65</f>
        <v>1.4656014302898114E-5</v>
      </c>
      <c r="J136" s="23">
        <f>J135*(1+Parameters!$B$51)^Parameters!B$65</f>
        <v>11.959072313621251</v>
      </c>
      <c r="K136" s="23">
        <f>K135*(1+Parameters!$B$53)^Parameters!B$65</f>
        <v>123.19666269466782</v>
      </c>
      <c r="L136" s="23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6.8362866083157531E-2</v>
      </c>
      <c r="M136" s="8">
        <f>M135+L136*Parameters!B$65</f>
        <v>3205.2084896360484</v>
      </c>
      <c r="N136" s="7">
        <f>M136*Parameters!$B$45</f>
        <v>1.9231250937816289</v>
      </c>
      <c r="O136" s="9">
        <f>EXP(-Parameters!$B$46/2*N136^2)</f>
        <v>0.96351326686784156</v>
      </c>
      <c r="P136" s="8">
        <f>MAX((Parameters!$B$62 + Parameters!$B$31*'6states'!A136 - '6states'!M136 + Parameters!$B$47/Parameters!$B$45)/Parameters!B$62,1)</f>
        <v>123.34383020727904</v>
      </c>
      <c r="Q136" s="8"/>
      <c r="R136" s="8"/>
      <c r="S136" s="7">
        <f>Parameters!B$61*EXP(-Parameters!B$60*A136)+(1-Parameters!B$61)*P136^-Parameters!B$63</f>
        <v>0.32309135145412848</v>
      </c>
      <c r="T136" s="7">
        <f>1-S136/Parameters!$B$12</f>
        <v>0.83845432427293576</v>
      </c>
      <c r="U136" s="7">
        <f t="shared" si="55"/>
        <v>6.1901997407193177</v>
      </c>
      <c r="V136" s="7">
        <f>(Parameters!$B$19*(F136+Parameters!$B$20)^T136+Parameters!$B$18*G136^T136)^(1/T136)</f>
        <v>0.34166604410528167</v>
      </c>
      <c r="W136" s="7">
        <f>(Parameters!$B$10*H136^Parameters!$B$9+Parameters!$B$11*V136^Parameters!$B$9)^(Parameters!$B$7/Parameters!$B$9)*O136</f>
        <v>1.3470691157591288</v>
      </c>
      <c r="X136" s="7">
        <f>W136 - D136 - E136 - LN(1+EXP(Parameters!$B$21*C136))/Parameters!$B$21 - IF(C136&gt;0, 0,Parameters!$B$6*C136^2/F136)</f>
        <v>1.0278332707085256</v>
      </c>
      <c r="Y136" s="7">
        <f>EXP(-Parameters!$B$55*A136)</f>
        <v>0.13625869921873399</v>
      </c>
      <c r="Z136" s="7">
        <f>IF(X136&gt;0,X136^(1-Parameters!$B$52)/(1-Parameters!$B$52)*Y136*Parameters!$B$65,-10+X136*1000)</f>
        <v>-0.38558777771332475</v>
      </c>
      <c r="AC136" s="23">
        <f t="shared" si="56"/>
        <v>2.1592966719650379E-2</v>
      </c>
      <c r="AD136" s="23">
        <f t="shared" si="57"/>
        <v>0.3181925975473025</v>
      </c>
      <c r="AE136" s="23">
        <f t="shared" si="58"/>
        <v>1993.331492565198</v>
      </c>
      <c r="AF136" s="23">
        <f t="shared" si="59"/>
        <v>503.38266373969662</v>
      </c>
      <c r="AG136" s="23">
        <f t="shared" si="60"/>
        <v>1275.8830803337532</v>
      </c>
      <c r="AH136" s="23">
        <f t="shared" si="61"/>
        <v>1984.6609033333132</v>
      </c>
      <c r="AI136" s="23">
        <f t="shared" si="62"/>
        <v>1514.3250510727125</v>
      </c>
      <c r="AJ136" s="23"/>
      <c r="AK136" s="25">
        <f t="shared" si="53"/>
        <v>1984.6609033333134</v>
      </c>
      <c r="AL136" s="4"/>
      <c r="AM136" s="4"/>
      <c r="AN136" s="4"/>
      <c r="AO136" s="16"/>
      <c r="AP136" s="16"/>
      <c r="AS136" s="21">
        <f>-Y136*W136*X136^(-Parameters!B$52)*Parameters!B$46*Parameters!B$45*N136</f>
        <v>-4.1021671623763659E-6</v>
      </c>
      <c r="AT136" s="7">
        <f>1000*EXP(-(Parameters!$B$54)*'6states'!A136)*AK136*Parameters!B$46*Parameters!B$45*N136</f>
        <v>0.44757720865127437</v>
      </c>
      <c r="AZ136" s="5"/>
      <c r="BA136" s="5"/>
      <c r="BB136" s="5"/>
      <c r="BE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-9.536182911715127E-2</v>
      </c>
      <c r="BF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-140.49828008454207</v>
      </c>
      <c r="BG136" s="7">
        <f t="shared" si="54"/>
        <v>6.3548805453918111E-2</v>
      </c>
    </row>
    <row r="137" spans="1:59" x14ac:dyDescent="0.25">
      <c r="A137">
        <f>A136+Parameters!$B$65</f>
        <v>133</v>
      </c>
      <c r="B137">
        <v>2158</v>
      </c>
      <c r="C137" s="74">
        <v>-4.400547917790389E-7</v>
      </c>
      <c r="D137" s="69">
        <v>9.09499842522348E-2</v>
      </c>
      <c r="E137" s="75">
        <v>0.22597558573341789</v>
      </c>
      <c r="F137" s="7">
        <f>MAX((1-Parameters!$B$4)^Parameters!B$65*F136 + C136*Parameters!B$65 - IF(C136&gt;0,Parameters!$B$5,0)*C136^2/F136*Parameters!B$65, 0.0001)</f>
        <v>2.0194552934626005E-4</v>
      </c>
      <c r="G137" s="7">
        <f>(1-Parameters!$B$4)^Parameters!B$65*G136+D136*Parameters!B$65-Parameters!$B$5*D136^2/G136*Parameters!B$65</f>
        <v>1.3526894046820706</v>
      </c>
      <c r="H137" s="7">
        <f>(1-Parameters!$B$4)^Parameters!B$65*H136+E136*Parameters!B$65-Parameters!$B$5*E136^2/H136*Parameters!B$65</f>
        <v>3.341588004170807</v>
      </c>
      <c r="I137" s="9">
        <f>I136 *(1-Parameters!$B$4)-C136*(C136&lt;0)*Parameters!B$65</f>
        <v>1.4174205795024863E-5</v>
      </c>
      <c r="J137" s="23">
        <f>J136*(1+Parameters!$B$51)^Parameters!B$65</f>
        <v>11.99375362333075</v>
      </c>
      <c r="K137" s="23">
        <f>K136*(1+Parameters!$B$53)^Parameters!B$65</f>
        <v>125.66059594856118</v>
      </c>
      <c r="L137" s="23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6.4676544131214722E-2</v>
      </c>
      <c r="M137" s="8">
        <f>M136+L137*Parameters!B$65</f>
        <v>3205.2731661801795</v>
      </c>
      <c r="N137" s="7">
        <f>M137*Parameters!$B$45</f>
        <v>1.9231638997081075</v>
      </c>
      <c r="O137" s="9">
        <f>EXP(-Parameters!$B$46/2*N137^2)</f>
        <v>0.96351182154986748</v>
      </c>
      <c r="P137" s="8">
        <f>MAX((Parameters!$B$62 + Parameters!$B$31*'6states'!A137 - '6states'!M137 + Parameters!$B$47/Parameters!$B$45)/Parameters!B$62,1)</f>
        <v>124.40653667639643</v>
      </c>
      <c r="Q137" s="8"/>
      <c r="R137" s="8"/>
      <c r="S137" s="7">
        <f>Parameters!B$61*EXP(-Parameters!B$60*A137)+(1-Parameters!B$61)*P137^-Parameters!B$63</f>
        <v>0.32244916284692954</v>
      </c>
      <c r="T137" s="7">
        <f>1-S137/Parameters!$B$12</f>
        <v>0.83877541857653526</v>
      </c>
      <c r="U137" s="7">
        <f t="shared" si="55"/>
        <v>6.2025281205317446</v>
      </c>
      <c r="V137" s="7">
        <f>(Parameters!$B$19*(F137+Parameters!$B$20)^T137+Parameters!$B$18*G137^T137)^(1/T137)</f>
        <v>0.34174100255232259</v>
      </c>
      <c r="W137" s="7">
        <f>(Parameters!$B$10*H137^Parameters!$B$9+Parameters!$B$11*V137^Parameters!$B$9)^(Parameters!$B$7/Parameters!$B$9)*O137</f>
        <v>1.3471393772173414</v>
      </c>
      <c r="X137" s="7">
        <f>W137 - D137 - E137 - LN(1+EXP(Parameters!$B$21*C137))/Parameters!$B$21 - IF(C137&gt;0, 0,Parameters!$B$6*C137^2/F137)</f>
        <v>1.0279035318553909</v>
      </c>
      <c r="Y137" s="7">
        <f>EXP(-Parameters!$B$55*A137)</f>
        <v>0.13421664913913783</v>
      </c>
      <c r="Z137" s="7">
        <f>IF(X137&gt;0,X137^(1-Parameters!$B$52)/(1-Parameters!$B$52)*Y137*Parameters!$B$65,-10+X137*1000)</f>
        <v>-0.37980005408158829</v>
      </c>
      <c r="AC137" s="23">
        <f t="shared" si="56"/>
        <v>2.1362544101590098E-2</v>
      </c>
      <c r="AD137" s="23">
        <f t="shared" si="57"/>
        <v>0.30436063502709082</v>
      </c>
      <c r="AE137" s="23">
        <f t="shared" si="58"/>
        <v>2038.6953231211851</v>
      </c>
      <c r="AF137" s="23">
        <f t="shared" si="59"/>
        <v>515.05229597471077</v>
      </c>
      <c r="AG137" s="23">
        <f t="shared" si="60"/>
        <v>1305.4611476667815</v>
      </c>
      <c r="AH137" s="23">
        <f t="shared" si="61"/>
        <v>2030.3306423627103</v>
      </c>
      <c r="AI137" s="23">
        <f t="shared" si="62"/>
        <v>1549.1968191366659</v>
      </c>
      <c r="AJ137" s="23"/>
      <c r="AK137" s="25">
        <f t="shared" si="53"/>
        <v>2030.3306423627103</v>
      </c>
      <c r="AL137" s="4"/>
      <c r="AM137" s="4"/>
      <c r="AN137" s="4"/>
      <c r="AO137" s="16"/>
      <c r="AP137" s="16"/>
      <c r="AS137" s="21">
        <f>-Y137*W137*X137^(-Parameters!B$52)*Parameters!B$46*Parameters!B$45*N137</f>
        <v>-4.0406091697525418E-6</v>
      </c>
      <c r="AT137" s="7">
        <f>1000*EXP(-(Parameters!$B$54)*'6states'!A137)*AK137*Parameters!B$46*Parameters!B$45*N137</f>
        <v>0.44209280332612577</v>
      </c>
      <c r="AZ137" s="5"/>
      <c r="BA137" s="5"/>
      <c r="BB137" s="5"/>
      <c r="BE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-8.6189094977377562E-2</v>
      </c>
      <c r="BF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-129.89922463074669</v>
      </c>
      <c r="BG137" s="7">
        <f t="shared" si="54"/>
        <v>6.5584967452225945E-2</v>
      </c>
    </row>
    <row r="138" spans="1:59" x14ac:dyDescent="0.25">
      <c r="A138">
        <f>A137+Parameters!$B$65</f>
        <v>134</v>
      </c>
      <c r="B138">
        <v>2159</v>
      </c>
      <c r="C138" s="74">
        <v>-4.400547917790389E-7</v>
      </c>
      <c r="D138" s="69">
        <v>9.09499842522348E-2</v>
      </c>
      <c r="E138" s="75">
        <v>0.22597558573341789</v>
      </c>
      <c r="F138" s="7">
        <f>MAX((1-Parameters!$B$4)^Parameters!B$65*F137 + C137*Parameters!B$65 - IF(C137&gt;0,Parameters!$B$5,0)*C137^2/F137*Parameters!B$65, 0.0001)</f>
        <v>1.8880310075860125E-4</v>
      </c>
      <c r="G138" s="7">
        <f>(1-Parameters!$B$4)^Parameters!B$65*G137+D137*Parameters!B$65-Parameters!$B$5*D137^2/G137*Parameters!B$65</f>
        <v>1.352440074623946</v>
      </c>
      <c r="H138" s="7">
        <f>(1-Parameters!$B$4)^Parameters!B$65*H137+E137*Parameters!B$65-Parameters!$B$5*E137^2/H137*Parameters!B$65</f>
        <v>3.3420960583251773</v>
      </c>
      <c r="I138" s="9">
        <f>I137 *(1-Parameters!$B$4)-C137*(C137&lt;0)*Parameters!B$65</f>
        <v>1.3722703042296837E-5</v>
      </c>
      <c r="J138" s="23">
        <f>J137*(1+Parameters!$B$51)^Parameters!B$65</f>
        <v>12.028535508838408</v>
      </c>
      <c r="K138" s="23">
        <f>K137*(1+Parameters!$B$53)^Parameters!B$65</f>
        <v>128.17380786753242</v>
      </c>
      <c r="L138" s="23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6.1181155028694187E-2</v>
      </c>
      <c r="M138" s="8">
        <f>M137+L138*Parameters!B$65</f>
        <v>3205.3343473352083</v>
      </c>
      <c r="N138" s="7">
        <f>M138*Parameters!$B$45</f>
        <v>1.9232006084011248</v>
      </c>
      <c r="O138" s="9">
        <f>EXP(-Parameters!$B$46/2*N138^2)</f>
        <v>0.96351045431803328</v>
      </c>
      <c r="P138" s="8">
        <f>MAX((Parameters!$B$62 + Parameters!$B$31*'6states'!A138 - '6states'!M138 + Parameters!$B$47/Parameters!$B$45)/Parameters!B$62,1)</f>
        <v>125.46931305329585</v>
      </c>
      <c r="Q138" s="8"/>
      <c r="R138" s="8"/>
      <c r="S138" s="7">
        <f>Parameters!B$61*EXP(-Parameters!B$60*A138)+(1-Parameters!B$61)*P138^-Parameters!B$63</f>
        <v>0.32181948483026324</v>
      </c>
      <c r="T138" s="7">
        <f>1-S138/Parameters!$B$12</f>
        <v>0.83909025758486844</v>
      </c>
      <c r="U138" s="7">
        <f t="shared" si="55"/>
        <v>6.2146641029360223</v>
      </c>
      <c r="V138" s="7">
        <f>(Parameters!$B$19*(F138+Parameters!$B$20)^T138+Parameters!$B$18*G138^T138)^(1/T138)</f>
        <v>0.34181771060426208</v>
      </c>
      <c r="W138" s="7">
        <f>(Parameters!$B$10*H138^Parameters!$B$9+Parameters!$B$11*V138^Parameters!$B$9)^(Parameters!$B$7/Parameters!$B$9)*O138</f>
        <v>1.3472076954428016</v>
      </c>
      <c r="X138" s="7">
        <f>W138 - D138 - E138 - LN(1+EXP(Parameters!$B$21*C138))/Parameters!$B$21 - IF(C138&gt;0, 0,Parameters!$B$6*C138^2/F138)</f>
        <v>1.0279718497471053</v>
      </c>
      <c r="Y138" s="7">
        <f>EXP(-Parameters!$B$55*A138)</f>
        <v>0.13220520237919381</v>
      </c>
      <c r="Z138" s="7">
        <f>IF(X138&gt;0,X138^(1-Parameters!$B$52)/(1-Parameters!$B$52)*Y138*Parameters!$B$65,-10+X138*1000)</f>
        <v>-0.37409945307610271</v>
      </c>
      <c r="AC138" s="23">
        <f t="shared" si="56"/>
        <v>2.1156884090618895E-2</v>
      </c>
      <c r="AD138" s="23">
        <f t="shared" si="57"/>
        <v>0.29108589658955342</v>
      </c>
      <c r="AE138" s="23">
        <f t="shared" si="58"/>
        <v>2085.1152874279223</v>
      </c>
      <c r="AF138" s="23">
        <f t="shared" si="59"/>
        <v>526.99513070310263</v>
      </c>
      <c r="AG138" s="23">
        <f t="shared" si="60"/>
        <v>1335.7316791308072</v>
      </c>
      <c r="AH138" s="23">
        <f t="shared" si="61"/>
        <v>2077.0483024095606</v>
      </c>
      <c r="AI138" s="23">
        <f t="shared" si="62"/>
        <v>1584.8686083553421</v>
      </c>
      <c r="AJ138" s="23"/>
      <c r="AK138" s="25">
        <f t="shared" si="53"/>
        <v>2077.0483024095602</v>
      </c>
      <c r="AL138" s="4"/>
      <c r="AM138" s="4"/>
      <c r="AN138" s="4"/>
      <c r="AO138" s="16"/>
      <c r="AP138" s="16"/>
      <c r="AS138" s="21">
        <f>-Y138*W138*X138^(-Parameters!B$52)*Parameters!B$46*Parameters!B$45*N138</f>
        <v>-3.9799750181398966E-6</v>
      </c>
      <c r="AT138" s="7">
        <f>1000*EXP(-(Parameters!$B$54)*'6states'!A138)*AK138*Parameters!B$46*Parameters!B$45*N138</f>
        <v>0.43667449396021479</v>
      </c>
      <c r="AZ138" s="5"/>
      <c r="BA138" s="5"/>
      <c r="BB138" s="5"/>
      <c r="BE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-7.7423185632966199E-2</v>
      </c>
      <c r="BF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-119.36666991293941</v>
      </c>
      <c r="BG138" s="7">
        <f t="shared" si="54"/>
        <v>6.7757800659255976E-2</v>
      </c>
    </row>
    <row r="139" spans="1:59" x14ac:dyDescent="0.25">
      <c r="A139">
        <f>A138+Parameters!$B$65</f>
        <v>135</v>
      </c>
      <c r="B139">
        <v>2160</v>
      </c>
      <c r="C139" s="74">
        <v>-4.400547917790389E-7</v>
      </c>
      <c r="D139" s="69">
        <v>9.09499842522348E-2</v>
      </c>
      <c r="E139" s="75">
        <v>0.22597558573341789</v>
      </c>
      <c r="F139" s="7">
        <f>MAX((1-Parameters!$B$4)^Parameters!B$65*F138 + C138*Parameters!B$65 - IF(C138&gt;0,Parameters!$B$5,0)*C138^2/F138*Parameters!B$65, 0.0001)</f>
        <v>1.7648733092910621E-4</v>
      </c>
      <c r="G139" s="7">
        <f>(1-Parameters!$B$4)^Parameters!B$65*G138+D138*Parameters!B$65-Parameters!$B$5*D138^2/G138*Parameters!B$65</f>
        <v>1.3522053000634819</v>
      </c>
      <c r="H139" s="7">
        <f>(1-Parameters!$B$4)^Parameters!B$65*H138+E138*Parameters!B$65-Parameters!$B$5*E138^2/H138*Parameters!B$65</f>
        <v>3.3425744789374643</v>
      </c>
      <c r="I139" s="9">
        <f>I138 *(1-Parameters!$B$4)-C138*(C138&lt;0)*Parameters!B$65</f>
        <v>1.3299599812715405E-5</v>
      </c>
      <c r="J139" s="23">
        <f>J138*(1+Parameters!$B$51)^Parameters!B$65</f>
        <v>12.063418261814038</v>
      </c>
      <c r="K139" s="23">
        <f>K138*(1+Parameters!$B$53)^Parameters!B$65</f>
        <v>130.73728402488308</v>
      </c>
      <c r="L139" s="23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5.7866916998760752E-2</v>
      </c>
      <c r="M139" s="8">
        <f>M138+L139*Parameters!B$65</f>
        <v>3205.3922142522069</v>
      </c>
      <c r="N139" s="7">
        <f>M139*Parameters!$B$45</f>
        <v>1.923235328551324</v>
      </c>
      <c r="O139" s="9">
        <f>EXP(-Parameters!$B$46/2*N139^2)</f>
        <v>0.96350916112814433</v>
      </c>
      <c r="P139" s="8">
        <f>MAX((Parameters!$B$62 + Parameters!$B$31*'6states'!A139 - '6states'!M139 + Parameters!$B$47/Parameters!$B$45)/Parameters!B$62,1)</f>
        <v>126.53215571495586</v>
      </c>
      <c r="Q139" s="8"/>
      <c r="R139" s="8"/>
      <c r="S139" s="7">
        <f>Parameters!B$61*EXP(-Parameters!B$60*A139)+(1-Parameters!B$61)*P139^-Parameters!B$63</f>
        <v>0.32120200717387948</v>
      </c>
      <c r="T139" s="7">
        <f>1-S139/Parameters!$B$12</f>
        <v>0.83939899641306026</v>
      </c>
      <c r="U139" s="7">
        <f t="shared" si="55"/>
        <v>6.2266111522687968</v>
      </c>
      <c r="V139" s="7">
        <f>(Parameters!$B$19*(F139+Parameters!$B$20)^T139+Parameters!$B$18*G139^T139)^(1/T139)</f>
        <v>0.34189596034213549</v>
      </c>
      <c r="W139" s="7">
        <f>(Parameters!$B$10*H139^Parameters!$B$9+Parameters!$B$11*V139^Parameters!$B$9)^(Parameters!$B$7/Parameters!$B$9)*O139</f>
        <v>1.3472741456903599</v>
      </c>
      <c r="X139" s="7">
        <f>W139 - D139 - E139 - LN(1+EXP(Parameters!$B$21*C139))/Parameters!$B$21 - IF(C139&gt;0, 0,Parameters!$B$6*C139^2/F139)</f>
        <v>1.0280382996367958</v>
      </c>
      <c r="Y139" s="7">
        <f>EXP(-Parameters!$B$55*A139)</f>
        <v>0.13022390030021183</v>
      </c>
      <c r="Z139" s="7">
        <f>IF(X139&gt;0,X139^(1-Parameters!$B$52)/(1-Parameters!$B$52)*Y139*Parameters!$B$65,-10+X139*1000)</f>
        <v>-0.36848465003697695</v>
      </c>
      <c r="AC139" s="23">
        <f t="shared" si="56"/>
        <v>2.097531142596679E-2</v>
      </c>
      <c r="AD139" s="23">
        <f t="shared" si="57"/>
        <v>0.27834497136044611</v>
      </c>
      <c r="AE139" s="23">
        <f t="shared" si="58"/>
        <v>2132.6150921892654</v>
      </c>
      <c r="AF139" s="23">
        <f t="shared" si="59"/>
        <v>539.2172955910986</v>
      </c>
      <c r="AG139" s="23">
        <f t="shared" si="60"/>
        <v>1366.7102060228401</v>
      </c>
      <c r="AH139" s="23">
        <f t="shared" si="61"/>
        <v>2124.8379785826692</v>
      </c>
      <c r="AI139" s="23">
        <f t="shared" si="62"/>
        <v>1621.3588225479475</v>
      </c>
      <c r="AJ139" s="23"/>
      <c r="AK139" s="25">
        <f t="shared" si="53"/>
        <v>2124.8379785826692</v>
      </c>
      <c r="AL139" s="4"/>
      <c r="AM139" s="4"/>
      <c r="AN139" s="4"/>
      <c r="AO139" s="16"/>
      <c r="AP139" s="16"/>
      <c r="AS139" s="21">
        <f>-Y139*W139*X139^(-Parameters!B$52)*Parameters!B$46*Parameters!B$45*N139</f>
        <v>-3.9202508937523271E-6</v>
      </c>
      <c r="AT139" s="7">
        <f>1000*EXP(-(Parameters!$B$54)*'6states'!A139)*AK139*Parameters!B$46*Parameters!B$45*N139</f>
        <v>0.43132154638204345</v>
      </c>
      <c r="AZ139" s="5"/>
      <c r="BA139" s="5"/>
      <c r="BB139" s="5"/>
      <c r="BE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-6.9095839406537574E-2</v>
      </c>
      <c r="BF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-108.97371125445964</v>
      </c>
      <c r="BG139" s="7">
        <f t="shared" si="54"/>
        <v>7.007647871605889E-2</v>
      </c>
    </row>
    <row r="140" spans="1:59" x14ac:dyDescent="0.25">
      <c r="A140">
        <f>A139+Parameters!$B$65</f>
        <v>136</v>
      </c>
      <c r="B140">
        <v>2161</v>
      </c>
      <c r="C140" s="74">
        <v>-4.400547917790389E-7</v>
      </c>
      <c r="D140" s="69">
        <v>9.09499842522348E-2</v>
      </c>
      <c r="E140" s="75">
        <v>0.22597558573341789</v>
      </c>
      <c r="F140" s="7">
        <f>MAX((1-Parameters!$B$4)^Parameters!B$65*F139 + C139*Parameters!B$65 - IF(C139&gt;0,Parameters!$B$5,0)*C139^2/F139*Parameters!B$65, 0.0001)</f>
        <v>1.649462230218864E-4</v>
      </c>
      <c r="G140" s="7">
        <f>(1-Parameters!$B$4)^Parameters!B$65*G139+D139*Parameters!B$65-Parameters!$B$5*D139^2/G139*Parameters!B$65</f>
        <v>1.3519842308935126</v>
      </c>
      <c r="H140" s="7">
        <f>(1-Parameters!$B$4)^Parameters!B$65*H139+E139*Parameters!B$65-Parameters!$B$5*E139^2/H139*Parameters!B$65</f>
        <v>3.3430249938132715</v>
      </c>
      <c r="I140" s="9">
        <f>I139 *(1-Parameters!$B$4)-C139*(C139&lt;0)*Parameters!B$65</f>
        <v>1.2903109776274645E-5</v>
      </c>
      <c r="J140" s="23">
        <f>J139*(1+Parameters!$B$51)^Parameters!B$65</f>
        <v>12.098402174773296</v>
      </c>
      <c r="K140" s="23">
        <f>K139*(1+Parameters!$B$53)^Parameters!B$65</f>
        <v>133.35202970538074</v>
      </c>
      <c r="L140" s="23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5.4724511631899869E-2</v>
      </c>
      <c r="M140" s="8">
        <f>M139+L140*Parameters!B$65</f>
        <v>3205.4469387638387</v>
      </c>
      <c r="N140" s="7">
        <f>M140*Parameters!$B$45</f>
        <v>1.9232681632583031</v>
      </c>
      <c r="O140" s="9">
        <f>EXP(-Parameters!$B$46/2*N140^2)</f>
        <v>0.96350793814376379</v>
      </c>
      <c r="P140" s="8">
        <f>MAX((Parameters!$B$62 + Parameters!$B$31*'6states'!A140 - '6states'!M140 + Parameters!$B$47/Parameters!$B$45)/Parameters!B$62,1)</f>
        <v>127.59506122472325</v>
      </c>
      <c r="Q140" s="8"/>
      <c r="R140" s="8"/>
      <c r="S140" s="7">
        <f>Parameters!B$61*EXP(-Parameters!B$60*A140)+(1-Parameters!B$61)*P140^-Parameters!B$63</f>
        <v>0.3205964278222837</v>
      </c>
      <c r="T140" s="7">
        <f>1-S140/Parameters!$B$12</f>
        <v>0.83970178608885815</v>
      </c>
      <c r="U140" s="7">
        <f t="shared" si="55"/>
        <v>6.2383726905050247</v>
      </c>
      <c r="V140" s="7">
        <f>(Parameters!$B$19*(F140+Parameters!$B$20)^T140+Parameters!$B$18*G140^T140)^(1/T140)</f>
        <v>0.34197555861298023</v>
      </c>
      <c r="W140" s="7">
        <f>(Parameters!$B$10*H140^Parameters!$B$9+Parameters!$B$11*V140^Parameters!$B$9)^(Parameters!$B$7/Parameters!$B$9)*O140</f>
        <v>1.3473387995645405</v>
      </c>
      <c r="X140" s="7">
        <f>W140 - D140 - E140 - LN(1+EXP(Parameters!$B$21*C140))/Parameters!$B$21 - IF(C140&gt;0, 0,Parameters!$B$6*C140^2/F140)</f>
        <v>1.0281029531271144</v>
      </c>
      <c r="Y140" s="7">
        <f>EXP(-Parameters!$B$55*A140)</f>
        <v>0.12827229113692101</v>
      </c>
      <c r="Z140" s="7">
        <f>IF(X140&gt;0,X140^(1-Parameters!$B$52)/(1-Parameters!$B$52)*Y140*Parameters!$B$65,-10+X140*1000)</f>
        <v>-0.36295434123781373</v>
      </c>
      <c r="AC140" s="23">
        <f t="shared" si="56"/>
        <v>2.081718681857991E-2</v>
      </c>
      <c r="AD140" s="23">
        <f t="shared" si="57"/>
        <v>0.26611540932399397</v>
      </c>
      <c r="AE140" s="23">
        <f t="shared" si="58"/>
        <v>2181.2190083071696</v>
      </c>
      <c r="AF140" s="23">
        <f t="shared" si="59"/>
        <v>551.72506585385383</v>
      </c>
      <c r="AG140" s="23">
        <f t="shared" si="60"/>
        <v>1398.4126336201546</v>
      </c>
      <c r="AH140" s="23">
        <f t="shared" si="61"/>
        <v>2173.7243179956986</v>
      </c>
      <c r="AI140" s="23">
        <f t="shared" si="62"/>
        <v>1658.686286877429</v>
      </c>
      <c r="AJ140" s="23"/>
      <c r="AK140" s="25">
        <f t="shared" si="53"/>
        <v>2173.7243179956986</v>
      </c>
      <c r="AL140" s="4"/>
      <c r="AM140" s="4"/>
      <c r="AN140" s="4"/>
      <c r="AO140" s="16"/>
      <c r="AP140" s="16"/>
      <c r="AS140" s="21">
        <f>-Y140*W140*X140^(-Parameters!B$52)*Parameters!B$46*Parameters!B$45*N140</f>
        <v>-3.8614231846853422E-6</v>
      </c>
      <c r="AT140" s="7">
        <f>1000*EXP(-(Parameters!$B$54)*'6states'!A140)*AK140*Parameters!B$46*Parameters!B$45*N140</f>
        <v>0.42603323073462251</v>
      </c>
      <c r="AZ140" s="5"/>
      <c r="BA140" s="5"/>
      <c r="BB140" s="5"/>
      <c r="BE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-6.1235606550351679E-2</v>
      </c>
      <c r="BF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-98.794250658213826</v>
      </c>
      <c r="BG140" s="7">
        <f t="shared" si="54"/>
        <v>7.2550791016563559E-2</v>
      </c>
    </row>
    <row r="141" spans="1:59" x14ac:dyDescent="0.25">
      <c r="A141">
        <f>A140+Parameters!$B$65</f>
        <v>137</v>
      </c>
      <c r="B141">
        <v>2162</v>
      </c>
      <c r="C141" s="74">
        <v>-4.400547917790389E-7</v>
      </c>
      <c r="D141" s="69">
        <v>9.09499842522348E-2</v>
      </c>
      <c r="E141" s="75">
        <v>0.22597558573341789</v>
      </c>
      <c r="F141" s="7">
        <f>MAX((1-Parameters!$B$4)^Parameters!B$65*F140 + C140*Parameters!B$65 - IF(C140&gt;0,Parameters!$B$5,0)*C140^2/F140*Parameters!B$65, 0.0001)</f>
        <v>1.5413105080203072E-4</v>
      </c>
      <c r="G141" s="7">
        <f>(1-Parameters!$B$4)^Parameters!B$65*G140+D140*Parameters!B$65-Parameters!$B$5*D140^2/G140*Parameters!B$65</f>
        <v>1.3517760666998815</v>
      </c>
      <c r="H141" s="7">
        <f>(1-Parameters!$B$4)^Parameters!B$65*H140+E140*Parameters!B$65-Parameters!$B$5*E140^2/H140*Parameters!B$65</f>
        <v>3.3434492300905965</v>
      </c>
      <c r="I141" s="9">
        <f>I140 *(1-Parameters!$B$4)-C140*(C140&lt;0)*Parameters!B$65</f>
        <v>1.253155896312601E-5</v>
      </c>
      <c r="J141" s="23">
        <f>J140*(1+Parameters!$B$51)^Parameters!B$65</f>
        <v>12.133487541080138</v>
      </c>
      <c r="K141" s="23">
        <f>K140*(1+Parameters!$B$53)^Parameters!B$65</f>
        <v>136.01907029948836</v>
      </c>
      <c r="L141" s="23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5.1745060000761407E-2</v>
      </c>
      <c r="M141" s="8">
        <f>M140+L141*Parameters!B$65</f>
        <v>3205.4986838238397</v>
      </c>
      <c r="N141" s="7">
        <f>M141*Parameters!$B$45</f>
        <v>1.9232992102943036</v>
      </c>
      <c r="O141" s="9">
        <f>EXP(-Parameters!$B$46/2*N141^2)</f>
        <v>0.96350678172644522</v>
      </c>
      <c r="P141" s="8">
        <f>MAX((Parameters!$B$62 + Parameters!$B$31*'6states'!A141 - '6states'!M141 + Parameters!$B$47/Parameters!$B$45)/Parameters!B$62,1)</f>
        <v>128.65802632352322</v>
      </c>
      <c r="Q141" s="8"/>
      <c r="R141" s="8"/>
      <c r="S141" s="7">
        <f>Parameters!B$61*EXP(-Parameters!B$60*A141)+(1-Parameters!B$61)*P141^-Parameters!B$63</f>
        <v>0.32000245267235783</v>
      </c>
      <c r="T141" s="7">
        <f>1-S141/Parameters!$B$12</f>
        <v>0.83999877366382103</v>
      </c>
      <c r="U141" s="7">
        <f t="shared" si="55"/>
        <v>6.2499520966101691</v>
      </c>
      <c r="V141" s="7">
        <f>(Parameters!$B$19*(F141+Parameters!$B$20)^T141+Parameters!$B$18*G141^T141)^(1/T141)</f>
        <v>0.34205632609437225</v>
      </c>
      <c r="W141" s="7">
        <f>(Parameters!$B$10*H141^Parameters!$B$9+Parameters!$B$11*V141^Parameters!$B$9)^(Parameters!$B$7/Parameters!$B$9)*O141</f>
        <v>1.3474017252511015</v>
      </c>
      <c r="X141" s="7">
        <f>W141 - D141 - E141 - LN(1+EXP(Parameters!$B$21*C141))/Parameters!$B$21 - IF(C141&gt;0, 0,Parameters!$B$6*C141^2/F141)</f>
        <v>1.0281658784017824</v>
      </c>
      <c r="Y141" s="7">
        <f>EXP(-Parameters!$B$55*A141)</f>
        <v>0.12634992989446087</v>
      </c>
      <c r="Z141" s="7">
        <f>IF(X141&gt;0,X141^(1-Parameters!$B$52)/(1-Parameters!$B$52)*Y141*Parameters!$B$65,-10+X141*1000)</f>
        <v>-0.3575072434994519</v>
      </c>
      <c r="AC141" s="23">
        <f t="shared" si="56"/>
        <v>2.0681905646638594E-2</v>
      </c>
      <c r="AD141" s="23">
        <f t="shared" si="57"/>
        <v>0.25437568137250166</v>
      </c>
      <c r="AE141" s="23">
        <f t="shared" si="58"/>
        <v>2230.9518830925413</v>
      </c>
      <c r="AF141" s="23">
        <f t="shared" si="59"/>
        <v>564.52486741162318</v>
      </c>
      <c r="AG141" s="23">
        <f t="shared" si="60"/>
        <v>1430.8552491799794</v>
      </c>
      <c r="AH141" s="23">
        <f t="shared" si="61"/>
        <v>2223.7325325411807</v>
      </c>
      <c r="AI141" s="23">
        <f t="shared" si="62"/>
        <v>1696.8702576247163</v>
      </c>
      <c r="AJ141" s="23"/>
      <c r="AK141" s="25">
        <f t="shared" si="53"/>
        <v>2223.7325325411812</v>
      </c>
      <c r="AL141" s="4"/>
      <c r="AM141" s="4"/>
      <c r="AN141" s="4"/>
      <c r="AO141" s="16"/>
      <c r="AP141" s="16"/>
      <c r="AS141" s="21">
        <f>-Y141*W141*X141^(-Parameters!B$52)*Parameters!B$46*Parameters!B$45*N141</f>
        <v>-3.8034784781580307E-6</v>
      </c>
      <c r="AT141" s="7">
        <f>1000*EXP(-(Parameters!$B$54)*'6states'!A141)*AK141*Parameters!B$46*Parameters!B$45*N141</f>
        <v>0.42080882172191936</v>
      </c>
      <c r="AZ141" s="5"/>
      <c r="BA141" s="5"/>
      <c r="BB141" s="5"/>
      <c r="BE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-5.3867109067095277E-2</v>
      </c>
      <c r="BF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-88.901506226081523</v>
      </c>
      <c r="BG141" s="7">
        <f t="shared" si="54"/>
        <v>7.5191184038124415E-2</v>
      </c>
    </row>
    <row r="142" spans="1:59" x14ac:dyDescent="0.25">
      <c r="A142">
        <f>A141+Parameters!$B$65</f>
        <v>138</v>
      </c>
      <c r="B142">
        <v>2163</v>
      </c>
      <c r="C142" s="74">
        <v>-4.400547917790389E-7</v>
      </c>
      <c r="D142" s="69">
        <v>9.09499842522348E-2</v>
      </c>
      <c r="E142" s="75">
        <v>0.22597558573341789</v>
      </c>
      <c r="F142" s="7">
        <f>MAX((1-Parameters!$B$4)^Parameters!B$65*F141 + C141*Parameters!B$65 - IF(C141&gt;0,Parameters!$B$5,0)*C141^2/F141*Parameters!B$65, 0.0001)</f>
        <v>1.4399615291480394E-4</v>
      </c>
      <c r="G142" s="7">
        <f>(1-Parameters!$B$4)^Parameters!B$65*G141+D141*Parameters!B$65-Parameters!$B$5*D141^2/G141*Parameters!B$65</f>
        <v>1.3515800538518066</v>
      </c>
      <c r="H142" s="7">
        <f>(1-Parameters!$B$4)^Parameters!B$65*H141+E141*Parameters!B$65-Parameters!$B$5*E141^2/H141*Parameters!B$65</f>
        <v>3.3438487200967018</v>
      </c>
      <c r="I142" s="9">
        <f>I141 *(1-Parameters!$B$4)-C141*(C141&lt;0)*Parameters!B$65</f>
        <v>1.2183378696124423E-5</v>
      </c>
      <c r="J142" s="23">
        <f>J141*(1+Parameters!$B$51)^Parameters!B$65</f>
        <v>12.168674654949269</v>
      </c>
      <c r="K142" s="23">
        <f>K141*(1+Parameters!$B$53)^Parameters!B$65</f>
        <v>138.73945170547813</v>
      </c>
      <c r="L142" s="23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4.8920100701583091E-2</v>
      </c>
      <c r="M142" s="8">
        <f>M141+L142*Parameters!B$65</f>
        <v>3205.5476039245414</v>
      </c>
      <c r="N142" s="7">
        <f>M142*Parameters!$B$45</f>
        <v>1.9233285623547247</v>
      </c>
      <c r="O142" s="9">
        <f>EXP(-Parameters!$B$46/2*N142^2)</f>
        <v>0.96350568842644846</v>
      </c>
      <c r="P142" s="8">
        <f>MAX((Parameters!$B$62 + Parameters!$B$31*'6states'!A142 - '6states'!M142 + Parameters!$B$47/Parameters!$B$45)/Parameters!B$62,1)</f>
        <v>129.72104792150918</v>
      </c>
      <c r="Q142" s="8"/>
      <c r="R142" s="8"/>
      <c r="S142" s="7">
        <f>Parameters!B$61*EXP(-Parameters!B$60*A142)+(1-Parameters!B$61)*P142^-Parameters!B$63</f>
        <v>0.3194197953572333</v>
      </c>
      <c r="T142" s="7">
        <f>1-S142/Parameters!$B$12</f>
        <v>0.84029010232138335</v>
      </c>
      <c r="U142" s="7">
        <f t="shared" si="55"/>
        <v>6.2613527059687586</v>
      </c>
      <c r="V142" s="7">
        <f>(Parameters!$B$19*(F142+Parameters!$B$20)^T142+Parameters!$B$18*G142^T142)^(1/T142)</f>
        <v>0.34213809641572013</v>
      </c>
      <c r="W142" s="7">
        <f>(Parameters!$B$10*H142^Parameters!$B$9+Parameters!$B$11*V142^Parameters!$B$9)^(Parameters!$B$7/Parameters!$B$9)*O142</f>
        <v>1.3474629877291864</v>
      </c>
      <c r="X142" s="7">
        <f>W142 - D142 - E142 - LN(1+EXP(Parameters!$B$21*C142))/Parameters!$B$21 - IF(C142&gt;0, 0,Parameters!$B$6*C142^2/F142)</f>
        <v>1.0282271404377252</v>
      </c>
      <c r="Y142" s="7">
        <f>EXP(-Parameters!$B$55*A142)</f>
        <v>0.12445637824691602</v>
      </c>
      <c r="Z142" s="7">
        <f>IF(X142&gt;0,X142^(1-Parameters!$B$52)/(1-Parameters!$B$52)*Y142*Parameters!$B$65,-10+X142*1000)</f>
        <v>-0.35214209381541567</v>
      </c>
      <c r="AC142" s="23">
        <f t="shared" si="56"/>
        <v>2.0568896709292739E-2</v>
      </c>
      <c r="AD142" s="23">
        <f t="shared" si="57"/>
        <v>0.24310514100512179</v>
      </c>
      <c r="AE142" s="23">
        <f t="shared" si="58"/>
        <v>2281.8391527845697</v>
      </c>
      <c r="AF142" s="23">
        <f t="shared" si="59"/>
        <v>577.62328012734349</v>
      </c>
      <c r="AG142" s="23">
        <f t="shared" si="60"/>
        <v>1464.0547301455338</v>
      </c>
      <c r="AH142" s="23">
        <f t="shared" si="61"/>
        <v>2274.888411948742</v>
      </c>
      <c r="AI142" s="23">
        <f t="shared" si="62"/>
        <v>1735.9304321782874</v>
      </c>
      <c r="AJ142" s="23"/>
      <c r="AK142" s="25">
        <f t="shared" si="53"/>
        <v>2274.8884119487416</v>
      </c>
      <c r="AL142" s="4"/>
      <c r="AM142" s="4"/>
      <c r="AN142" s="4"/>
      <c r="AO142" s="16"/>
      <c r="AP142" s="16"/>
      <c r="AS142" s="21">
        <f>-Y142*W142*X142^(-Parameters!B$52)*Parameters!B$46*Parameters!B$45*N142</f>
        <v>-3.7464035578027424E-6</v>
      </c>
      <c r="AT142" s="7">
        <f>1000*EXP(-(Parameters!$B$54)*'6states'!A142)*AK142*Parameters!B$46*Parameters!B$45*N142</f>
        <v>0.41564759883090452</v>
      </c>
      <c r="AZ142" s="5"/>
      <c r="BA142" s="5"/>
      <c r="BB142" s="5"/>
      <c r="BE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-4.7010334230697462E-2</v>
      </c>
      <c r="BF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-79.366383757580763</v>
      </c>
      <c r="BG142" s="7">
        <f t="shared" si="54"/>
        <v>7.8008805446256782E-2</v>
      </c>
    </row>
    <row r="143" spans="1:59" x14ac:dyDescent="0.25">
      <c r="A143">
        <f>A142+Parameters!$B$65</f>
        <v>139</v>
      </c>
      <c r="B143">
        <v>2164</v>
      </c>
      <c r="C143" s="74">
        <v>-4.400547917790389E-7</v>
      </c>
      <c r="D143" s="69">
        <v>9.09499842522348E-2</v>
      </c>
      <c r="E143" s="75">
        <v>0.22597558573341789</v>
      </c>
      <c r="F143" s="7">
        <f>MAX((1-Parameters!$B$4)^Parameters!B$65*F142 + C142*Parameters!B$65 - IF(C142&gt;0,Parameters!$B$5,0)*C142^2/F142*Parameters!B$65, 0.0001)</f>
        <v>1.3449874010468374E-4</v>
      </c>
      <c r="G143" s="7">
        <f>(1-Parameters!$B$4)^Parameters!B$65*G142+D142*Parameters!B$65-Parameters!$B$5*D142^2/G142*Parameters!B$65</f>
        <v>1.3513954827631531</v>
      </c>
      <c r="H143" s="7">
        <f>(1-Parameters!$B$4)^Parameters!B$65*H142+E142*Parameters!B$65-Parameters!$B$5*E142^2/H142*Parameters!B$65</f>
        <v>3.3442249068651826</v>
      </c>
      <c r="I143" s="9">
        <f>I142 *(1-Parameters!$B$4)-C142*(C142&lt;0)*Parameters!B$65</f>
        <v>1.1857098967917236E-5</v>
      </c>
      <c r="J143" s="23">
        <f>J142*(1+Parameters!$B$51)^Parameters!B$65</f>
        <v>12.20396381144862</v>
      </c>
      <c r="K143" s="23">
        <f>K142*(1+Parameters!$B$53)^Parameters!B$65</f>
        <v>141.51424073958771</v>
      </c>
      <c r="L143" s="23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4.6241569785813313E-2</v>
      </c>
      <c r="M143" s="8">
        <f>M142+L143*Parameters!B$65</f>
        <v>3205.5938454943271</v>
      </c>
      <c r="N143" s="7">
        <f>M143*Parameters!$B$45</f>
        <v>1.923356307296596</v>
      </c>
      <c r="O143" s="9">
        <f>EXP(-Parameters!$B$46/2*N143^2)</f>
        <v>0.96350465497390048</v>
      </c>
      <c r="P143" s="8">
        <f>MAX((Parameters!$B$62 + Parameters!$B$31*'6states'!A143 - '6states'!M143 + Parameters!$B$47/Parameters!$B$45)/Parameters!B$62,1)</f>
        <v>130.78412309011347</v>
      </c>
      <c r="Q143" s="8"/>
      <c r="R143" s="8"/>
      <c r="S143" s="7">
        <f>Parameters!B$61*EXP(-Parameters!B$60*A143)+(1-Parameters!B$61)*P143^-Parameters!B$63</f>
        <v>0.31884817703623686</v>
      </c>
      <c r="T143" s="7">
        <f>1-S143/Parameters!$B$12</f>
        <v>0.8405759114818816</v>
      </c>
      <c r="U143" s="7">
        <f t="shared" si="55"/>
        <v>6.2725778098856804</v>
      </c>
      <c r="V143" s="7">
        <f>(Parameters!$B$19*(F143+Parameters!$B$20)^T143+Parameters!$B$18*G143^T143)^(1/T143)</f>
        <v>0.34222071533295018</v>
      </c>
      <c r="W143" s="7">
        <f>(Parameters!$B$10*H143^Parameters!$B$9+Parameters!$B$11*V143^Parameters!$B$9)^(Parameters!$B$7/Parameters!$B$9)*O143</f>
        <v>1.3475226489660608</v>
      </c>
      <c r="X143" s="7">
        <f>W143 - D143 - E143 - LN(1+EXP(Parameters!$B$21*C143))/Parameters!$B$21 - IF(C143&gt;0, 0,Parameters!$B$6*C143^2/F143)</f>
        <v>1.0282868011997899</v>
      </c>
      <c r="Y143" s="7">
        <f>EXP(-Parameters!$B$55*A143)</f>
        <v>0.12259120443737162</v>
      </c>
      <c r="Z143" s="7">
        <f>IF(X143&gt;0,X143^(1-Parameters!$B$52)/(1-Parameters!$B$52)*Y143*Parameters!$B$65,-10+X143*1000)</f>
        <v>-0.34685764898830845</v>
      </c>
      <c r="AC143" s="23">
        <f t="shared" si="56"/>
        <v>2.0477621036302188E-2</v>
      </c>
      <c r="AD143" s="23">
        <f t="shared" si="57"/>
        <v>0.23228398760743457</v>
      </c>
      <c r="AE143" s="23">
        <f t="shared" si="58"/>
        <v>2333.9068553844982</v>
      </c>
      <c r="AF143" s="23">
        <f t="shared" si="59"/>
        <v>591.02704112719175</v>
      </c>
      <c r="AG143" s="23">
        <f t="shared" si="60"/>
        <v>1498.0281525623757</v>
      </c>
      <c r="AH143" s="23">
        <f t="shared" si="61"/>
        <v>2327.2183371349643</v>
      </c>
      <c r="AI143" s="23">
        <f t="shared" si="62"/>
        <v>1775.8869592449271</v>
      </c>
      <c r="AJ143" s="23"/>
      <c r="AK143" s="25">
        <f t="shared" si="53"/>
        <v>2327.2183371349643</v>
      </c>
      <c r="AL143" s="4"/>
      <c r="AM143" s="4"/>
      <c r="AN143" s="4"/>
      <c r="AO143" s="16"/>
      <c r="AP143" s="16"/>
      <c r="AS143" s="21">
        <f>-Y143*W143*X143^(-Parameters!B$52)*Parameters!B$46*Parameters!B$45*N143</f>
        <v>-3.6901854009984941E-6</v>
      </c>
      <c r="AT143" s="7">
        <f>1000*EXP(-(Parameters!$B$54)*'6states'!A143)*AK143*Parameters!B$46*Parameters!B$45*N143</f>
        <v>0.41054884653138835</v>
      </c>
      <c r="AZ143" s="5"/>
      <c r="BA143" s="5"/>
      <c r="BB143" s="5"/>
      <c r="BE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-4.0679992765965831E-2</v>
      </c>
      <c r="BF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-70.255757995691994</v>
      </c>
    </row>
    <row r="144" spans="1:59" x14ac:dyDescent="0.25">
      <c r="A144">
        <f>A143+Parameters!$B$65</f>
        <v>140</v>
      </c>
      <c r="B144">
        <v>2165</v>
      </c>
      <c r="C144" s="74">
        <v>-4.400547917790389E-7</v>
      </c>
      <c r="D144" s="69">
        <v>9.09499842522348E-2</v>
      </c>
      <c r="E144" s="75">
        <v>0.22597558573341789</v>
      </c>
      <c r="F144" s="7">
        <f>MAX((1-Parameters!$B$4)^Parameters!B$65*F143 + C143*Parameters!B$65 - IF(C143&gt;0,Parameters!$B$5,0)*C143^2/F143*Parameters!B$65, 0.0001)</f>
        <v>1.2559871456032011E-4</v>
      </c>
      <c r="G144" s="7">
        <f>(1-Parameters!$B$4)^Parameters!B$65*G143+D143*Parameters!B$65-Parameters!$B$5*D143^2/G143*Parameters!B$65</f>
        <v>1.3512216853145147</v>
      </c>
      <c r="H144" s="7">
        <f>(1-Parameters!$B$4)^Parameters!B$65*H143+E143*Parameters!B$65-Parameters!$B$5*E143^2/H143*Parameters!B$65</f>
        <v>3.3445791493328416</v>
      </c>
      <c r="I144" s="9">
        <f>I143 *(1-Parameters!$B$4)-C143*(C143&lt;0)*Parameters!B$65</f>
        <v>1.155134223461428E-5</v>
      </c>
      <c r="J144" s="23">
        <f>J143*(1+Parameters!$B$51)^Parameters!B$65</f>
        <v>12.239355306501819</v>
      </c>
      <c r="K144" s="23">
        <f>K143*(1+Parameters!$B$53)^Parameters!B$65</f>
        <v>144.34452555437946</v>
      </c>
      <c r="L144" s="23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4.370178252421697E-2</v>
      </c>
      <c r="M144" s="8">
        <f>M143+L144*Parameters!B$65</f>
        <v>3205.6375472768514</v>
      </c>
      <c r="N144" s="7">
        <f>M144*Parameters!$B$45</f>
        <v>1.9233825283661106</v>
      </c>
      <c r="O144" s="9">
        <f>EXP(-Parameters!$B$46/2*N144^2)</f>
        <v>0.96350367827035843</v>
      </c>
      <c r="P144" s="8">
        <f>MAX((Parameters!$B$62 + Parameters!$B$31*'6states'!A144 - '6states'!M144 + Parameters!$B$47/Parameters!$B$45)/Parameters!B$62,1)</f>
        <v>131.84724905446296</v>
      </c>
      <c r="Q144" s="8"/>
      <c r="R144" s="8"/>
      <c r="S144" s="7">
        <f>Parameters!B$61*EXP(-Parameters!B$60*A144)+(1-Parameters!B$61)*P144^-Parameters!B$63</f>
        <v>0.31828732619073158</v>
      </c>
      <c r="T144" s="7">
        <f>1-S144/Parameters!$B$12</f>
        <v>0.84085633690463424</v>
      </c>
      <c r="U144" s="7">
        <f t="shared" si="55"/>
        <v>6.2836306551568866</v>
      </c>
      <c r="V144" s="7">
        <f>(Parameters!$B$19*(F144+Parameters!$B$20)^T144+Parameters!$B$18*G144^T144)^(1/T144)</f>
        <v>0.34230403995341319</v>
      </c>
      <c r="W144" s="7">
        <f>(Parameters!$B$10*H144^Parameters!$B$9+Parameters!$B$11*V144^Parameters!$B$9)^(Parameters!$B$7/Parameters!$B$9)*O144</f>
        <v>1.3475807680961698</v>
      </c>
      <c r="X144" s="7">
        <f>W144 - D144 - E144 - LN(1+EXP(Parameters!$B$21*C144))/Parameters!$B$21 - IF(C144&gt;0, 0,Parameters!$B$6*C144^2/F144)</f>
        <v>1.02834491981978</v>
      </c>
      <c r="Y144" s="7">
        <f>EXP(-Parameters!$B$55*A144)</f>
        <v>0.12075398317946676</v>
      </c>
      <c r="Z144" s="7">
        <f>IF(X144&gt;0,X144^(1-Parameters!$B$52)/(1-Parameters!$B$52)*Y144*Parameters!$B$65,-10+X144*1000)</f>
        <v>-0.34165268527647441</v>
      </c>
      <c r="AC144" s="23">
        <f t="shared" si="56"/>
        <v>2.0407570751367756E-2</v>
      </c>
      <c r="AD144" s="23">
        <f t="shared" si="57"/>
        <v>0.22189323124631366</v>
      </c>
      <c r="AE144" s="23">
        <f t="shared" si="58"/>
        <v>2387.181643809995</v>
      </c>
      <c r="AF144" s="23">
        <f t="shared" si="59"/>
        <v>604.74304820573582</v>
      </c>
      <c r="AG144" s="23">
        <f t="shared" si="60"/>
        <v>1532.7929997091612</v>
      </c>
      <c r="AH144" s="23">
        <f t="shared" si="61"/>
        <v>2380.7492938523774</v>
      </c>
      <c r="AI144" s="23">
        <f t="shared" si="62"/>
        <v>1816.7604492875216</v>
      </c>
      <c r="AJ144" s="23"/>
      <c r="AK144" s="25">
        <f t="shared" si="53"/>
        <v>2380.7492938523774</v>
      </c>
      <c r="AL144" s="4"/>
      <c r="AM144" s="4"/>
      <c r="AN144" s="4"/>
      <c r="AO144" s="16"/>
      <c r="AP144" s="16"/>
      <c r="AS144" s="21">
        <f>-Y144*W144*X144^(-Parameters!B$52)*Parameters!B$46*Parameters!B$45*N144</f>
        <v>-3.6348111762450528E-6</v>
      </c>
      <c r="AT144" s="7">
        <f>1000*EXP(-(Parameters!$B$54)*'6states'!A144)*AK144*Parameters!B$46*Parameters!B$45*N144</f>
        <v>0.40551185445561444</v>
      </c>
      <c r="AZ144" s="5"/>
      <c r="BA144" s="5"/>
      <c r="BB144" s="5"/>
      <c r="BE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-3.48849746151818E-2</v>
      </c>
      <c r="BF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-61.630724218843383</v>
      </c>
    </row>
    <row r="145" spans="1:58" x14ac:dyDescent="0.25">
      <c r="A145">
        <f>A144+Parameters!$B$65</f>
        <v>141</v>
      </c>
      <c r="B145">
        <v>2166</v>
      </c>
      <c r="C145" s="74">
        <v>-4.400547917790389E-7</v>
      </c>
      <c r="D145" s="69">
        <v>9.09499842522348E-2</v>
      </c>
      <c r="E145" s="75">
        <v>0.22597558573341789</v>
      </c>
      <c r="F145" s="7">
        <f>MAX((1-Parameters!$B$4)^Parameters!B$65*F144 + C144*Parameters!B$65 - IF(C144&gt;0,Parameters!$B$5,0)*C144^2/F144*Parameters!B$65, 0.0001)</f>
        <v>1.1725850062269694E-4</v>
      </c>
      <c r="G145" s="7">
        <f>(1-Parameters!$B$4)^Parameters!B$65*G144+D144*Parameters!B$65-Parameters!$B$5*D144^2/G144*Parameters!B$65</f>
        <v>1.3510580324266062</v>
      </c>
      <c r="H145" s="7">
        <f>(1-Parameters!$B$4)^Parameters!B$65*H144+E144*Parameters!B$65-Parameters!$B$5*E144^2/H144*Parameters!B$65</f>
        <v>3.3449127272348522</v>
      </c>
      <c r="I145" s="9">
        <f>I144 *(1-Parameters!$B$4)-C144*(C144&lt;0)*Parameters!B$65</f>
        <v>1.1264817599836081E-5</v>
      </c>
      <c r="J145" s="23">
        <f>J144*(1+Parameters!$B$51)^Parameters!B$65</f>
        <v>12.274849436890673</v>
      </c>
      <c r="K145" s="23">
        <f>K144*(1+Parameters!$B$53)^Parameters!B$65</f>
        <v>147.23141606546704</v>
      </c>
      <c r="L145" s="23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4.1293416919366915E-2</v>
      </c>
      <c r="M145" s="8">
        <f>M144+L145*Parameters!B$65</f>
        <v>3205.6788406937708</v>
      </c>
      <c r="N145" s="7">
        <f>M145*Parameters!$B$45</f>
        <v>1.9234073044162623</v>
      </c>
      <c r="O145" s="9">
        <f>EXP(-Parameters!$B$46/2*N145^2)</f>
        <v>0.96350275538073771</v>
      </c>
      <c r="P145" s="8">
        <f>MAX((Parameters!$B$62 + Parameters!$B$31*'6states'!A145 - '6states'!M145 + Parameters!$B$47/Parameters!$B$45)/Parameters!B$62,1)</f>
        <v>132.9104231861246</v>
      </c>
      <c r="Q145" s="8"/>
      <c r="R145" s="8"/>
      <c r="S145" s="7">
        <f>Parameters!B$61*EXP(-Parameters!B$60*A145)+(1-Parameters!B$61)*P145^-Parameters!B$63</f>
        <v>0.31773697842568516</v>
      </c>
      <c r="T145" s="7">
        <f>1-S145/Parameters!$B$12</f>
        <v>0.84113151078715742</v>
      </c>
      <c r="U145" s="7">
        <f t="shared" si="55"/>
        <v>6.2945144437060723</v>
      </c>
      <c r="V145" s="7">
        <f>(Parameters!$B$19*(F145+Parameters!$B$20)^T145+Parameters!$B$18*G145^T145)^(1/T145)</f>
        <v>0.34238793800802908</v>
      </c>
      <c r="W145" s="7">
        <f>(Parameters!$B$10*H145^Parameters!$B$9+Parameters!$B$11*V145^Parameters!$B$9)^(Parameters!$B$7/Parameters!$B$9)*O145</f>
        <v>1.3476374015860759</v>
      </c>
      <c r="X145" s="7">
        <f>W145 - D145 - E145 - LN(1+EXP(Parameters!$B$21*C145))/Parameters!$B$21 - IF(C145&gt;0, 0,Parameters!$B$6*C145^2/F145)</f>
        <v>1.0284015527613697</v>
      </c>
      <c r="Y145" s="7">
        <f>EXP(-Parameters!$B$55*A145)</f>
        <v>0.11894429556042277</v>
      </c>
      <c r="Z145" s="7">
        <f>IF(X145&gt;0,X145^(1-Parameters!$B$52)/(1-Parameters!$B$52)*Y145*Parameters!$B$65,-10+X145*1000)</f>
        <v>-0.33652599805030781</v>
      </c>
      <c r="AC145" s="23">
        <f t="shared" si="56"/>
        <v>2.0358267987032486E-2</v>
      </c>
      <c r="AD145" s="23">
        <f t="shared" si="57"/>
        <v>0.21191465891726619</v>
      </c>
      <c r="AE145" s="23">
        <f t="shared" si="58"/>
        <v>2441.6907993764512</v>
      </c>
      <c r="AF145" s="23">
        <f t="shared" si="59"/>
        <v>618.77836331733886</v>
      </c>
      <c r="AG145" s="23">
        <f t="shared" si="60"/>
        <v>1568.3671709470229</v>
      </c>
      <c r="AH145" s="23">
        <f t="shared" si="61"/>
        <v>2435.5088866451492</v>
      </c>
      <c r="AI145" s="23">
        <f t="shared" si="62"/>
        <v>1858.5719851958322</v>
      </c>
      <c r="AJ145" s="23"/>
      <c r="AK145" s="25">
        <f t="shared" si="53"/>
        <v>2435.5088866451492</v>
      </c>
      <c r="AL145" s="4"/>
      <c r="AM145" s="4"/>
      <c r="AN145" s="4"/>
      <c r="AO145" s="16"/>
      <c r="AP145" s="16"/>
      <c r="AS145" s="21">
        <f>-Y145*W145*X145^(-Parameters!B$52)*Parameters!B$46*Parameters!B$45*N145</f>
        <v>-3.580268240575053E-6</v>
      </c>
      <c r="AT145" s="7">
        <f>1000*EXP(-(Parameters!$B$54)*'6states'!A145)*AK145*Parameters!B$46*Parameters!B$45*N145</f>
        <v>0.40053591755939538</v>
      </c>
      <c r="AZ145" s="5"/>
      <c r="BA145" s="5"/>
      <c r="BB145" s="5"/>
      <c r="BE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-2.9627935516853509E-2</v>
      </c>
      <c r="BF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-53.544892831944182</v>
      </c>
    </row>
    <row r="146" spans="1:58" x14ac:dyDescent="0.25">
      <c r="A146">
        <f>A145+Parameters!$B$65</f>
        <v>142</v>
      </c>
      <c r="B146">
        <v>2167</v>
      </c>
      <c r="C146" s="74">
        <v>-4.400547917790389E-7</v>
      </c>
      <c r="D146" s="69">
        <v>9.09499842522348E-2</v>
      </c>
      <c r="E146" s="75">
        <v>0.22597558573341789</v>
      </c>
      <c r="F146" s="7">
        <f>MAX((1-Parameters!$B$4)^Parameters!B$65*F145 + C145*Parameters!B$65 - IF(C145&gt;0,Parameters!$B$5,0)*C145^2/F145*Parameters!B$65, 0.0001)</f>
        <v>1.0944288614175027E-4</v>
      </c>
      <c r="G146" s="7">
        <f>(1-Parameters!$B$4)^Parameters!B$65*G145+D145*Parameters!B$65-Parameters!$B$5*D145^2/G145*Parameters!B$65</f>
        <v>1.3509039317760407</v>
      </c>
      <c r="H146" s="7">
        <f>(1-Parameters!$B$4)^Parameters!B$65*H145+E145*Parameters!B$65-Parameters!$B$5*E145^2/H145*Parameters!B$65</f>
        <v>3.3452268457156458</v>
      </c>
      <c r="I146" s="9">
        <f>I145 *(1-Parameters!$B$4)-C145*(C145&lt;0)*Parameters!B$65</f>
        <v>1.099631536458543E-5</v>
      </c>
      <c r="J146" s="23">
        <f>J145*(1+Parameters!$B$51)^Parameters!B$65</f>
        <v>12.310446500257655</v>
      </c>
      <c r="K146" s="23">
        <f>K145*(1+Parameters!$B$53)^Parameters!B$65</f>
        <v>150.1760443867764</v>
      </c>
      <c r="L146" s="23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3.9009498851939661E-2</v>
      </c>
      <c r="M146" s="8">
        <f>M145+L146*Parameters!B$65</f>
        <v>3205.7178501926228</v>
      </c>
      <c r="N146" s="7">
        <f>M146*Parameters!$B$45</f>
        <v>1.9234307101155734</v>
      </c>
      <c r="O146" s="9">
        <f>EXP(-Parameters!$B$46/2*N146^2)</f>
        <v>0.96350188352556865</v>
      </c>
      <c r="P146" s="8">
        <f>MAX((Parameters!$B$62 + Parameters!$B$31*'6states'!A146 - '6states'!M146 + Parameters!$B$47/Parameters!$B$45)/Parameters!B$62,1)</f>
        <v>133.97364299614756</v>
      </c>
      <c r="Q146" s="8"/>
      <c r="R146" s="8"/>
      <c r="S146" s="7">
        <f>Parameters!B$61*EXP(-Parameters!B$60*A146)+(1-Parameters!B$61)*P146^-Parameters!B$63</f>
        <v>0.31719687627679843</v>
      </c>
      <c r="T146" s="7">
        <f>1-S146/Parameters!$B$12</f>
        <v>0.84140156186160076</v>
      </c>
      <c r="U146" s="7">
        <f t="shared" si="55"/>
        <v>6.3052323322841337</v>
      </c>
      <c r="V146" s="7">
        <f>(Parameters!$B$19*(F146+Parameters!$B$20)^T146+Parameters!$B$18*G146^T146)^(1/T146)</f>
        <v>0.34247228716785361</v>
      </c>
      <c r="W146" s="7">
        <f>(Parameters!$B$10*H146^Parameters!$B$9+Parameters!$B$11*V146^Parameters!$B$9)^(Parameters!$B$7/Parameters!$B$9)*O146</f>
        <v>1.3476926033866445</v>
      </c>
      <c r="X146" s="7">
        <f>W146 - D146 - E146 - LN(1+EXP(Parameters!$B$21*C146))/Parameters!$B$21 - IF(C146&gt;0, 0,Parameters!$B$6*C146^2/F146)</f>
        <v>1.0284567539722607</v>
      </c>
      <c r="Y146" s="7">
        <f>EXP(-Parameters!$B$55*A146)</f>
        <v>0.11716172894552528</v>
      </c>
      <c r="Z146" s="7">
        <f>IF(X146&gt;0,X146^(1-Parameters!$B$52)/(1-Parameters!$B$52)*Y146*Parameters!$B$65,-10+X146*1000)</f>
        <v>-0.33147640145766505</v>
      </c>
      <c r="AC146" s="23">
        <f t="shared" si="56"/>
        <v>2.0329263849122804E-2</v>
      </c>
      <c r="AD146" s="23">
        <f t="shared" si="57"/>
        <v>0.20233080218403024</v>
      </c>
      <c r="AE146" s="23">
        <f t="shared" si="58"/>
        <v>2497.4622456117509</v>
      </c>
      <c r="AF146" s="23">
        <f t="shared" si="59"/>
        <v>633.14021615551678</v>
      </c>
      <c r="AG146" s="23">
        <f t="shared" si="60"/>
        <v>1604.7689907918759</v>
      </c>
      <c r="AH146" s="23">
        <f t="shared" si="61"/>
        <v>2491.5253531191556</v>
      </c>
      <c r="AI146" s="23">
        <f t="shared" si="62"/>
        <v>1901.3431331962081</v>
      </c>
      <c r="AJ146" s="23"/>
      <c r="AK146" s="25">
        <f t="shared" si="53"/>
        <v>2491.5253531191556</v>
      </c>
      <c r="AL146" s="4"/>
      <c r="AM146" s="4"/>
      <c r="AN146" s="4"/>
      <c r="AO146" s="16"/>
      <c r="AP146" s="16"/>
      <c r="AS146" s="21">
        <f>-Y146*W146*X146^(-Parameters!B$52)*Parameters!B$46*Parameters!B$45*N146</f>
        <v>-3.5265441370021082E-6</v>
      </c>
      <c r="AT146" s="7">
        <f>1000*EXP(-(Parameters!$B$54)*'6states'!A146)*AK146*Parameters!B$46*Parameters!B$45*N146</f>
        <v>0.39562033626639143</v>
      </c>
      <c r="AZ146" s="5"/>
      <c r="BA146" s="5"/>
      <c r="BB146" s="5"/>
      <c r="BE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-2.49050458257375E-2</v>
      </c>
      <c r="BF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-46.042808975495412</v>
      </c>
    </row>
    <row r="147" spans="1:58" x14ac:dyDescent="0.25">
      <c r="A147">
        <f>A146+Parameters!$B$65</f>
        <v>143</v>
      </c>
      <c r="B147">
        <v>2168</v>
      </c>
      <c r="C147" s="74">
        <v>-4.400547917790389E-7</v>
      </c>
      <c r="D147" s="69">
        <v>9.09499842522348E-2</v>
      </c>
      <c r="E147" s="75">
        <v>0.22597558573341789</v>
      </c>
      <c r="F147" s="7">
        <f>MAX((1-Parameters!$B$4)^Parameters!B$65*F146 + C146*Parameters!B$65 - IF(C146&gt;0,Parameters!$B$5,0)*C146^2/F146*Parameters!B$65, 0.0001)</f>
        <v>1.0211887381165514E-4</v>
      </c>
      <c r="G147" s="7">
        <f>(1-Parameters!$B$4)^Parameters!B$65*G146+D146*Parameters!B$65-Parameters!$B$5*D146^2/G146*Parameters!B$65</f>
        <v>1.3507588256450933</v>
      </c>
      <c r="H147" s="7">
        <f>(1-Parameters!$B$4)^Parameters!B$65*H146+E146*Parameters!B$65-Parameters!$B$5*E146^2/H146*Parameters!B$65</f>
        <v>3.3455226396719491</v>
      </c>
      <c r="I147" s="9">
        <f>I146 *(1-Parameters!$B$4)-C146*(C146&lt;0)*Parameters!B$65</f>
        <v>1.0744701919932045E-5</v>
      </c>
      <c r="J147" s="23">
        <f>J146*(1+Parameters!$B$51)^Parameters!B$65</f>
        <v>12.346146795108401</v>
      </c>
      <c r="K147" s="23">
        <f>K146*(1+Parameters!$B$53)^Parameters!B$65</f>
        <v>153.17956527451193</v>
      </c>
      <c r="L147" s="23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3.6843388713170229E-2</v>
      </c>
      <c r="M147" s="8">
        <f>M146+L147*Parameters!B$65</f>
        <v>3205.7546935813361</v>
      </c>
      <c r="N147" s="7">
        <f>M147*Parameters!$B$45</f>
        <v>1.9234528161488016</v>
      </c>
      <c r="O147" s="9">
        <f>EXP(-Parameters!$B$46/2*N147^2)</f>
        <v>0.96350106007354752</v>
      </c>
      <c r="P147" s="8">
        <f>MAX((Parameters!$B$62 + Parameters!$B$31*'6states'!A147 - '6states'!M147 + Parameters!$B$47/Parameters!$B$45)/Parameters!B$62,1)</f>
        <v>135.03690612837329</v>
      </c>
      <c r="Q147" s="8"/>
      <c r="R147" s="8"/>
      <c r="S147" s="7">
        <f>Parameters!B$61*EXP(-Parameters!B$60*A147)+(1-Parameters!B$61)*P147^-Parameters!B$63</f>
        <v>0.31666676902303548</v>
      </c>
      <c r="T147" s="7">
        <f>1-S147/Parameters!$B$12</f>
        <v>0.84166661548848221</v>
      </c>
      <c r="U147" s="7">
        <f t="shared" si="55"/>
        <v>6.3157874322282046</v>
      </c>
      <c r="V147" s="7">
        <f>(Parameters!$B$19*(F147+Parameters!$B$20)^T147+Parameters!$B$18*G147^T147)^(1/T147)</f>
        <v>0.342556974402424</v>
      </c>
      <c r="W147" s="7">
        <f>(Parameters!$B$10*H147^Parameters!$B$9+Parameters!$B$11*V147^Parameters!$B$9)^(Parameters!$B$7/Parameters!$B$9)*O147</f>
        <v>1.3477464250736952</v>
      </c>
      <c r="X147" s="7">
        <f>W147 - D147 - E147 - LN(1+EXP(Parameters!$B$21*C147))/Parameters!$B$21 - IF(C147&gt;0, 0,Parameters!$B$6*C147^2/F147)</f>
        <v>1.0285105750248005</v>
      </c>
      <c r="Y147" s="7">
        <f>EXP(-Parameters!$B$55*A147)</f>
        <v>0.11540587688403768</v>
      </c>
      <c r="Z147" s="7">
        <f>IF(X147&gt;0,X147^(1-Parameters!$B$52)/(1-Parameters!$B$52)*Y147*Parameters!$B$65,-10+X147*1000)</f>
        <v>-0.32650272809787628</v>
      </c>
      <c r="AC147" s="23">
        <f t="shared" si="56"/>
        <v>2.032013742878562E-2</v>
      </c>
      <c r="AD147" s="23">
        <f t="shared" si="57"/>
        <v>0.1931249061527035</v>
      </c>
      <c r="AE147" s="23">
        <f t="shared" si="58"/>
        <v>2554.5245624112172</v>
      </c>
      <c r="AF147" s="23">
        <f t="shared" si="59"/>
        <v>647.83600782200926</v>
      </c>
      <c r="AG147" s="23">
        <f t="shared" si="60"/>
        <v>1642.0172182141125</v>
      </c>
      <c r="AH147" s="23">
        <f t="shared" si="61"/>
        <v>2548.8275785341857</v>
      </c>
      <c r="AI147" s="23">
        <f t="shared" si="62"/>
        <v>1945.0959540062743</v>
      </c>
      <c r="AJ147" s="23"/>
      <c r="AK147" s="25">
        <f t="shared" si="53"/>
        <v>2548.8275785341857</v>
      </c>
      <c r="AL147" s="4"/>
      <c r="AM147" s="4"/>
      <c r="AN147" s="4"/>
      <c r="AO147" s="16"/>
      <c r="AP147" s="16"/>
      <c r="AS147" s="21">
        <f>-Y147*W147*X147^(-Parameters!B$52)*Parameters!B$46*Parameters!B$45*N147</f>
        <v>-3.4736265920031272E-6</v>
      </c>
      <c r="AT147" s="7">
        <f>1000*EXP(-(Parameters!$B$54)*'6states'!A147)*AK147*Parameters!B$46*Parameters!B$45*N147</f>
        <v>0.39076441659697608</v>
      </c>
      <c r="AZ147" s="5"/>
      <c r="BA147" s="5"/>
      <c r="BB147" s="5"/>
      <c r="BE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-2.0705928775918647E-2</v>
      </c>
      <c r="BF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-39.158584524043711</v>
      </c>
    </row>
    <row r="148" spans="1:58" x14ac:dyDescent="0.25">
      <c r="A148">
        <f>A147+Parameters!$B$65</f>
        <v>144</v>
      </c>
      <c r="B148">
        <v>2169</v>
      </c>
      <c r="C148" s="74">
        <v>-4.400547917790389E-7</v>
      </c>
      <c r="D148" s="69">
        <v>9.09499842522348E-2</v>
      </c>
      <c r="E148" s="75">
        <v>0.22597558573341789</v>
      </c>
      <c r="F148" s="7">
        <f>MAX((1-Parameters!$B$4)^Parameters!B$65*F147 + C147*Parameters!B$65 - IF(C147&gt;0,Parameters!$B$5,0)*C147^2/F147*Parameters!B$65, 0.0001)</f>
        <v>1E-4</v>
      </c>
      <c r="G148" s="7">
        <f>(1-Parameters!$B$4)^Parameters!B$65*G147+D147*Parameters!B$65-Parameters!$B$5*D147^2/G147*Parameters!B$65</f>
        <v>1.3506221888975523</v>
      </c>
      <c r="H148" s="7">
        <f>(1-Parameters!$B$4)^Parameters!B$65*H147+E147*Parameters!B$65-Parameters!$B$5*E147^2/H147*Parameters!B$65</f>
        <v>3.3458011778434731</v>
      </c>
      <c r="I148" s="9">
        <f>I147 *(1-Parameters!$B$4)-C147*(C147&lt;0)*Parameters!B$65</f>
        <v>1.0508914960947358E-5</v>
      </c>
      <c r="J148" s="23">
        <f>J147*(1+Parameters!$B$51)^Parameters!B$65</f>
        <v>12.381950620814214</v>
      </c>
      <c r="K148" s="23">
        <f>K147*(1+Parameters!$B$53)^Parameters!B$65</f>
        <v>156.24315658000216</v>
      </c>
      <c r="L148" s="23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3.6540499370269895E-2</v>
      </c>
      <c r="M148" s="8">
        <f>M147+L148*Parameters!B$65</f>
        <v>3205.7912340807065</v>
      </c>
      <c r="N148" s="7">
        <f>M148*Parameters!$B$45</f>
        <v>1.9234747404484238</v>
      </c>
      <c r="O148" s="9">
        <f>EXP(-Parameters!$B$46/2*N148^2)</f>
        <v>0.96350024338246965</v>
      </c>
      <c r="P148" s="8">
        <f>MAX((Parameters!$B$62 + Parameters!$B$31*'6states'!A148 - '6states'!M148 + Parameters!$B$47/Parameters!$B$45)/Parameters!B$62,1)</f>
        <v>136.10017531838588</v>
      </c>
      <c r="Q148" s="8"/>
      <c r="R148" s="8"/>
      <c r="S148" s="7">
        <f>Parameters!B$61*EXP(-Parameters!B$60*A148)+(1-Parameters!B$61)*P148^-Parameters!B$63</f>
        <v>0.31614642037889013</v>
      </c>
      <c r="T148" s="7">
        <f>1-S148/Parameters!$B$12</f>
        <v>0.84192678981055491</v>
      </c>
      <c r="U148" s="7">
        <f t="shared" si="55"/>
        <v>6.3261826517063566</v>
      </c>
      <c r="V148" s="7">
        <f>(Parameters!$B$19*(F148+Parameters!$B$20)^T148+Parameters!$B$18*G148^T148)^(1/T148)</f>
        <v>0.34264765914895351</v>
      </c>
      <c r="W148" s="7">
        <f>(Parameters!$B$10*H148^Parameters!$B$9+Parameters!$B$11*V148^Parameters!$B$9)^(Parameters!$B$7/Parameters!$B$9)*O148</f>
        <v>1.3478008958808547</v>
      </c>
      <c r="X148" s="7">
        <f>W148 - D148 - E148 - LN(1+EXP(Parameters!$B$21*C148))/Parameters!$B$21 - IF(C148&gt;0, 0,Parameters!$B$6*C148^2/F148)</f>
        <v>1.0285650456310587</v>
      </c>
      <c r="Y148" s="7">
        <f>EXP(-Parameters!$B$55*A148)</f>
        <v>0.11367633901652432</v>
      </c>
      <c r="Z148" s="7">
        <f>IF(X148&gt;0,X148^(1-Parameters!$B$52)/(1-Parameters!$B$52)*Y148*Parameters!$B$65,-10+X148*1000)</f>
        <v>-0.32160361197972304</v>
      </c>
      <c r="AC148" s="23">
        <f t="shared" si="56"/>
        <v>2.0330494860260426E-2</v>
      </c>
      <c r="AD148" s="23">
        <f t="shared" si="57"/>
        <v>0.19345950496137304</v>
      </c>
      <c r="AE148" s="23">
        <f t="shared" si="58"/>
        <v>2612.9070005396652</v>
      </c>
      <c r="AF148" s="23">
        <f t="shared" si="59"/>
        <v>662.88446515129829</v>
      </c>
      <c r="AG148" s="23">
        <f t="shared" si="60"/>
        <v>1680.1593185973964</v>
      </c>
      <c r="AH148" s="23">
        <f t="shared" si="61"/>
        <v>2607.4489410360525</v>
      </c>
      <c r="AI148" s="23">
        <f t="shared" si="62"/>
        <v>1989.8568454835668</v>
      </c>
      <c r="AJ148" s="23"/>
      <c r="AK148" s="25">
        <f t="shared" si="53"/>
        <v>2607.4489410360525</v>
      </c>
      <c r="AL148" s="4"/>
      <c r="AM148" s="4"/>
      <c r="AN148" s="4"/>
      <c r="AO148" s="16"/>
      <c r="AP148" s="16"/>
      <c r="AS148" s="21">
        <f>-Y148*W148*X148^(-Parameters!B$52)*Parameters!B$46*Parameters!B$45*N148</f>
        <v>-3.4215015153602959E-6</v>
      </c>
      <c r="AT148" s="7">
        <f>1000*EXP(-(Parameters!$B$54)*'6states'!A148)*AK148*Parameters!B$46*Parameters!B$45*N148</f>
        <v>0.38596824816856035</v>
      </c>
      <c r="AZ148" s="5"/>
      <c r="BA148" s="5"/>
      <c r="BB148" s="5"/>
      <c r="BE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-2.0596701448967684E-2</v>
      </c>
      <c r="BF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-39.846276661544827</v>
      </c>
    </row>
    <row r="149" spans="1:58" x14ac:dyDescent="0.25">
      <c r="A149">
        <f>A148+Parameters!$B$65</f>
        <v>145</v>
      </c>
      <c r="B149">
        <v>2170</v>
      </c>
      <c r="C149" s="74">
        <v>-4.400547917790389E-7</v>
      </c>
      <c r="D149" s="69">
        <v>9.09499842522348E-2</v>
      </c>
      <c r="E149" s="75">
        <v>0.22597558573341789</v>
      </c>
      <c r="F149" s="7">
        <f>MAX((1-Parameters!$B$4)^Parameters!B$65*F148 + C148*Parameters!B$65 - IF(C148&gt;0,Parameters!$B$5,0)*C148^2/F148*Parameters!B$65, 0.0001)</f>
        <v>1E-4</v>
      </c>
      <c r="G149" s="7">
        <f>(1-Parameters!$B$4)^Parameters!B$65*G148+D148*Parameters!B$65-Parameters!$B$5*D148^2/G148*Parameters!B$65</f>
        <v>1.3504935270732341</v>
      </c>
      <c r="H149" s="7">
        <f>(1-Parameters!$B$4)^Parameters!B$65*H148+E148*Parameters!B$65-Parameters!$B$5*E148^2/H148*Parameters!B$65</f>
        <v>3.3460634666658491</v>
      </c>
      <c r="I149" s="9">
        <f>I148 *(1-Parameters!$B$4)-C148*(C148&lt;0)*Parameters!B$65</f>
        <v>1.0287959001682807E-5</v>
      </c>
      <c r="J149" s="23">
        <f>J148*(1+Parameters!$B$51)^Parameters!B$65</f>
        <v>12.417858277614574</v>
      </c>
      <c r="K149" s="23">
        <f>K148*(1+Parameters!$B$53)^Parameters!B$65</f>
        <v>159.36801971160222</v>
      </c>
      <c r="L149" s="23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3.7016753554508369E-2</v>
      </c>
      <c r="M149" s="8">
        <f>M148+L149*Parameters!B$65</f>
        <v>3205.8282508342609</v>
      </c>
      <c r="N149" s="7">
        <f>M149*Parameters!$B$45</f>
        <v>1.9234969505005564</v>
      </c>
      <c r="O149" s="9">
        <f>EXP(-Parameters!$B$46/2*N149^2)</f>
        <v>0.96349941603818257</v>
      </c>
      <c r="P149" s="8">
        <f>MAX((Parameters!$B$62 + Parameters!$B$31*'6states'!A149 - '6states'!M149 + Parameters!$B$47/Parameters!$B$45)/Parameters!B$62,1)</f>
        <v>137.16343498331477</v>
      </c>
      <c r="Q149" s="8"/>
      <c r="R149" s="8"/>
      <c r="S149" s="7">
        <f>Parameters!B$61*EXP(-Parameters!B$60*A149)+(1-Parameters!B$61)*P149^-Parameters!B$63</f>
        <v>0.31563559536936336</v>
      </c>
      <c r="T149" s="7">
        <f>1-S149/Parameters!$B$12</f>
        <v>0.84218220231531826</v>
      </c>
      <c r="U149" s="7">
        <f t="shared" si="55"/>
        <v>6.3364209529649456</v>
      </c>
      <c r="V149" s="7">
        <f>(Parameters!$B$19*(F149+Parameters!$B$20)^T149+Parameters!$B$18*G149^T149)^(1/T149)</f>
        <v>0.34274051818047169</v>
      </c>
      <c r="W149" s="7">
        <f>(Parameters!$B$10*H149^Parameters!$B$9+Parameters!$B$11*V149^Parameters!$B$9)^(Parameters!$B$7/Parameters!$B$9)*O149</f>
        <v>1.3478547227784987</v>
      </c>
      <c r="X149" s="7">
        <f>W149 - D149 - E149 - LN(1+EXP(Parameters!$B$21*C149))/Parameters!$B$21 - IF(C149&gt;0, 0,Parameters!$B$6*C149^2/F149)</f>
        <v>1.0286188725287027</v>
      </c>
      <c r="Y149" s="7">
        <f>EXP(-Parameters!$B$55*A149)</f>
        <v>0.11197272098356298</v>
      </c>
      <c r="Z149" s="7">
        <f>IF(X149&gt;0,X149^(1-Parameters!$B$52)/(1-Parameters!$B$52)*Y149*Parameters!$B$65,-10+X149*1000)</f>
        <v>-0.31677807593359386</v>
      </c>
      <c r="AC149" s="23">
        <f t="shared" si="56"/>
        <v>2.0359968422604794E-2</v>
      </c>
      <c r="AD149" s="23">
        <f t="shared" si="57"/>
        <v>0.19790094827627625</v>
      </c>
      <c r="AE149" s="23">
        <f t="shared" si="58"/>
        <v>2672.6394964876595</v>
      </c>
      <c r="AF149" s="23">
        <f t="shared" si="59"/>
        <v>678.28673560617631</v>
      </c>
      <c r="AG149" s="23">
        <f t="shared" si="60"/>
        <v>1719.1982003223047</v>
      </c>
      <c r="AH149" s="23">
        <f t="shared" si="61"/>
        <v>2667.4172777652225</v>
      </c>
      <c r="AI149" s="23">
        <f t="shared" si="62"/>
        <v>2035.6465028830435</v>
      </c>
      <c r="AJ149" s="23"/>
      <c r="AK149" s="25">
        <f t="shared" si="53"/>
        <v>2667.4172777652229</v>
      </c>
      <c r="AL149" s="4"/>
      <c r="AM149" s="4"/>
      <c r="AN149" s="4"/>
      <c r="AO149" s="16"/>
      <c r="AP149" s="16"/>
      <c r="AS149" s="21">
        <f>-Y149*W149*X149^(-Parameters!B$52)*Parameters!B$46*Parameters!B$45*N149</f>
        <v>-3.3701603698241843E-6</v>
      </c>
      <c r="AT149" s="7">
        <f>1000*EXP(-(Parameters!$B$54)*'6states'!A149)*AK149*Parameters!B$46*Parameters!B$45*N149</f>
        <v>0.38123082084086723</v>
      </c>
      <c r="AZ149" s="5"/>
      <c r="BA149" s="5"/>
      <c r="BB149" s="5"/>
      <c r="BE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-2.2116871709825757E-2</v>
      </c>
      <c r="BF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-43.769498842792636</v>
      </c>
    </row>
    <row r="150" spans="1:58" x14ac:dyDescent="0.25">
      <c r="A150">
        <f>A149+Parameters!$B$65</f>
        <v>146</v>
      </c>
      <c r="B150">
        <v>2171</v>
      </c>
      <c r="C150" s="74">
        <v>-4.400547917790389E-7</v>
      </c>
      <c r="D150" s="69">
        <v>9.09499842522348E-2</v>
      </c>
      <c r="E150" s="75">
        <v>0.22597558573341789</v>
      </c>
      <c r="F150" s="7">
        <f>MAX((1-Parameters!$B$4)^Parameters!B$65*F149 + C149*Parameters!B$65 - IF(C149&gt;0,Parameters!$B$5,0)*C149^2/F149*Parameters!B$65, 0.0001)</f>
        <v>1E-4</v>
      </c>
      <c r="G150" s="7">
        <f>(1-Parameters!$B$4)^Parameters!B$65*G149+D149*Parameters!B$65-Parameters!$B$5*D149^2/G149*Parameters!B$65</f>
        <v>1.3503723745941725</v>
      </c>
      <c r="H150" s="7">
        <f>(1-Parameters!$B$4)^Parameters!B$65*H149+E149*Parameters!B$65-Parameters!$B$5*E149^2/H149*Parameters!B$65</f>
        <v>3.34631045389958</v>
      </c>
      <c r="I150" s="9">
        <f>I149 *(1-Parameters!$B$4)-C149*(C149&lt;0)*Parameters!B$65</f>
        <v>1.0080901172255998E-5</v>
      </c>
      <c r="J150" s="23">
        <f>J149*(1+Parameters!$B$51)^Parameters!B$65</f>
        <v>12.453870066619654</v>
      </c>
      <c r="K150" s="23">
        <f>K149*(1+Parameters!$B$53)^Parameters!B$65</f>
        <v>162.55538010583427</v>
      </c>
      <c r="L150" s="23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3.7499343480309713E-2</v>
      </c>
      <c r="M150" s="8">
        <f>M149+L150*Parameters!B$65</f>
        <v>3205.8657501777411</v>
      </c>
      <c r="N150" s="7">
        <f>M150*Parameters!$B$45</f>
        <v>1.9235194501066446</v>
      </c>
      <c r="O150" s="9">
        <f>EXP(-Parameters!$B$46/2*N150^2)</f>
        <v>0.96349857789873561</v>
      </c>
      <c r="P150" s="8">
        <f>MAX((Parameters!$B$62 + Parameters!$B$31*'6states'!A150 - '6states'!M150 + Parameters!$B$47/Parameters!$B$45)/Parameters!B$62,1)</f>
        <v>138.22668499644519</v>
      </c>
      <c r="Q150" s="8"/>
      <c r="R150" s="8"/>
      <c r="S150" s="7">
        <f>Parameters!B$61*EXP(-Parameters!B$60*A150)+(1-Parameters!B$61)*P150^-Parameters!B$63</f>
        <v>0.31513406174606351</v>
      </c>
      <c r="T150" s="7">
        <f>1-S150/Parameters!$B$12</f>
        <v>0.8424329691269683</v>
      </c>
      <c r="U150" s="7">
        <f t="shared" si="55"/>
        <v>6.3465053219528205</v>
      </c>
      <c r="V150" s="7">
        <f>(Parameters!$B$19*(F150+Parameters!$B$20)^T150+Parameters!$B$18*G150^T150)^(1/T150)</f>
        <v>0.34283292052344239</v>
      </c>
      <c r="W150" s="7">
        <f>(Parameters!$B$10*H150^Parameters!$B$9+Parameters!$B$11*V150^Parameters!$B$9)^(Parameters!$B$7/Parameters!$B$9)*O150</f>
        <v>1.3479070560458786</v>
      </c>
      <c r="X150" s="7">
        <f>W150 - D150 - E150 - LN(1+EXP(Parameters!$B$21*C150))/Parameters!$B$21 - IF(C150&gt;0, 0,Parameters!$B$6*C150^2/F150)</f>
        <v>1.0286712057960825</v>
      </c>
      <c r="Y150" s="7">
        <f>EXP(-Parameters!$B$55*A150)</f>
        <v>0.11029463433582516</v>
      </c>
      <c r="Z150" s="7">
        <f>IF(X150&gt;0,X150^(1-Parameters!$B$52)/(1-Parameters!$B$52)*Y150*Parameters!$B$65,-10+X150*1000)</f>
        <v>-0.31202510403300115</v>
      </c>
      <c r="AC150" s="23">
        <f t="shared" si="56"/>
        <v>2.0408215683668091E-2</v>
      </c>
      <c r="AD150" s="23">
        <f t="shared" si="57"/>
        <v>0.20244435824680296</v>
      </c>
      <c r="AE150" s="23">
        <f t="shared" si="58"/>
        <v>2733.7526876892866</v>
      </c>
      <c r="AF150" s="23">
        <f t="shared" si="59"/>
        <v>694.04590581245486</v>
      </c>
      <c r="AG150" s="23">
        <f t="shared" si="60"/>
        <v>1759.1416868081403</v>
      </c>
      <c r="AH150" s="23">
        <f t="shared" si="61"/>
        <v>2728.7617893754532</v>
      </c>
      <c r="AI150" s="23">
        <f t="shared" si="62"/>
        <v>2082.4868210435288</v>
      </c>
      <c r="AJ150" s="23"/>
      <c r="AK150" s="25">
        <f t="shared" si="53"/>
        <v>2728.7617893754532</v>
      </c>
      <c r="AL150" s="4"/>
      <c r="AM150" s="4"/>
      <c r="AN150" s="4"/>
      <c r="AO150" s="16"/>
      <c r="AP150" s="16"/>
      <c r="AS150" s="21">
        <f>-Y150*W150*X150^(-Parameters!B$52)*Parameters!B$46*Parameters!B$45*N150</f>
        <v>-3.3195929557430913E-6</v>
      </c>
      <c r="AT150" s="7">
        <f>1000*EXP(-(Parameters!$B$54)*'6states'!A150)*AK150*Parameters!B$46*Parameters!B$45*N150</f>
        <v>0.37655118011979344</v>
      </c>
      <c r="AZ150" s="5"/>
      <c r="BA150" s="5"/>
      <c r="BB150" s="5"/>
      <c r="BE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-2.3635138062693035E-2</v>
      </c>
      <c r="BF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-47.848003571764771</v>
      </c>
    </row>
    <row r="151" spans="1:58" x14ac:dyDescent="0.25">
      <c r="A151">
        <f>A150+Parameters!$B$65</f>
        <v>147</v>
      </c>
      <c r="B151">
        <v>2172</v>
      </c>
      <c r="C151" s="74">
        <v>-4.400547917790389E-7</v>
      </c>
      <c r="D151" s="69">
        <v>9.09499842522348E-2</v>
      </c>
      <c r="E151" s="75">
        <v>0.22597558573341789</v>
      </c>
      <c r="F151" s="7">
        <f>MAX((1-Parameters!$B$4)^Parameters!B$65*F150 + C150*Parameters!B$65 - IF(C150&gt;0,Parameters!$B$5,0)*C150^2/F150*Parameters!B$65, 0.0001)</f>
        <v>1E-4</v>
      </c>
      <c r="G151" s="7">
        <f>(1-Parameters!$B$4)^Parameters!B$65*G150+D150*Parameters!B$65-Parameters!$B$5*D150^2/G150*Parameters!B$65</f>
        <v>1.3502582930759128</v>
      </c>
      <c r="H151" s="7">
        <f>(1-Parameters!$B$4)^Parameters!B$65*H150+E150*Parameters!B$65-Parameters!$B$5*E150^2/H150*Parameters!B$65</f>
        <v>3.3465430320479843</v>
      </c>
      <c r="I151" s="9">
        <f>I150 *(1-Parameters!$B$4)-C150*(C150&lt;0)*Parameters!B$65</f>
        <v>9.8868672803001343E-6</v>
      </c>
      <c r="J151" s="23">
        <f>J150*(1+Parameters!$B$51)^Parameters!B$65</f>
        <v>12.489986289812849</v>
      </c>
      <c r="K151" s="23">
        <f>K150*(1+Parameters!$B$53)^Parameters!B$65</f>
        <v>165.80648770795096</v>
      </c>
      <c r="L151" s="23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3.7988311101115002E-2</v>
      </c>
      <c r="M151" s="8">
        <f>M150+L151*Parameters!B$65</f>
        <v>3205.903738488842</v>
      </c>
      <c r="N151" s="7">
        <f>M151*Parameters!$B$45</f>
        <v>1.9235422430933051</v>
      </c>
      <c r="O151" s="9">
        <f>EXP(-Parameters!$B$46/2*N151^2)</f>
        <v>0.96349772882122953</v>
      </c>
      <c r="P151" s="8">
        <f>MAX((Parameters!$B$62 + Parameters!$B$31*'6states'!A151 - '6states'!M151 + Parameters!$B$47/Parameters!$B$45)/Parameters!B$62,1)</f>
        <v>139.28992523022316</v>
      </c>
      <c r="Q151" s="8"/>
      <c r="R151" s="8"/>
      <c r="S151" s="7">
        <f>Parameters!B$61*EXP(-Parameters!B$60*A151)+(1-Parameters!B$61)*P151^-Parameters!B$63</f>
        <v>0.3146415933513772</v>
      </c>
      <c r="T151" s="7">
        <f>1-S151/Parameters!$B$12</f>
        <v>0.84267920332431134</v>
      </c>
      <c r="U151" s="7">
        <f t="shared" si="55"/>
        <v>6.3564386980665066</v>
      </c>
      <c r="V151" s="7">
        <f>(Parameters!$B$19*(F151+Parameters!$B$20)^T151+Parameters!$B$18*G151^T151)^(1/T151)</f>
        <v>0.34292481714367629</v>
      </c>
      <c r="W151" s="7">
        <f>(Parameters!$B$10*H151^Parameters!$B$9+Parameters!$B$11*V151^Parameters!$B$9)^(Parameters!$B$7/Parameters!$B$9)*O151</f>
        <v>1.347957953474203</v>
      </c>
      <c r="X151" s="7">
        <f>W151 - D151 - E151 - LN(1+EXP(Parameters!$B$21*C151))/Parameters!$B$21 - IF(C151&gt;0, 0,Parameters!$B$6*C151^2/F151)</f>
        <v>1.0287221032244069</v>
      </c>
      <c r="Y151" s="7">
        <f>EXP(-Parameters!$B$55*A151)</f>
        <v>0.1086416964455041</v>
      </c>
      <c r="Z151" s="7">
        <f>IF(X151&gt;0,X151^(1-Parameters!$B$52)/(1-Parameters!$B$52)*Y151*Parameters!$B$65,-10+X151*1000)</f>
        <v>-0.3073435966471646</v>
      </c>
      <c r="AC151" s="23">
        <f t="shared" si="56"/>
        <v>2.0474918684681345E-2</v>
      </c>
      <c r="AD151" s="23">
        <f t="shared" si="57"/>
        <v>0.20709207582343303</v>
      </c>
      <c r="AE151" s="23">
        <f t="shared" si="58"/>
        <v>2796.277928108962</v>
      </c>
      <c r="AF151" s="23">
        <f t="shared" si="59"/>
        <v>710.17012233655112</v>
      </c>
      <c r="AG151" s="23">
        <f t="shared" si="60"/>
        <v>1800.0104264939605</v>
      </c>
      <c r="AH151" s="23">
        <f t="shared" si="61"/>
        <v>2791.5141070767927</v>
      </c>
      <c r="AI151" s="23">
        <f t="shared" si="62"/>
        <v>2130.4019580219037</v>
      </c>
      <c r="AJ151" s="23"/>
      <c r="AK151" s="25">
        <f t="shared" si="53"/>
        <v>2791.5141070767927</v>
      </c>
      <c r="AL151" s="4"/>
      <c r="AM151" s="4"/>
      <c r="AN151" s="4"/>
      <c r="AO151" s="16"/>
      <c r="AP151" s="16"/>
      <c r="AS151" s="21">
        <f>-Y151*W151*X151^(-Parameters!B$52)*Parameters!B$46*Parameters!B$45*N151</f>
        <v>-3.2697874609990096E-6</v>
      </c>
      <c r="AT151" s="7">
        <f>1000*EXP(-(Parameters!$B$54)*'6states'!A151)*AK151*Parameters!B$46*Parameters!B$45*N151</f>
        <v>0.37192864232486678</v>
      </c>
      <c r="AZ151" s="5"/>
      <c r="BA151" s="5"/>
      <c r="BB151" s="5"/>
      <c r="BE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-2.5143037437011576E-2</v>
      </c>
      <c r="BF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-52.069238153370158</v>
      </c>
    </row>
    <row r="152" spans="1:58" x14ac:dyDescent="0.25">
      <c r="A152">
        <f>A151+Parameters!$B$65</f>
        <v>148</v>
      </c>
      <c r="B152">
        <v>2173</v>
      </c>
      <c r="C152" s="74">
        <v>-4.400547917790389E-7</v>
      </c>
      <c r="D152" s="69">
        <v>9.09499842522348E-2</v>
      </c>
      <c r="E152" s="75">
        <v>0.22597558573341789</v>
      </c>
      <c r="F152" s="7">
        <f>MAX((1-Parameters!$B$4)^Parameters!B$65*F151 + C151*Parameters!B$65 - IF(C151&gt;0,Parameters!$B$5,0)*C151^2/F151*Parameters!B$65, 0.0001)</f>
        <v>1E-4</v>
      </c>
      <c r="G152" s="7">
        <f>(1-Parameters!$B$4)^Parameters!B$65*G151+D151*Parameters!B$65-Parameters!$B$5*D151^2/G151*Parameters!B$65</f>
        <v>1.3501508697377282</v>
      </c>
      <c r="H152" s="7">
        <f>(1-Parameters!$B$4)^Parameters!B$65*H151+E151*Parameters!B$65-Parameters!$B$5*E151^2/H151*Parameters!B$65</f>
        <v>3.3467620415763557</v>
      </c>
      <c r="I152" s="9">
        <f>I151 *(1-Parameters!$B$4)-C151*(C151&lt;0)*Parameters!B$65</f>
        <v>9.7050381201482948E-6</v>
      </c>
      <c r="J152" s="23">
        <f>J151*(1+Parameters!$B$51)^Parameters!B$65</f>
        <v>12.526207250053305</v>
      </c>
      <c r="K152" s="23">
        <f>K151*(1+Parameters!$B$53)^Parameters!B$65</f>
        <v>169.12261746210999</v>
      </c>
      <c r="L152" s="23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3.8483698657159185E-2</v>
      </c>
      <c r="M152" s="8">
        <f>M151+L152*Parameters!B$65</f>
        <v>3205.9422221874993</v>
      </c>
      <c r="N152" s="7">
        <f>M152*Parameters!$B$45</f>
        <v>1.9235653333124993</v>
      </c>
      <c r="O152" s="9">
        <f>EXP(-Parameters!$B$46/2*N152^2)</f>
        <v>0.96349686866181028</v>
      </c>
      <c r="P152" s="8">
        <f>MAX((Parameters!$B$62 + Parameters!$B$31*'6states'!A152 - '6states'!M152 + Parameters!$B$47/Parameters!$B$45)/Parameters!B$62,1)</f>
        <v>140.35315555625002</v>
      </c>
      <c r="Q152" s="8"/>
      <c r="R152" s="8"/>
      <c r="S152" s="7">
        <f>Parameters!B$61*EXP(-Parameters!B$60*A152)+(1-Parameters!B$61)*P152^-Parameters!B$63</f>
        <v>0.31415796995262796</v>
      </c>
      <c r="T152" s="7">
        <f>1-S152/Parameters!$B$12</f>
        <v>0.84292101502368599</v>
      </c>
      <c r="U152" s="7">
        <f t="shared" si="55"/>
        <v>6.3662239742050177</v>
      </c>
      <c r="V152" s="7">
        <f>(Parameters!$B$19*(F152+Parameters!$B$20)^T152+Parameters!$B$18*G152^T152)^(1/T152)</f>
        <v>0.34301616355097109</v>
      </c>
      <c r="W152" s="7">
        <f>(Parameters!$B$10*H152^Parameters!$B$9+Parameters!$B$11*V152^Parameters!$B$9)^(Parameters!$B$7/Parameters!$B$9)*O152</f>
        <v>1.3480074701367359</v>
      </c>
      <c r="X152" s="7">
        <f>W152 - D152 - E152 - LN(1+EXP(Parameters!$B$21*C152))/Parameters!$B$21 - IF(C152&gt;0, 0,Parameters!$B$6*C152^2/F152)</f>
        <v>1.0287716198869399</v>
      </c>
      <c r="Y152" s="7">
        <f>EXP(-Parameters!$B$55*A152)</f>
        <v>0.10701353041907032</v>
      </c>
      <c r="Z152" s="7">
        <f>IF(X152&gt;0,X152^(1-Parameters!$B$52)/(1-Parameters!$B$52)*Y152*Parameters!$B$65,-10+X152*1000)</f>
        <v>-0.30273247130716813</v>
      </c>
      <c r="AC152" s="23">
        <f t="shared" si="56"/>
        <v>2.0559783163901505E-2</v>
      </c>
      <c r="AD152" s="23">
        <f t="shared" si="57"/>
        <v>0.2118464957001874</v>
      </c>
      <c r="AE152" s="23">
        <f t="shared" si="58"/>
        <v>2860.2473042049792</v>
      </c>
      <c r="AF152" s="23">
        <f t="shared" si="59"/>
        <v>726.66772216795573</v>
      </c>
      <c r="AG152" s="23">
        <f t="shared" si="60"/>
        <v>1841.8255504686922</v>
      </c>
      <c r="AH152" s="23">
        <f t="shared" si="61"/>
        <v>2855.7065872614248</v>
      </c>
      <c r="AI152" s="23">
        <f t="shared" si="62"/>
        <v>2179.416625488534</v>
      </c>
      <c r="AJ152" s="23"/>
      <c r="AK152" s="25">
        <f t="shared" si="53"/>
        <v>2855.7065872614253</v>
      </c>
      <c r="AL152" s="4"/>
      <c r="AM152" s="4"/>
      <c r="AN152" s="4"/>
      <c r="AO152" s="16"/>
      <c r="AP152" s="16"/>
      <c r="AS152" s="21">
        <f>-Y152*W152*X152^(-Parameters!B$52)*Parameters!B$46*Parameters!B$45*N152</f>
        <v>-3.2207322626438749E-6</v>
      </c>
      <c r="AT152" s="7">
        <f>1000*EXP(-(Parameters!$B$54)*'6states'!A152)*AK152*Parameters!B$46*Parameters!B$45*N152</f>
        <v>0.36736253064903707</v>
      </c>
      <c r="AZ152" s="5"/>
      <c r="BA152" s="5"/>
      <c r="BB152" s="5"/>
      <c r="BE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-2.6632601121647472E-2</v>
      </c>
      <c r="BF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-56.420232190018965</v>
      </c>
    </row>
    <row r="153" spans="1:58" x14ac:dyDescent="0.25">
      <c r="A153">
        <f>A152+Parameters!$B$65</f>
        <v>149</v>
      </c>
      <c r="B153">
        <v>2174</v>
      </c>
      <c r="C153" s="74">
        <v>-4.400547917790389E-7</v>
      </c>
      <c r="D153" s="69">
        <v>9.09499842522348E-2</v>
      </c>
      <c r="E153" s="75">
        <v>0.22597558573341789</v>
      </c>
      <c r="F153" s="7">
        <f>MAX((1-Parameters!$B$4)^Parameters!B$65*F152 + C152*Parameters!B$65 - IF(C152&gt;0,Parameters!$B$5,0)*C152^2/F152*Parameters!B$65, 0.0001)</f>
        <v>1E-4</v>
      </c>
      <c r="G153" s="7">
        <f>(1-Parameters!$B$4)^Parameters!B$65*G152+D152*Parameters!B$65-Parameters!$B$5*D152^2/G152*Parameters!B$65</f>
        <v>1.350049715905943</v>
      </c>
      <c r="H153" s="7">
        <f>(1-Parameters!$B$4)^Parameters!B$65*H152+E152*Parameters!B$65-Parameters!$B$5*E152^2/H152*Parameters!B$65</f>
        <v>3.3469682739438666</v>
      </c>
      <c r="I153" s="9">
        <f>I152 *(1-Parameters!$B$4)-C152*(C152&lt;0)*Parameters!B$65</f>
        <v>9.5346460141700067E-6</v>
      </c>
      <c r="J153" s="23">
        <f>J152*(1+Parameters!$B$51)^Parameters!B$65</f>
        <v>12.56253325107846</v>
      </c>
      <c r="K153" s="23">
        <f>K152*(1+Parameters!$B$53)^Parameters!B$65</f>
        <v>172.5050698113522</v>
      </c>
      <c r="L153" s="23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3.8985549221030619E-2</v>
      </c>
      <c r="M153" s="8">
        <f>M152+L153*Parameters!B$65</f>
        <v>3205.9812077367205</v>
      </c>
      <c r="N153" s="7">
        <f>M153*Parameters!$B$45</f>
        <v>1.9235887246420322</v>
      </c>
      <c r="O153" s="9">
        <f>EXP(-Parameters!$B$46/2*N153^2)</f>
        <v>0.96349599727565005</v>
      </c>
      <c r="P153" s="8">
        <f>MAX((Parameters!$B$62 + Parameters!$B$31*'6states'!A153 - '6states'!M153 + Parameters!$B$47/Parameters!$B$45)/Parameters!B$62,1)</f>
        <v>141.41637584526561</v>
      </c>
      <c r="Q153" s="8"/>
      <c r="R153" s="8"/>
      <c r="S153" s="7">
        <f>Parameters!B$61*EXP(-Parameters!B$60*A153)+(1-Parameters!B$61)*P153^-Parameters!B$63</f>
        <v>0.31368297708094717</v>
      </c>
      <c r="T153" s="7">
        <f>1-S153/Parameters!$B$12</f>
        <v>0.84315851145952636</v>
      </c>
      <c r="U153" s="7">
        <f t="shared" si="55"/>
        <v>6.3758639968655082</v>
      </c>
      <c r="V153" s="7">
        <f>(Parameters!$B$19*(F153+Parameters!$B$20)^T153+Parameters!$B$18*G153^T153)^(1/T153)</f>
        <v>0.34310691949570227</v>
      </c>
      <c r="W153" s="7">
        <f>(Parameters!$B$10*H153^Parameters!$B$9+Parameters!$B$11*V153^Parameters!$B$9)^(Parameters!$B$7/Parameters!$B$9)*O153</f>
        <v>1.3480556585336763</v>
      </c>
      <c r="X153" s="7">
        <f>W153 - D153 - E153 - LN(1+EXP(Parameters!$B$21*C153))/Parameters!$B$21 - IF(C153&gt;0, 0,Parameters!$B$6*C153^2/F153)</f>
        <v>1.0288198082838802</v>
      </c>
      <c r="Y153" s="7">
        <f>EXP(-Parameters!$B$55*A153)</f>
        <v>0.10540976501133419</v>
      </c>
      <c r="Z153" s="7">
        <f>IF(X153&gt;0,X153^(1-Parameters!$B$52)/(1-Parameters!$B$52)*Y153*Parameters!$B$65,-10+X153*1000)</f>
        <v>-0.29819066240632058</v>
      </c>
      <c r="AC153" s="23">
        <f t="shared" si="56"/>
        <v>2.0662537817815543E-2</v>
      </c>
      <c r="AD153" s="23">
        <f t="shared" si="57"/>
        <v>0.2167100675484723</v>
      </c>
      <c r="AE153" s="23">
        <f t="shared" si="58"/>
        <v>2925.6936512777274</v>
      </c>
      <c r="AF153" s="23">
        <f t="shared" si="59"/>
        <v>743.54723700261889</v>
      </c>
      <c r="AG153" s="23">
        <f t="shared" si="60"/>
        <v>1884.6086833278839</v>
      </c>
      <c r="AH153" s="23">
        <f t="shared" si="61"/>
        <v>2921.372328199333</v>
      </c>
      <c r="AI153" s="23">
        <f t="shared" si="62"/>
        <v>2229.55610148406</v>
      </c>
      <c r="AJ153" s="23"/>
      <c r="AK153" s="25">
        <f t="shared" si="53"/>
        <v>2921.372328199333</v>
      </c>
      <c r="AL153" s="4"/>
      <c r="AM153" s="4"/>
      <c r="AN153" s="4"/>
      <c r="AO153" s="16"/>
      <c r="AP153" s="16"/>
      <c r="AS153" s="21">
        <f>-Y153*W153*X153^(-Parameters!B$52)*Parameters!B$46*Parameters!B$45*N153</f>
        <v>-3.1724159233074477E-6</v>
      </c>
      <c r="AT153" s="7">
        <f>1000*EXP(-(Parameters!$B$54)*'6states'!A153)*AK153*Parameters!B$46*Parameters!B$45*N153</f>
        <v>0.36285217516763002</v>
      </c>
      <c r="AZ153" s="5"/>
      <c r="BA153" s="5"/>
      <c r="BB153" s="5"/>
      <c r="BE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-2.8096439295945866E-2</v>
      </c>
      <c r="BF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-60.887812576959803</v>
      </c>
    </row>
    <row r="154" spans="1:58" x14ac:dyDescent="0.25">
      <c r="A154">
        <f>A153+Parameters!$B$65</f>
        <v>150</v>
      </c>
      <c r="B154">
        <v>2175</v>
      </c>
      <c r="C154" s="74">
        <v>-4.400547917790389E-7</v>
      </c>
      <c r="D154" s="69">
        <v>9.09499842522348E-2</v>
      </c>
      <c r="E154" s="75">
        <v>0.22597558573341789</v>
      </c>
      <c r="F154" s="7">
        <f>MAX((1-Parameters!$B$4)^Parameters!B$65*F153 + C153*Parameters!B$65 - IF(C153&gt;0,Parameters!$B$5,0)*C153^2/F153*Parameters!B$65, 0.0001)</f>
        <v>1E-4</v>
      </c>
      <c r="G154" s="7">
        <f>(1-Parameters!$B$4)^Parameters!B$65*G153+D153*Parameters!B$65-Parameters!$B$5*D153^2/G153*Parameters!B$65</f>
        <v>1.3499544656048901</v>
      </c>
      <c r="H154" s="7">
        <f>(1-Parameters!$B$4)^Parameters!B$65*H153+E153*Parameters!B$65-Parameters!$B$5*E153^2/H153*Parameters!B$65</f>
        <v>3.3471624744590738</v>
      </c>
      <c r="I154" s="9">
        <f>I153 *(1-Parameters!$B$4)-C153*(C153&lt;0)*Parameters!B$65</f>
        <v>9.3749715716577519E-6</v>
      </c>
      <c r="J154" s="23">
        <f>J153*(1+Parameters!$B$51)^Parameters!B$65</f>
        <v>12.598964597506585</v>
      </c>
      <c r="K154" s="23">
        <f>K153*(1+Parameters!$B$53)^Parameters!B$65</f>
        <v>175.95517120757924</v>
      </c>
      <c r="L154" s="23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3.9493907191236258E-2</v>
      </c>
      <c r="M154" s="8">
        <f>M153+L154*Parameters!B$65</f>
        <v>3206.0207016439117</v>
      </c>
      <c r="N154" s="7">
        <f>M154*Parameters!$B$45</f>
        <v>1.9236124209863468</v>
      </c>
      <c r="O154" s="9">
        <f>EXP(-Parameters!$B$46/2*N154^2)</f>
        <v>0.96349511451691716</v>
      </c>
      <c r="P154" s="8">
        <f>MAX((Parameters!$B$62 + Parameters!$B$31*'6states'!A154 - '6states'!M154 + Parameters!$B$47/Parameters!$B$45)/Parameters!B$62,1)</f>
        <v>142.47958596712178</v>
      </c>
      <c r="Q154" s="8"/>
      <c r="R154" s="8"/>
      <c r="S154" s="7">
        <f>Parameters!B$61*EXP(-Parameters!B$60*A154)+(1-Parameters!B$61)*P154^-Parameters!B$63</f>
        <v>0.31321640587471378</v>
      </c>
      <c r="T154" s="7">
        <f>1-S154/Parameters!$B$12</f>
        <v>0.84339179706264311</v>
      </c>
      <c r="U154" s="7">
        <f t="shared" si="55"/>
        <v>6.3853615662775907</v>
      </c>
      <c r="V154" s="7">
        <f>(Parameters!$B$19*(F154+Parameters!$B$20)^T154+Parameters!$B$18*G154^T154)^(1/T154)</f>
        <v>0.34319704868377787</v>
      </c>
      <c r="W154" s="7">
        <f>(Parameters!$B$10*H154^Parameters!$B$9+Parameters!$B$11*V154^Parameters!$B$9)^(Parameters!$B$7/Parameters!$B$9)*O154</f>
        <v>1.3481025687282255</v>
      </c>
      <c r="X154" s="7">
        <f>W154 - D154 - E154 - LN(1+EXP(Parameters!$B$21*C154))/Parameters!$B$21 - IF(C154&gt;0, 0,Parameters!$B$6*C154^2/F154)</f>
        <v>1.0288667184784295</v>
      </c>
      <c r="Y154" s="7">
        <f>EXP(-Parameters!$B$55*A154)</f>
        <v>0.10383003454079688</v>
      </c>
      <c r="Z154" s="7">
        <f>IF(X154&gt;0,X154^(1-Parameters!$B$52)/(1-Parameters!$B$52)*Y154*Parameters!$B$65,-10+X154*1000)</f>
        <v>-0.29371712090790358</v>
      </c>
      <c r="AC154" s="23">
        <f t="shared" si="56"/>
        <v>2.0782933598474669E-2</v>
      </c>
      <c r="AD154" s="23">
        <f t="shared" si="57"/>
        <v>0.22168529727925007</v>
      </c>
      <c r="AE154" s="23">
        <f t="shared" si="58"/>
        <v>2992.6505702107129</v>
      </c>
      <c r="AF154" s="23">
        <f t="shared" si="59"/>
        <v>760.81739762824554</v>
      </c>
      <c r="AG154" s="23">
        <f t="shared" si="60"/>
        <v>1928.3819542887561</v>
      </c>
      <c r="AH154" s="23">
        <f t="shared" si="61"/>
        <v>2988.5451871143737</v>
      </c>
      <c r="AI154" s="23">
        <f t="shared" si="62"/>
        <v>2280.8462434661715</v>
      </c>
      <c r="AJ154" s="23"/>
      <c r="AK154" s="25">
        <f t="shared" si="53"/>
        <v>2988.5451871143737</v>
      </c>
      <c r="AL154" s="4"/>
      <c r="AM154" s="4"/>
      <c r="AN154" s="4"/>
      <c r="AO154" s="16"/>
      <c r="AP154" s="16"/>
      <c r="AS154" s="21">
        <f>-Y154*W154*X154^(-Parameters!B$52)*Parameters!B$46*Parameters!B$45*N154</f>
        <v>-3.1248271877113164E-6</v>
      </c>
      <c r="AT154" s="7">
        <f>1000*EXP(-(Parameters!$B$54)*'6states'!A154)*AK154*Parameters!B$46*Parameters!B$45*N154</f>
        <v>0.35839691284102088</v>
      </c>
      <c r="AZ154" s="5"/>
      <c r="BA154" s="5"/>
      <c r="BB154" s="5"/>
      <c r="BE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-2.9527804258087636E-2</v>
      </c>
      <c r="BF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-65.458800649576645</v>
      </c>
    </row>
    <row r="155" spans="1:58" x14ac:dyDescent="0.25">
      <c r="A155">
        <f>A154+Parameters!$B$65</f>
        <v>151</v>
      </c>
      <c r="B155">
        <v>2176</v>
      </c>
      <c r="C155" s="74">
        <v>-4.400547917790389E-7</v>
      </c>
      <c r="D155" s="69">
        <v>9.09499842522348E-2</v>
      </c>
      <c r="E155" s="75">
        <v>0.22597558573341789</v>
      </c>
      <c r="F155" s="7">
        <f>MAX((1-Parameters!$B$4)^Parameters!B$65*F154 + C154*Parameters!B$65 - IF(C154&gt;0,Parameters!$B$5,0)*C154^2/F154*Parameters!B$65, 0.0001)</f>
        <v>1E-4</v>
      </c>
      <c r="G155" s="7">
        <f>(1-Parameters!$B$4)^Parameters!B$65*G154+D154*Parameters!B$65-Parameters!$B$5*D154^2/G154*Parameters!B$65</f>
        <v>1.3498647742303571</v>
      </c>
      <c r="H155" s="7">
        <f>(1-Parameters!$B$4)^Parameters!B$65*H154+E154*Parameters!B$65-Parameters!$B$5*E154^2/H154*Parameters!B$65</f>
        <v>3.3473453449692618</v>
      </c>
      <c r="I155" s="9">
        <f>I154 *(1-Parameters!$B$4)-C154*(C154&lt;0)*Parameters!B$65</f>
        <v>9.2253406515795177E-6</v>
      </c>
      <c r="J155" s="23">
        <f>J154*(1+Parameters!$B$51)^Parameters!B$65</f>
        <v>12.635501594839353</v>
      </c>
      <c r="K155" s="23">
        <f>K154*(1+Parameters!$B$53)^Parameters!B$65</f>
        <v>179.47427463173082</v>
      </c>
      <c r="L155" s="23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4.0008818728651668E-2</v>
      </c>
      <c r="M155" s="8">
        <f>M154+L155*Parameters!B$65</f>
        <v>3206.0607104626401</v>
      </c>
      <c r="N155" s="7">
        <f>M155*Parameters!$B$45</f>
        <v>1.923636426277584</v>
      </c>
      <c r="O155" s="9">
        <f>EXP(-Parameters!$B$46/2*N155^2)</f>
        <v>0.96349422023873654</v>
      </c>
      <c r="P155" s="8">
        <f>MAX((Parameters!$B$62 + Parameters!$B$31*'6states'!A155 - '6states'!M155 + Parameters!$B$47/Parameters!$B$45)/Parameters!B$62,1)</f>
        <v>143.54278579074722</v>
      </c>
      <c r="Q155" s="8"/>
      <c r="R155" s="8"/>
      <c r="S155" s="7">
        <f>Parameters!B$61*EXP(-Parameters!B$60*A155)+(1-Parameters!B$61)*P155^-Parameters!B$63</f>
        <v>0.31275805292742404</v>
      </c>
      <c r="T155" s="7">
        <f>1-S155/Parameters!$B$12</f>
        <v>0.84362097353628795</v>
      </c>
      <c r="U155" s="7">
        <f t="shared" si="55"/>
        <v>6.394719436573876</v>
      </c>
      <c r="V155" s="7">
        <f>(Parameters!$B$19*(F155+Parameters!$B$20)^T155+Parameters!$B$18*G155^T155)^(1/T155)</f>
        <v>0.34328651850889252</v>
      </c>
      <c r="W155" s="7">
        <f>(Parameters!$B$10*H155^Parameters!$B$9+Parameters!$B$11*V155^Parameters!$B$9)^(Parameters!$B$7/Parameters!$B$9)*O155</f>
        <v>1.3481482484744693</v>
      </c>
      <c r="X155" s="7">
        <f>W155 - D155 - E155 - LN(1+EXP(Parameters!$B$21*C155))/Parameters!$B$21 - IF(C155&gt;0, 0,Parameters!$B$6*C155^2/F155)</f>
        <v>1.0289123982246733</v>
      </c>
      <c r="Y155" s="7">
        <f>EXP(-Parameters!$B$55*A155)</f>
        <v>0.10227397880626984</v>
      </c>
      <c r="Z155" s="7">
        <f>IF(X155&gt;0,X155^(1-Parameters!$B$52)/(1-Parameters!$B$52)*Y155*Parameters!$B$65,-10+X155*1000)</f>
        <v>-0.28931081405997849</v>
      </c>
      <c r="AC155" s="23">
        <f t="shared" si="56"/>
        <v>2.0920743045590905E-2</v>
      </c>
      <c r="AD155" s="23">
        <f t="shared" si="57"/>
        <v>0.22677474833418709</v>
      </c>
      <c r="AE155" s="23">
        <f t="shared" si="58"/>
        <v>3061.1524446127351</v>
      </c>
      <c r="AF155" s="23">
        <f t="shared" si="59"/>
        <v>778.48713841373353</v>
      </c>
      <c r="AG155" s="23">
        <f t="shared" si="60"/>
        <v>1973.1680085692137</v>
      </c>
      <c r="AH155" s="23">
        <f t="shared" si="61"/>
        <v>3057.2597976497286</v>
      </c>
      <c r="AI155" s="23">
        <f t="shared" si="62"/>
        <v>2333.3135016532515</v>
      </c>
      <c r="AJ155" s="23"/>
      <c r="AK155" s="25">
        <f t="shared" si="53"/>
        <v>3057.2597976497291</v>
      </c>
      <c r="AL155" s="4"/>
      <c r="AM155" s="4"/>
      <c r="AN155" s="4"/>
      <c r="AO155" s="16"/>
      <c r="AP155" s="16"/>
      <c r="AS155" s="21">
        <f>-Y155*W155*X155^(-Parameters!B$52)*Parameters!B$46*Parameters!B$45*N155</f>
        <v>-3.0779549792834404E-6</v>
      </c>
      <c r="AT155" s="7">
        <f>1000*EXP(-(Parameters!$B$54)*'6states'!A155)*AK155*Parameters!B$46*Parameters!B$45*N155</f>
        <v>0.35399608751155498</v>
      </c>
      <c r="AZ155" s="5"/>
      <c r="BA155" s="5"/>
      <c r="BB155" s="5"/>
      <c r="BE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-3.0920633487953077E-2</v>
      </c>
      <c r="BF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-70.120188775641978</v>
      </c>
    </row>
    <row r="156" spans="1:58" x14ac:dyDescent="0.25">
      <c r="A156">
        <f>A155+Parameters!$B$65</f>
        <v>152</v>
      </c>
      <c r="B156">
        <v>2177</v>
      </c>
      <c r="C156" s="74">
        <v>-4.400547917790389E-7</v>
      </c>
      <c r="D156" s="69">
        <v>9.09499842522348E-2</v>
      </c>
      <c r="E156" s="75">
        <v>0.22597558573341789</v>
      </c>
      <c r="F156" s="7">
        <f>MAX((1-Parameters!$B$4)^Parameters!B$65*F155 + C155*Parameters!B$65 - IF(C155&gt;0,Parameters!$B$5,0)*C155^2/F155*Parameters!B$65, 0.0001)</f>
        <v>1E-4</v>
      </c>
      <c r="G156" s="7">
        <f>(1-Parameters!$B$4)^Parameters!B$65*G155+D155*Parameters!B$65-Parameters!$B$5*D155^2/G155*Parameters!B$65</f>
        <v>1.3497803173006764</v>
      </c>
      <c r="H156" s="7">
        <f>(1-Parameters!$B$4)^Parameters!B$65*H155+E155*Parameters!B$65-Parameters!$B$5*E155^2/H155*Parameters!B$65</f>
        <v>3.3475175463932674</v>
      </c>
      <c r="I156" s="9">
        <f>I155 *(1-Parameters!$B$4)-C155*(C155&lt;0)*Parameters!B$65</f>
        <v>9.0851215163742049E-6</v>
      </c>
      <c r="J156" s="23">
        <f>J155*(1+Parameters!$B$51)^Parameters!B$65</f>
        <v>12.672144549464386</v>
      </c>
      <c r="K156" s="23">
        <f>K155*(1+Parameters!$B$53)^Parameters!B$65</f>
        <v>183.06376012436544</v>
      </c>
      <c r="L156" s="23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4.0530332133303461E-2</v>
      </c>
      <c r="M156" s="8">
        <f>M155+L156*Parameters!B$65</f>
        <v>3206.1012407947733</v>
      </c>
      <c r="N156" s="7">
        <f>M156*Parameters!$B$45</f>
        <v>1.9236607444768639</v>
      </c>
      <c r="O156" s="9">
        <f>EXP(-Parameters!$B$46/2*N156^2)</f>
        <v>0.96349331429314178</v>
      </c>
      <c r="P156" s="8">
        <f>MAX((Parameters!$B$62 + Parameters!$B$31*'6states'!A156 - '6states'!M156 + Parameters!$B$47/Parameters!$B$45)/Parameters!B$62,1)</f>
        <v>144.60597518410452</v>
      </c>
      <c r="Q156" s="8"/>
      <c r="R156" s="8"/>
      <c r="S156" s="7">
        <f>Parameters!B$61*EXP(-Parameters!B$60*A156)+(1-Parameters!B$61)*P156^-Parameters!B$63</f>
        <v>0.3123077201398558</v>
      </c>
      <c r="T156" s="7">
        <f>1-S156/Parameters!$B$12</f>
        <v>0.84384613993007207</v>
      </c>
      <c r="U156" s="7">
        <f t="shared" si="55"/>
        <v>6.4039403159946584</v>
      </c>
      <c r="V156" s="7">
        <f>(Parameters!$B$19*(F156+Parameters!$B$20)^T156+Parameters!$B$18*G156^T156)^(1/T156)</f>
        <v>0.34337529980107967</v>
      </c>
      <c r="W156" s="7">
        <f>(Parameters!$B$10*H156^Parameters!$B$9+Parameters!$B$11*V156^Parameters!$B$9)^(Parameters!$B$7/Parameters!$B$9)*O156</f>
        <v>1.3481927433376473</v>
      </c>
      <c r="X156" s="7">
        <f>W156 - D156 - E156 - LN(1+EXP(Parameters!$B$21*C156))/Parameters!$B$21 - IF(C156&gt;0, 0,Parameters!$B$6*C156^2/F156)</f>
        <v>1.0289568930878512</v>
      </c>
      <c r="Y156" s="7">
        <f>EXP(-Parameters!$B$55*A156)</f>
        <v>0.10074124300474355</v>
      </c>
      <c r="Z156" s="7">
        <f>IF(X156&gt;0,X156^(1-Parameters!$B$52)/(1-Parameters!$B$52)*Y156*Parameters!$B$65,-10+X156*1000)</f>
        <v>-0.28497072511694299</v>
      </c>
      <c r="AC156" s="23">
        <f t="shared" si="56"/>
        <v>2.1075759652087682E-2</v>
      </c>
      <c r="AD156" s="23">
        <f t="shared" si="57"/>
        <v>0.23198104300644334</v>
      </c>
      <c r="AE156" s="23">
        <f t="shared" si="58"/>
        <v>3131.2344583697895</v>
      </c>
      <c r="AF156" s="23">
        <f t="shared" si="59"/>
        <v>796.56560190504638</v>
      </c>
      <c r="AG156" s="23">
        <f t="shared" si="60"/>
        <v>2018.9900190366322</v>
      </c>
      <c r="AH156" s="23">
        <f t="shared" si="61"/>
        <v>3127.5515877318558</v>
      </c>
      <c r="AI156" s="23">
        <f t="shared" si="62"/>
        <v>2386.9849326718913</v>
      </c>
      <c r="AJ156" s="23"/>
      <c r="AK156" s="25">
        <f t="shared" si="53"/>
        <v>3127.5515877318558</v>
      </c>
      <c r="AL156" s="4"/>
      <c r="AM156" s="4"/>
      <c r="AN156" s="4"/>
      <c r="AO156" s="16"/>
      <c r="AP156" s="16"/>
      <c r="AS156" s="21">
        <f>-Y156*W156*X156^(-Parameters!B$52)*Parameters!B$46*Parameters!B$45*N156</f>
        <v>-3.0317883968680129E-6</v>
      </c>
      <c r="AT156" s="7">
        <f>1000*EXP(-(Parameters!$B$54)*'6states'!A156)*AK156*Parameters!B$46*Parameters!B$45*N156</f>
        <v>0.34964904989520118</v>
      </c>
      <c r="AZ156" s="5"/>
      <c r="BA156" s="5"/>
      <c r="BB156" s="5"/>
      <c r="BE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-3.2269574178950391E-2</v>
      </c>
    </row>
    <row r="157" spans="1:58" x14ac:dyDescent="0.25">
      <c r="A157">
        <f>A156+Parameters!$B$65</f>
        <v>153</v>
      </c>
      <c r="B157">
        <v>2178</v>
      </c>
      <c r="C157" s="74">
        <v>-4.400547917790389E-7</v>
      </c>
      <c r="D157" s="69">
        <v>9.09499842522348E-2</v>
      </c>
      <c r="E157" s="75">
        <v>0.22597558573341789</v>
      </c>
      <c r="F157" s="7">
        <f>MAX((1-Parameters!$B$4)^Parameters!B$65*F156 + C156*Parameters!B$65 - IF(C156&gt;0,Parameters!$B$5,0)*C156^2/F156*Parameters!B$65, 0.0001)</f>
        <v>1E-4</v>
      </c>
      <c r="G157" s="7">
        <f>(1-Parameters!$B$4)^Parameters!B$65*G156+D156*Parameters!B$65-Parameters!$B$5*D156^2/G156*Parameters!B$65</f>
        <v>1.3497007892809008</v>
      </c>
      <c r="H157" s="7">
        <f>(1-Parameters!$B$4)^Parameters!B$65*H156+E156*Parameters!B$65-Parameters!$B$5*E156^2/H156*Parameters!B$65</f>
        <v>3.3476797011068689</v>
      </c>
      <c r="I157" s="9">
        <f>I156 *(1-Parameters!$B$4)-C156*(C156&lt;0)*Parameters!B$65</f>
        <v>8.9537221647733062E-6</v>
      </c>
      <c r="J157" s="23">
        <f>J156*(1+Parameters!$B$51)^Parameters!B$65</f>
        <v>12.708893768657832</v>
      </c>
      <c r="K157" s="23">
        <f>K156*(1+Parameters!$B$53)^Parameters!B$65</f>
        <v>186.72503532685275</v>
      </c>
      <c r="L157" s="23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4.1058498161134306E-2</v>
      </c>
      <c r="M157" s="8">
        <f>M156+L157*Parameters!B$65</f>
        <v>3206.1422992929342</v>
      </c>
      <c r="N157" s="7">
        <f>M157*Parameters!$B$45</f>
        <v>1.9236853795757605</v>
      </c>
      <c r="O157" s="9">
        <f>EXP(-Parameters!$B$46/2*N157^2)</f>
        <v>0.96349239653101981</v>
      </c>
      <c r="P157" s="8">
        <f>MAX((Parameters!$B$62 + Parameters!$B$31*'6states'!A157 - '6states'!M157 + Parameters!$B$47/Parameters!$B$45)/Parameters!B$62,1)</f>
        <v>145.66915401414133</v>
      </c>
      <c r="Q157" s="8"/>
      <c r="R157" s="8"/>
      <c r="S157" s="7">
        <f>Parameters!B$61*EXP(-Parameters!B$60*A157)+(1-Parameters!B$61)*P157^-Parameters!B$63</f>
        <v>0.31186521457639943</v>
      </c>
      <c r="T157" s="7">
        <f>1-S157/Parameters!$B$12</f>
        <v>0.84406739271180031</v>
      </c>
      <c r="U157" s="7">
        <f t="shared" si="55"/>
        <v>6.4130268671245112</v>
      </c>
      <c r="V157" s="7">
        <f>(Parameters!$B$19*(F157+Parameters!$B$20)^T157+Parameters!$B$18*G157^T157)^(1/T157)</f>
        <v>0.34346336659061322</v>
      </c>
      <c r="W157" s="7">
        <f>(Parameters!$B$10*H157^Parameters!$B$9+Parameters!$B$11*V157^Parameters!$B$9)^(Parameters!$B$7/Parameters!$B$9)*O157</f>
        <v>1.3482360968073319</v>
      </c>
      <c r="X157" s="7">
        <f>W157 - D157 - E157 - LN(1+EXP(Parameters!$B$21*C157))/Parameters!$B$21 - IF(C157&gt;0, 0,Parameters!$B$6*C157^2/F157)</f>
        <v>1.0290002465575359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-0.28069585306755795</v>
      </c>
      <c r="AC157" s="23">
        <f t="shared" si="56"/>
        <v>2.1247797261853475E-2</v>
      </c>
      <c r="AD157" s="23">
        <f t="shared" si="57"/>
        <v>0.23730686379178526</v>
      </c>
      <c r="AE157" s="23">
        <f t="shared" si="58"/>
        <v>3202.9326136154777</v>
      </c>
      <c r="AF157" s="23">
        <f t="shared" si="59"/>
        <v>815.06214352986649</v>
      </c>
      <c r="AG157" s="23">
        <f t="shared" si="60"/>
        <v>2065.8716981323601</v>
      </c>
      <c r="AH157" s="23">
        <f t="shared" si="61"/>
        <v>3199.4567978422574</v>
      </c>
      <c r="AI157" s="23">
        <f t="shared" si="62"/>
        <v>2441.8882135154258</v>
      </c>
      <c r="AJ157" s="23"/>
      <c r="AK157" s="25">
        <f t="shared" si="53"/>
        <v>3199.4567978422569</v>
      </c>
      <c r="AL157" s="4"/>
      <c r="AM157" s="4"/>
      <c r="AN157" s="4"/>
      <c r="AO157" s="16"/>
      <c r="AP157" s="16"/>
      <c r="AS157" s="21">
        <f>-Y157*W157*X157^(-Parameters!B$52)*Parameters!B$46*Parameters!B$45*N157</f>
        <v>-2.986316711525879E-6</v>
      </c>
      <c r="AT157" s="7">
        <f>1000*EXP(-(Parameters!$B$54)*'6states'!A157)*AK157*Parameters!B$46*Parameters!B$45*N157</f>
        <v>0.34535515756837304</v>
      </c>
      <c r="AZ157" s="5"/>
      <c r="BA157" s="5"/>
      <c r="BB157" s="5"/>
      <c r="BE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-3.3569991212595893E-2</v>
      </c>
    </row>
    <row r="158" spans="1:58" x14ac:dyDescent="0.25">
      <c r="A158">
        <f>A157+Parameters!$B$65</f>
        <v>154</v>
      </c>
      <c r="B158">
        <v>2179</v>
      </c>
      <c r="C158" s="74">
        <v>-4.400547917790389E-7</v>
      </c>
      <c r="D158" s="69">
        <v>9.09499842522348E-2</v>
      </c>
      <c r="E158" s="75">
        <v>0.22597558573341789</v>
      </c>
      <c r="F158" s="7">
        <f>MAX((1-Parameters!$B$4)^Parameters!B$65*F157 + C157*Parameters!B$65 - IF(C157&gt;0,Parameters!$B$5,0)*C157^2/F157*Parameters!B$65, 0.0001)</f>
        <v>1E-4</v>
      </c>
      <c r="G158" s="7">
        <f>(1-Parameters!$B$4)^Parameters!B$65*G157+D157*Parameters!B$65-Parameters!$B$5*D157^2/G157*Parameters!B$65</f>
        <v>1.3496259024757773</v>
      </c>
      <c r="H158" s="7">
        <f>(1-Parameters!$B$4)^Parameters!B$65*H157+E157*Parameters!B$65-Parameters!$B$5*E157^2/H157*Parameters!B$65</f>
        <v>3.3478323951893105</v>
      </c>
      <c r="I158" s="9">
        <f>I157 *(1-Parameters!$B$4)-C157*(C157&lt;0)*Parameters!B$65</f>
        <v>8.8305878323881043E-6</v>
      </c>
      <c r="J158" s="23">
        <f>J157*(1+Parameters!$B$51)^Parameters!B$65</f>
        <v>12.745749560586939</v>
      </c>
      <c r="K158" s="23">
        <f>K157*(1+Parameters!$B$53)^Parameters!B$65</f>
        <v>190.45953603338981</v>
      </c>
      <c r="L158" s="23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4.1593370282213583E-2</v>
      </c>
      <c r="M158" s="8">
        <f>M157+L158*Parameters!B$65</f>
        <v>3206.1838926632163</v>
      </c>
      <c r="N158" s="7">
        <f>M158*Parameters!$B$45</f>
        <v>1.9237103355979297</v>
      </c>
      <c r="O158" s="9">
        <f>EXP(-Parameters!$B$46/2*N158^2)</f>
        <v>0.96349146680204956</v>
      </c>
      <c r="P158" s="8">
        <f>MAX((Parameters!$B$62 + Parameters!$B$31*'6states'!A158 - '6states'!M158 + Parameters!$B$47/Parameters!$B$45)/Parameters!B$62,1)</f>
        <v>146.7323221467357</v>
      </c>
      <c r="Q158" s="8"/>
      <c r="R158" s="8"/>
      <c r="S158" s="7">
        <f>Parameters!B$61*EXP(-Parameters!B$60*A158)+(1-Parameters!B$61)*P158^-Parameters!B$63</f>
        <v>0.31143034832542904</v>
      </c>
      <c r="T158" s="7">
        <f>1-S158/Parameters!$B$12</f>
        <v>0.84428482583728548</v>
      </c>
      <c r="U158" s="7">
        <f t="shared" si="55"/>
        <v>6.421981707158805</v>
      </c>
      <c r="V158" s="7">
        <f>(Parameters!$B$19*(F158+Parameters!$B$20)^T158+Parameters!$B$18*G158^T158)^(1/T158)</f>
        <v>0.34355069588636894</v>
      </c>
      <c r="W158" s="7">
        <f>(Parameters!$B$10*H158^Parameters!$B$9+Parameters!$B$11*V158^Parameters!$B$9)^(Parameters!$B$7/Parameters!$B$9)*O158</f>
        <v>1.3482783504040075</v>
      </c>
      <c r="X158" s="7">
        <f>W158 - D158 - E158 - LN(1+EXP(Parameters!$B$21*C158))/Parameters!$B$21 - IF(C158&gt;0, 0,Parameters!$B$6*C158^2/F158)</f>
        <v>1.0290425001542114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-0.27648521236917556</v>
      </c>
      <c r="AC158" s="23">
        <f t="shared" si="56"/>
        <v>2.1436689498502186E-2</v>
      </c>
      <c r="AD158" s="23">
        <f t="shared" si="57"/>
        <v>0.24275495477071704</v>
      </c>
      <c r="AE158" s="23">
        <f t="shared" si="58"/>
        <v>3276.2837491289547</v>
      </c>
      <c r="AF158" s="23">
        <f t="shared" si="59"/>
        <v>833.98633641343861</v>
      </c>
      <c r="AG158" s="23">
        <f t="shared" si="60"/>
        <v>2113.8373100780418</v>
      </c>
      <c r="AH158" s="23">
        <f t="shared" si="61"/>
        <v>3273.0124997066177</v>
      </c>
      <c r="AI158" s="23">
        <f t="shared" si="62"/>
        <v>2498.0516558208119</v>
      </c>
      <c r="AJ158" s="23"/>
      <c r="AK158" s="25">
        <f t="shared" si="53"/>
        <v>3273.0124997066177</v>
      </c>
      <c r="AL158" s="4"/>
      <c r="AM158" s="4"/>
      <c r="AN158" s="4"/>
      <c r="AO158" s="16"/>
      <c r="AP158" s="16"/>
      <c r="AS158" s="21">
        <f>-Y158*W158*X158^(-Parameters!B$52)*Parameters!B$46*Parameters!B$45*N158</f>
        <v>-2.9415293634210419E-6</v>
      </c>
      <c r="AT158" s="7">
        <f>1000*EXP(-(Parameters!$B$54)*'6states'!A158)*AK158*Parameters!B$46*Parameters!B$45*N158</f>
        <v>0.3411137749503339</v>
      </c>
      <c r="AZ158" s="5"/>
      <c r="BA158" s="5"/>
      <c r="BB158" s="5"/>
      <c r="BE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-3.4817960747944195E-2</v>
      </c>
    </row>
    <row r="159" spans="1:58" x14ac:dyDescent="0.25">
      <c r="A159">
        <f>A158+Parameters!$B$65</f>
        <v>155</v>
      </c>
      <c r="B159">
        <v>2180</v>
      </c>
      <c r="C159" s="74">
        <v>-4.400547917790389E-7</v>
      </c>
      <c r="D159" s="69">
        <v>9.09499842522348E-2</v>
      </c>
      <c r="E159" s="75">
        <v>0.22597558573341789</v>
      </c>
      <c r="F159" s="7">
        <f>MAX((1-Parameters!$B$4)^Parameters!B$65*F158 + C158*Parameters!B$65 - IF(C158&gt;0,Parameters!$B$5,0)*C158^2/F158*Parameters!B$65, 0.0001)</f>
        <v>1E-4</v>
      </c>
      <c r="G159" s="7">
        <f>(1-Parameters!$B$4)^Parameters!B$65*G158+D158*Parameters!B$65-Parameters!$B$5*D158^2/G158*Parameters!B$65</f>
        <v>1.349555385987484</v>
      </c>
      <c r="H159" s="7">
        <f>(1-Parameters!$B$4)^Parameters!B$65*H158+E158*Parameters!B$65-Parameters!$B$5*E158^2/H158*Parameters!B$65</f>
        <v>3.3479761805390185</v>
      </c>
      <c r="I159" s="9">
        <f>I158 *(1-Parameters!$B$4)-C158*(C158&lt;0)*Parameters!B$65</f>
        <v>8.7151986495099313E-6</v>
      </c>
      <c r="J159" s="23">
        <f>J158*(1+Parameters!$B$51)^Parameters!B$65</f>
        <v>12.782712234312639</v>
      </c>
      <c r="K159" s="23">
        <f>K158*(1+Parameters!$B$53)^Parameters!B$65</f>
        <v>194.26872675405761</v>
      </c>
      <c r="L159" s="23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4.213500488328336E-2</v>
      </c>
      <c r="M159" s="8">
        <f>M158+L159*Parameters!B$65</f>
        <v>3206.2260276680995</v>
      </c>
      <c r="N159" s="7">
        <f>M159*Parameters!$B$45</f>
        <v>1.9237356166008595</v>
      </c>
      <c r="O159" s="9">
        <f>EXP(-Parameters!$B$46/2*N159^2)</f>
        <v>0.9634905249546375</v>
      </c>
      <c r="P159" s="8">
        <f>MAX((Parameters!$B$62 + Parameters!$B$31*'6states'!A159 - '6states'!M159 + Parameters!$B$47/Parameters!$B$45)/Parameters!B$62,1)</f>
        <v>147.79547944663801</v>
      </c>
      <c r="Q159" s="8"/>
      <c r="R159" s="8"/>
      <c r="S159" s="7">
        <f>Parameters!B$61*EXP(-Parameters!B$60*A159)+(1-Parameters!B$61)*P159^-Parameters!B$63</f>
        <v>0.31100293836359338</v>
      </c>
      <c r="T159" s="7">
        <f>1-S159/Parameters!$B$12</f>
        <v>0.84449853081820336</v>
      </c>
      <c r="U159" s="7">
        <f t="shared" si="55"/>
        <v>6.4308074081981879</v>
      </c>
      <c r="V159" s="7">
        <f>(Parameters!$B$19*(F159+Parameters!$B$20)^T159+Parameters!$B$18*G159^T159)^(1/T159)</f>
        <v>0.34363726746780154</v>
      </c>
      <c r="W159" s="7">
        <f>(Parameters!$B$10*H159^Parameters!$B$9+Parameters!$B$11*V159^Parameters!$B$9)^(Parameters!$B$7/Parameters!$B$9)*O159</f>
        <v>1.3483195437794866</v>
      </c>
      <c r="X159" s="7">
        <f>W159 - D159 - E159 - LN(1+EXP(Parameters!$B$21*C159))/Parameters!$B$21 - IF(C159&gt;0, 0,Parameters!$B$6*C159^2/F159)</f>
        <v>1.0290836935296905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-0.27233783268792383</v>
      </c>
      <c r="AC159" s="23">
        <f t="shared" si="56"/>
        <v>2.1642289223996608E-2</v>
      </c>
      <c r="AD159" s="23">
        <f t="shared" si="57"/>
        <v>0.24832812302234317</v>
      </c>
      <c r="AE159" s="23">
        <f t="shared" si="58"/>
        <v>3351.325559169657</v>
      </c>
      <c r="AF159" s="23">
        <f t="shared" si="59"/>
        <v>853.34797630806042</v>
      </c>
      <c r="AG159" s="23">
        <f t="shared" si="60"/>
        <v>2162.9116833700018</v>
      </c>
      <c r="AH159" s="23">
        <f t="shared" si="61"/>
        <v>3348.2566154110191</v>
      </c>
      <c r="AI159" s="23">
        <f t="shared" si="62"/>
        <v>2555.5042204712822</v>
      </c>
      <c r="AJ159" s="23"/>
      <c r="AK159" s="25">
        <f t="shared" si="53"/>
        <v>3348.2566154110191</v>
      </c>
      <c r="AL159" s="4"/>
      <c r="AM159" s="4"/>
      <c r="AN159" s="4"/>
      <c r="AO159" s="16"/>
      <c r="AP159" s="16"/>
      <c r="AS159" s="21">
        <f>-Y159*W159*X159^(-Parameters!B$52)*Parameters!B$46*Parameters!B$45*N159</f>
        <v>-2.8974159587891362E-6</v>
      </c>
      <c r="AT159" s="7">
        <f>1000*EXP(-(Parameters!$B$54)*'6states'!A159)*AK159*Parameters!B$46*Parameters!B$45*N159</f>
        <v>0.33692427328155322</v>
      </c>
      <c r="AZ159" s="5"/>
      <c r="BA159" s="5"/>
      <c r="BB159" s="5"/>
      <c r="BE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-3.6010251675900107E-2</v>
      </c>
    </row>
    <row r="160" spans="1:58" x14ac:dyDescent="0.25">
      <c r="A160">
        <f>A159+Parameters!$B$65</f>
        <v>156</v>
      </c>
      <c r="B160">
        <v>2181</v>
      </c>
      <c r="C160" s="74">
        <v>-4.400547917790389E-7</v>
      </c>
      <c r="D160" s="69">
        <v>9.09499842522348E-2</v>
      </c>
      <c r="E160" s="75">
        <v>0.22597558573341789</v>
      </c>
      <c r="F160" s="7">
        <f>MAX((1-Parameters!$B$4)^Parameters!B$65*F159 + C159*Parameters!B$65 - IF(C159&gt;0,Parameters!$B$5,0)*C159^2/F159*Parameters!B$65, 0.0001)</f>
        <v>1E-4</v>
      </c>
      <c r="G160" s="7">
        <f>(1-Parameters!$B$4)^Parameters!B$65*G159+D159*Parameters!B$65-Parameters!$B$5*D159^2/G159*Parameters!B$65</f>
        <v>1.3494889847343303</v>
      </c>
      <c r="H160" s="7">
        <f>(1-Parameters!$B$4)^Parameters!B$65*H159+E159*Parameters!B$65-Parameters!$B$5*E159^2/H159*Parameters!B$65</f>
        <v>3.3481115768661156</v>
      </c>
      <c r="I160" s="9">
        <f>I159 *(1-Parameters!$B$4)-C159*(C159&lt;0)*Parameters!B$65</f>
        <v>8.6070674462347958E-6</v>
      </c>
      <c r="J160" s="23">
        <f>J159*(1+Parameters!$B$51)^Parameters!B$65</f>
        <v>12.819782099792144</v>
      </c>
      <c r="K160" s="23">
        <f>K159*(1+Parameters!$B$53)^Parameters!B$65</f>
        <v>198.15410128913877</v>
      </c>
      <c r="L160" s="23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4.2683461418590189E-2</v>
      </c>
      <c r="M160" s="8">
        <f>M159+L160*Parameters!B$65</f>
        <v>3206.2687111295181</v>
      </c>
      <c r="N160" s="7">
        <f>M160*Parameters!$B$45</f>
        <v>1.9237612266777107</v>
      </c>
      <c r="O160" s="9">
        <f>EXP(-Parameters!$B$46/2*N160^2)</f>
        <v>0.96348957083584752</v>
      </c>
      <c r="P160" s="8">
        <f>MAX((Parameters!$B$62 + Parameters!$B$31*'6states'!A160 - '6states'!M160 + Parameters!$B$47/Parameters!$B$45)/Parameters!B$62,1)</f>
        <v>148.85862577740966</v>
      </c>
      <c r="Q160" s="8"/>
      <c r="R160" s="8"/>
      <c r="S160" s="7">
        <f>Parameters!B$61*EXP(-Parameters!B$60*A160)+(1-Parameters!B$61)*P160^-Parameters!B$63</f>
        <v>0.31058280642390906</v>
      </c>
      <c r="T160" s="7">
        <f>1-S160/Parameters!$B$12</f>
        <v>0.84470859678804544</v>
      </c>
      <c r="U160" s="7">
        <f t="shared" si="55"/>
        <v>6.4395064975690719</v>
      </c>
      <c r="V160" s="7">
        <f>(Parameters!$B$19*(F160+Parameters!$B$20)^T160+Parameters!$B$18*G160^T160)^(1/T160)</f>
        <v>0.34372306368974226</v>
      </c>
      <c r="W160" s="7">
        <f>(Parameters!$B$10*H160^Parameters!$B$9+Parameters!$B$11*V160^Parameters!$B$9)^(Parameters!$B$7/Parameters!$B$9)*O160</f>
        <v>1.3483597148115767</v>
      </c>
      <c r="X160" s="7">
        <f>W160 - D160 - E160 - LN(1+EXP(Parameters!$B$21*C160))/Parameters!$B$21 - IF(C160&gt;0, 0,Parameters!$B$6*C160^2/F160)</f>
        <v>1.0291238645617806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-0.26825275864461501</v>
      </c>
      <c r="AC160" s="23">
        <f t="shared" si="56"/>
        <v>2.1864468026042003E-2</v>
      </c>
      <c r="AD160" s="23">
        <f t="shared" si="57"/>
        <v>0.25402924007069011</v>
      </c>
      <c r="AE160" s="23">
        <f t="shared" si="58"/>
        <v>3428.0966127582901</v>
      </c>
      <c r="AF160" s="23">
        <f t="shared" si="59"/>
        <v>873.15708663874625</v>
      </c>
      <c r="AG160" s="23">
        <f t="shared" si="60"/>
        <v>2213.120223568073</v>
      </c>
      <c r="AH160" s="23">
        <f t="shared" si="61"/>
        <v>3425.2279369551716</v>
      </c>
      <c r="AI160" s="23">
        <f t="shared" si="62"/>
        <v>2614.2755325324088</v>
      </c>
      <c r="AJ160" s="23"/>
      <c r="AK160" s="25">
        <f t="shared" si="53"/>
        <v>3425.227936955172</v>
      </c>
      <c r="AL160" s="4"/>
      <c r="AM160" s="4"/>
      <c r="AN160" s="4"/>
      <c r="AO160" s="16"/>
      <c r="AP160" s="16"/>
      <c r="AS160" s="21">
        <f>-Y160*W160*X160^(-Parameters!B$52)*Parameters!B$46*Parameters!B$45*N160</f>
        <v>-2.8539662669840544E-6</v>
      </c>
      <c r="AT160" s="7">
        <f>1000*EXP(-(Parameters!$B$54)*'6states'!A160)*AK160*Parameters!B$46*Parameters!B$45*N160</f>
        <v>0.33278603059835987</v>
      </c>
      <c r="AZ160" s="5"/>
      <c r="BA160" s="5"/>
      <c r="BB160" s="5"/>
      <c r="BE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-3.7144297168178408E-2</v>
      </c>
    </row>
    <row r="161" spans="1:57" x14ac:dyDescent="0.25">
      <c r="A161">
        <f>A160+Parameters!$B$65</f>
        <v>157</v>
      </c>
      <c r="B161">
        <v>2182</v>
      </c>
      <c r="C161" s="74">
        <v>-4.400547917790389E-7</v>
      </c>
      <c r="D161" s="69">
        <v>9.09499842522348E-2</v>
      </c>
      <c r="E161" s="75">
        <v>0.22597558573341789</v>
      </c>
      <c r="F161" s="7">
        <f>MAX((1-Parameters!$B$4)^Parameters!B$65*F160 + C160*Parameters!B$65 - IF(C160&gt;0,Parameters!$B$5,0)*C160^2/F160*Parameters!B$65, 0.0001)</f>
        <v>1E-4</v>
      </c>
      <c r="G161" s="7">
        <f>(1-Parameters!$B$4)^Parameters!B$65*G160+D160*Parameters!B$65-Parameters!$B$5*D160^2/G160*Parameters!B$65</f>
        <v>1.3494264585268487</v>
      </c>
      <c r="H161" s="7">
        <f>(1-Parameters!$B$4)^Parameters!B$65*H160+E160*Parameters!B$65-Parameters!$B$5*E160^2/H160*Parameters!B$65</f>
        <v>3.3482390735688936</v>
      </c>
      <c r="I161" s="9">
        <f>I160 *(1-Parameters!$B$4)-C160*(C160&lt;0)*Parameters!B$65</f>
        <v>8.5057376956456659E-6</v>
      </c>
      <c r="J161" s="23">
        <f>J160*(1+Parameters!$B$51)^Parameters!B$65</f>
        <v>12.85695946788154</v>
      </c>
      <c r="K161" s="23">
        <f>K160*(1+Parameters!$B$53)^Parameters!B$65</f>
        <v>202.11718331492153</v>
      </c>
      <c r="L161" s="23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4.3238802513681576E-2</v>
      </c>
      <c r="M161" s="8">
        <f>M160+L161*Parameters!B$65</f>
        <v>3206.3119499320319</v>
      </c>
      <c r="N161" s="7">
        <f>M161*Parameters!$B$45</f>
        <v>1.9237871699592191</v>
      </c>
      <c r="O161" s="9">
        <f>EXP(-Parameters!$B$46/2*N161^2)</f>
        <v>0.96348860429133054</v>
      </c>
      <c r="P161" s="8">
        <f>MAX((Parameters!$B$62 + Parameters!$B$31*'6states'!A161 - '6states'!M161 + Parameters!$B$47/Parameters!$B$45)/Parameters!B$62,1)</f>
        <v>149.92176100135936</v>
      </c>
      <c r="Q161" s="8"/>
      <c r="R161" s="8"/>
      <c r="S161" s="7">
        <f>Parameters!B$61*EXP(-Parameters!B$60*A161)+(1-Parameters!B$61)*P161^-Parameters!B$63</f>
        <v>0.31016977886754388</v>
      </c>
      <c r="T161" s="7">
        <f>1-S161/Parameters!$B$12</f>
        <v>0.84491511056622803</v>
      </c>
      <c r="U161" s="7">
        <f t="shared" si="55"/>
        <v>6.4480814581683905</v>
      </c>
      <c r="V161" s="7">
        <f>(Parameters!$B$19*(F161+Parameters!$B$20)^T161+Parameters!$B$18*G161^T161)^(1/T161)</f>
        <v>0.34380806929926877</v>
      </c>
      <c r="W161" s="7">
        <f>(Parameters!$B$10*H161^Parameters!$B$9+Parameters!$B$11*V161^Parameters!$B$9)^(Parameters!$B$7/Parameters!$B$9)*O161</f>
        <v>1.3483988996933733</v>
      </c>
      <c r="X161" s="7">
        <f>W161 - D161 - E161 - LN(1+EXP(Parameters!$B$21*C161))/Parameters!$B$21 - IF(C161&gt;0, 0,Parameters!$B$6*C161^2/F161)</f>
        <v>1.0291630494435773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-0.26422904956616156</v>
      </c>
      <c r="AC161" s="23">
        <f t="shared" si="56"/>
        <v>2.2103115733205083E-2</v>
      </c>
      <c r="AD161" s="23">
        <f t="shared" si="57"/>
        <v>0.25986124336423294</v>
      </c>
      <c r="AE161" s="23">
        <f t="shared" si="58"/>
        <v>3506.636373413804</v>
      </c>
      <c r="AF161" s="23">
        <f t="shared" si="59"/>
        <v>893.42392366764341</v>
      </c>
      <c r="AG161" s="23">
        <f t="shared" si="60"/>
        <v>2264.4889263854247</v>
      </c>
      <c r="AH161" s="23">
        <f t="shared" si="61"/>
        <v>3503.9661462528361</v>
      </c>
      <c r="AI161" s="23">
        <f t="shared" si="62"/>
        <v>2674.395896529335</v>
      </c>
      <c r="AJ161" s="23"/>
      <c r="AK161" s="25">
        <f t="shared" si="53"/>
        <v>3503.9661462528356</v>
      </c>
      <c r="AL161" s="4"/>
      <c r="AM161" s="4"/>
      <c r="AN161" s="4"/>
      <c r="AO161" s="16"/>
      <c r="AP161" s="16"/>
      <c r="AS161" s="21">
        <f>-Y161*W161*X161^(-Parameters!B$52)*Parameters!B$46*Parameters!B$45*N161</f>
        <v>-2.811170217599143E-6</v>
      </c>
      <c r="AT161" s="7">
        <f>1000*EXP(-(Parameters!$B$54)*'6states'!A161)*AK161*Parameters!B$46*Parameters!B$45*N161</f>
        <v>0.3286984317042107</v>
      </c>
      <c r="AZ161" s="5"/>
      <c r="BA161" s="5"/>
      <c r="BB161" s="5"/>
      <c r="BE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-3.8218158454203191E-2</v>
      </c>
    </row>
    <row r="162" spans="1:57" x14ac:dyDescent="0.25">
      <c r="A162">
        <f>A161+Parameters!$B$65</f>
        <v>158</v>
      </c>
      <c r="B162">
        <v>2183</v>
      </c>
      <c r="C162" s="74">
        <v>-4.400547917790389E-7</v>
      </c>
      <c r="D162" s="69">
        <v>9.09499842522348E-2</v>
      </c>
      <c r="E162" s="75">
        <v>0.22597558573341789</v>
      </c>
      <c r="F162" s="7">
        <f>MAX((1-Parameters!$B$4)^Parameters!B$65*F161 + C161*Parameters!B$65 - IF(C161&gt;0,Parameters!$B$5,0)*C161^2/F161*Parameters!B$65, 0.0001)</f>
        <v>1E-4</v>
      </c>
      <c r="G162" s="7">
        <f>(1-Parameters!$B$4)^Parameters!B$65*G161+D161*Parameters!B$65-Parameters!$B$5*D161^2/G161*Parameters!B$65</f>
        <v>1.3493675811979122</v>
      </c>
      <c r="H162" s="7">
        <f>(1-Parameters!$B$4)^Parameters!B$65*H161+E161*Parameters!B$65-Parameters!$B$5*E161^2/H161*Parameters!B$65</f>
        <v>3.3483591315009895</v>
      </c>
      <c r="I162" s="9">
        <f>I161 *(1-Parameters!$B$4)-C161*(C161&lt;0)*Parameters!B$65</f>
        <v>8.4107815863685922E-6</v>
      </c>
      <c r="J162" s="23">
        <f>J161*(1+Parameters!$B$51)^Parameters!B$65</f>
        <v>12.894244650338395</v>
      </c>
      <c r="K162" s="23">
        <f>K161*(1+Parameters!$B$53)^Parameters!B$65</f>
        <v>206.15952698121995</v>
      </c>
      <c r="L162" s="23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4.3801094027284319E-2</v>
      </c>
      <c r="M162" s="8">
        <f>M161+L162*Parameters!B$65</f>
        <v>3206.3557510260594</v>
      </c>
      <c r="N162" s="7">
        <f>M162*Parameters!$B$45</f>
        <v>1.9238134506156355</v>
      </c>
      <c r="O162" s="9">
        <f>EXP(-Parameters!$B$46/2*N162^2)</f>
        <v>0.96348762516525177</v>
      </c>
      <c r="P162" s="8">
        <f>MAX((Parameters!$B$62 + Parameters!$B$31*'6states'!A162 - '6states'!M162 + Parameters!$B$47/Parameters!$B$45)/Parameters!B$62,1)</f>
        <v>150.98488497947881</v>
      </c>
      <c r="Q162" s="8"/>
      <c r="R162" s="8"/>
      <c r="S162" s="7">
        <f>Parameters!B$61*EXP(-Parameters!B$60*A162)+(1-Parameters!B$61)*P162^-Parameters!B$63</f>
        <v>0.3097636865591798</v>
      </c>
      <c r="T162" s="7">
        <f>1-S162/Parameters!$B$12</f>
        <v>0.84511815672041013</v>
      </c>
      <c r="U162" s="7">
        <f t="shared" si="55"/>
        <v>6.4565347288307917</v>
      </c>
      <c r="V162" s="7">
        <f>(Parameters!$B$19*(F162+Parameters!$B$20)^T162+Parameters!$B$18*G162^T162)^(1/T162)</f>
        <v>0.3438922712639379</v>
      </c>
      <c r="W162" s="7">
        <f>(Parameters!$B$10*H162^Parameters!$B$9+Parameters!$B$11*V162^Parameters!$B$9)^(Parameters!$B$7/Parameters!$B$9)*O162</f>
        <v>1.3484371330175249</v>
      </c>
      <c r="X162" s="7">
        <f>W162 - D162 - E162 - LN(1+EXP(Parameters!$B$21*C162))/Parameters!$B$21 - IF(C162&gt;0, 0,Parameters!$B$6*C162^2/F162)</f>
        <v>1.0292012827677288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-0.2602657792422976</v>
      </c>
      <c r="AC162" s="23">
        <f t="shared" si="56"/>
        <v>2.235813995676059E-2</v>
      </c>
      <c r="AD162" s="23">
        <f t="shared" si="57"/>
        <v>0.26582713778938893</v>
      </c>
      <c r="AE162" s="23">
        <f t="shared" si="58"/>
        <v>3586.9852193563188</v>
      </c>
      <c r="AF162" s="23">
        <f t="shared" si="59"/>
        <v>914.1589817798473</v>
      </c>
      <c r="AG162" s="23">
        <f t="shared" si="60"/>
        <v>2317.0443910860895</v>
      </c>
      <c r="AH162" s="23">
        <f t="shared" si="61"/>
        <v>3584.5118355897816</v>
      </c>
      <c r="AI162" s="23">
        <f t="shared" si="62"/>
        <v>2735.8963120731291</v>
      </c>
      <c r="AJ162" s="23"/>
      <c r="AK162" s="25">
        <f t="shared" si="53"/>
        <v>3584.5118355897816</v>
      </c>
      <c r="AL162" s="4"/>
      <c r="AM162" s="4"/>
      <c r="AN162" s="4"/>
      <c r="AO162" s="16"/>
      <c r="AP162" s="16"/>
      <c r="AS162" s="21">
        <f>-Y162*W162*X162^(-Parameters!B$52)*Parameters!B$46*Parameters!B$45*N162</f>
        <v>-2.7690178976596833E-6</v>
      </c>
      <c r="AT162" s="7">
        <f>1000*EXP(-(Parameters!$B$54)*'6states'!A162)*AK162*Parameters!B$46*Parameters!B$45*N162</f>
        <v>0.32466086813786565</v>
      </c>
      <c r="AZ162" s="5"/>
      <c r="BA162" s="5"/>
      <c r="BB162" s="5"/>
      <c r="BE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-3.9230482807143141E-2</v>
      </c>
    </row>
    <row r="163" spans="1:57" x14ac:dyDescent="0.25">
      <c r="A163">
        <f>A162+Parameters!$B$65</f>
        <v>159</v>
      </c>
      <c r="B163">
        <v>2184</v>
      </c>
      <c r="C163" s="74">
        <v>-4.400547917790389E-7</v>
      </c>
      <c r="D163" s="69">
        <v>9.09499842522348E-2</v>
      </c>
      <c r="E163" s="75">
        <v>0.22597558573341789</v>
      </c>
      <c r="F163" s="7">
        <f>MAX((1-Parameters!$B$4)^Parameters!B$65*F162 + C162*Parameters!B$65 - IF(C162&gt;0,Parameters!$B$5,0)*C162^2/F162*Parameters!B$65, 0.0001)</f>
        <v>1E-4</v>
      </c>
      <c r="G163" s="7">
        <f>(1-Parameters!$B$4)^Parameters!B$65*G162+D162*Parameters!B$65-Parameters!$B$5*D162^2/G162*Parameters!B$65</f>
        <v>1.3493121397837142</v>
      </c>
      <c r="H163" s="7">
        <f>(1-Parameters!$B$4)^Parameters!B$65*H162+E162*Parameters!B$65-Parameters!$B$5*E162^2/H162*Parameters!B$65</f>
        <v>3.3484721846356194</v>
      </c>
      <c r="I163" s="9">
        <f>I162 *(1-Parameters!$B$4)-C162*(C162&lt;0)*Parameters!B$65</f>
        <v>8.3217982163650475E-6</v>
      </c>
      <c r="J163" s="23">
        <f>J162*(1+Parameters!$B$51)^Parameters!B$65</f>
        <v>12.931637959824375</v>
      </c>
      <c r="K163" s="23">
        <f>K162*(1+Parameters!$B$53)^Parameters!B$65</f>
        <v>210.28271752084436</v>
      </c>
      <c r="L163" s="23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4.4370405076574644E-2</v>
      </c>
      <c r="M163" s="8">
        <f>M162+L163*Parameters!B$65</f>
        <v>3206.4001214311361</v>
      </c>
      <c r="N163" s="7">
        <f>M163*Parameters!$B$45</f>
        <v>1.9238400728586815</v>
      </c>
      <c r="O163" s="9">
        <f>EXP(-Parameters!$B$46/2*N163^2)</f>
        <v>0.96348663330021722</v>
      </c>
      <c r="P163" s="8">
        <f>MAX((Parameters!$B$62 + Parameters!$B$31*'6states'!A163 - '6states'!M163 + Parameters!$B$47/Parameters!$B$45)/Parameters!B$62,1)</f>
        <v>152.04799757137732</v>
      </c>
      <c r="Q163" s="8"/>
      <c r="R163" s="8"/>
      <c r="S163" s="7">
        <f>Parameters!B$61*EXP(-Parameters!B$60*A163)+(1-Parameters!B$61)*P163^-Parameters!B$63</f>
        <v>0.30936436474585099</v>
      </c>
      <c r="T163" s="7">
        <f>1-S163/Parameters!$B$12</f>
        <v>0.84531781762707447</v>
      </c>
      <c r="U163" s="7">
        <f t="shared" si="55"/>
        <v>6.4648687047166522</v>
      </c>
      <c r="V163" s="7">
        <f>(Parameters!$B$19*(F163+Parameters!$B$20)^T163+Parameters!$B$18*G163^T163)^(1/T163)</f>
        <v>0.34397565861071694</v>
      </c>
      <c r="W163" s="7">
        <f>(Parameters!$B$10*H163^Parameters!$B$9+Parameters!$B$11*V163^Parameters!$B$9)^(Parameters!$B$7/Parameters!$B$9)*O163</f>
        <v>1.3484744478557946</v>
      </c>
      <c r="X163" s="7">
        <f>W163 - D163 - E163 - LN(1+EXP(Parameters!$B$21*C163))/Parameters!$B$21 - IF(C163&gt;0, 0,Parameters!$B$6*C163^2/F163)</f>
        <v>1.0292385976059986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-0.25636203568741583</v>
      </c>
      <c r="AC163" s="23">
        <f t="shared" si="56"/>
        <v>2.2629465658312101E-2</v>
      </c>
      <c r="AD163" s="23">
        <f t="shared" si="57"/>
        <v>0.27192999721875771</v>
      </c>
      <c r="AE163" s="23">
        <f t="shared" si="58"/>
        <v>3669.184464186214</v>
      </c>
      <c r="AF163" s="23">
        <f t="shared" si="59"/>
        <v>935.3729988933261</v>
      </c>
      <c r="AG163" s="23">
        <f t="shared" si="60"/>
        <v>2370.8138341970557</v>
      </c>
      <c r="AH163" s="23">
        <f t="shared" si="61"/>
        <v>3666.9065285499205</v>
      </c>
      <c r="AI163" s="23">
        <f t="shared" si="62"/>
        <v>2798.8084898443726</v>
      </c>
      <c r="AJ163" s="23"/>
      <c r="AK163" s="25">
        <f t="shared" si="53"/>
        <v>3666.9065285499209</v>
      </c>
      <c r="AL163" s="4"/>
      <c r="AM163" s="4"/>
      <c r="AN163" s="4"/>
      <c r="AO163" s="16"/>
      <c r="AP163" s="16"/>
      <c r="AS163" s="21">
        <f>-Y163*W163*X163^(-Parameters!B$52)*Parameters!B$46*Parameters!B$45*N163</f>
        <v>-2.7274995488835619E-6</v>
      </c>
      <c r="AT163" s="7">
        <f>1000*EXP(-(Parameters!$B$54)*'6states'!A163)*AK163*Parameters!B$46*Parameters!B$45*N163</f>
        <v>0.32067273813873981</v>
      </c>
      <c r="AZ163" s="5"/>
      <c r="BA163" s="5"/>
      <c r="BB163" s="5"/>
      <c r="BE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-4.0180457530934827E-2</v>
      </c>
    </row>
    <row r="164" spans="1:57" x14ac:dyDescent="0.25">
      <c r="A164">
        <f>A163+Parameters!$B$65</f>
        <v>160</v>
      </c>
      <c r="B164">
        <v>2185</v>
      </c>
      <c r="C164" s="74">
        <v>-4.400547917790389E-7</v>
      </c>
      <c r="D164" s="69">
        <v>9.09499842522348E-2</v>
      </c>
      <c r="E164" s="75">
        <v>0.22597558573341789</v>
      </c>
      <c r="F164" s="7">
        <f>MAX((1-Parameters!$B$4)^Parameters!B$65*F163 + C163*Parameters!B$65 - IF(C163&gt;0,Parameters!$B$5,0)*C163^2/F163*Parameters!B$65, 0.0001)</f>
        <v>1E-4</v>
      </c>
      <c r="G164" s="7">
        <f>(1-Parameters!$B$4)^Parameters!B$65*G163+D163*Parameters!B$65-Parameters!$B$5*D163^2/G163*Parameters!B$65</f>
        <v>1.3492599337526296</v>
      </c>
      <c r="H164" s="7">
        <f>(1-Parameters!$B$4)^Parameters!B$65*H163+E163*Parameters!B$65-Parameters!$B$5*E163^2/H163*Parameters!B$65</f>
        <v>3.3485786416328591</v>
      </c>
      <c r="I164" s="9">
        <f>I163 *(1-Parameters!$B$4)-C163*(C163&lt;0)*Parameters!B$65</f>
        <v>8.2384119003347256E-6</v>
      </c>
      <c r="J164" s="23">
        <f>J163*(1+Parameters!$B$51)^Parameters!B$65</f>
        <v>12.969139709907864</v>
      </c>
      <c r="K164" s="23">
        <f>K163*(1+Parameters!$B$53)^Parameters!B$65</f>
        <v>214.48837187126125</v>
      </c>
      <c r="L164" s="23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4.4946808031141948E-2</v>
      </c>
      <c r="M164" s="8">
        <f>M163+L164*Parameters!B$65</f>
        <v>3206.4450682391671</v>
      </c>
      <c r="N164" s="7">
        <f>M164*Parameters!$B$45</f>
        <v>1.9238670409435001</v>
      </c>
      <c r="O164" s="9">
        <f>EXP(-Parameters!$B$46/2*N164^2)</f>
        <v>0.9634856285372011</v>
      </c>
      <c r="P164" s="8">
        <f>MAX((Parameters!$B$62 + Parameters!$B$31*'6states'!A164 - '6states'!M164 + Parameters!$B$47/Parameters!$B$45)/Parameters!B$62,1)</f>
        <v>153.11109863521665</v>
      </c>
      <c r="Q164" s="8"/>
      <c r="R164" s="8"/>
      <c r="S164" s="7">
        <f>Parameters!B$61*EXP(-Parameters!B$60*A164)+(1-Parameters!B$61)*P164^-Parameters!B$63</f>
        <v>0.30897165293915385</v>
      </c>
      <c r="T164" s="7">
        <f>1-S164/Parameters!$B$12</f>
        <v>0.84551417353042302</v>
      </c>
      <c r="U164" s="7">
        <f t="shared" si="55"/>
        <v>6.4730857377193161</v>
      </c>
      <c r="V164" s="7">
        <f>(Parameters!$B$19*(F164+Parameters!$B$20)^T164+Parameters!$B$18*G164^T164)^(1/T164)</f>
        <v>0.34405822227498173</v>
      </c>
      <c r="W164" s="7">
        <f>(Parameters!$B$10*H164^Parameters!$B$9+Parameters!$B$11*V164^Parameters!$B$9)^(Parameters!$B$7/Parameters!$B$9)*O164</f>
        <v>1.3485108758342146</v>
      </c>
      <c r="X164" s="7">
        <f>W164 - D164 - E164 - LN(1+EXP(Parameters!$B$21*C164))/Parameters!$B$21 - IF(C164&gt;0, 0,Parameters!$B$6*C164^2/F164)</f>
        <v>1.0292750255844185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-0.25251692090733835</v>
      </c>
      <c r="AC164" s="23">
        <f t="shared" si="56"/>
        <v>2.2917034742276812E-2</v>
      </c>
      <c r="AD164" s="23">
        <f t="shared" si="57"/>
        <v>0.27817296609490594</v>
      </c>
      <c r="AE164" s="23">
        <f t="shared" si="58"/>
        <v>3753.2763780498526</v>
      </c>
      <c r="AF164" s="23">
        <f t="shared" si="59"/>
        <v>957.07696199572104</v>
      </c>
      <c r="AG164" s="23">
        <f t="shared" si="60"/>
        <v>2425.8251035419476</v>
      </c>
      <c r="AH164" s="23">
        <f t="shared" si="61"/>
        <v>3751.1927014204289</v>
      </c>
      <c r="AI164" s="23">
        <f t="shared" si="62"/>
        <v>2863.1648679422788</v>
      </c>
      <c r="AJ164" s="23"/>
      <c r="AK164" s="25">
        <f t="shared" si="53"/>
        <v>3751.1927014204289</v>
      </c>
      <c r="AL164" s="4"/>
      <c r="AM164" s="4"/>
      <c r="AN164" s="4"/>
      <c r="AO164" s="16"/>
      <c r="AP164" s="16"/>
      <c r="AS164" s="21">
        <f>-Y164*W164*X164^(-Parameters!B$52)*Parameters!B$46*Parameters!B$45*N164</f>
        <v>-2.6866055650072476E-6</v>
      </c>
      <c r="AT164" s="7">
        <f>1000*EXP(-(Parameters!$B$54)*'6states'!A164)*AK164*Parameters!B$46*Parameters!B$45*N164</f>
        <v>0.31673344660968344</v>
      </c>
      <c r="AZ164" s="5"/>
      <c r="BA164" s="5"/>
      <c r="BB164" s="5"/>
      <c r="BE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-4.1067761529282709E-2</v>
      </c>
    </row>
    <row r="165" spans="1:57" x14ac:dyDescent="0.25">
      <c r="A165">
        <f>A164+Parameters!$B$65</f>
        <v>161</v>
      </c>
      <c r="B165">
        <v>2186</v>
      </c>
      <c r="C165" s="74">
        <v>-4.400547917790389E-7</v>
      </c>
      <c r="D165" s="69">
        <v>9.09499842522348E-2</v>
      </c>
      <c r="E165" s="75">
        <v>0.22597558573341789</v>
      </c>
      <c r="F165" s="7">
        <f>MAX((1-Parameters!$B$4)^Parameters!B$65*F164 + C164*Parameters!B$65 - IF(C164&gt;0,Parameters!$B$5,0)*C164^2/F164*Parameters!B$65, 0.0001)</f>
        <v>1E-4</v>
      </c>
      <c r="G165" s="7">
        <f>(1-Parameters!$B$4)^Parameters!B$65*G164+D164*Parameters!B$65-Parameters!$B$5*D164^2/G164*Parameters!B$65</f>
        <v>1.3492107742791539</v>
      </c>
      <c r="H165" s="7">
        <f>(1-Parameters!$B$4)^Parameters!B$65*H164+E164*Parameters!B$65-Parameters!$B$5*E164^2/H164*Parameters!B$65</f>
        <v>3.348678887315609</v>
      </c>
      <c r="I165" s="9">
        <f>I164 *(1-Parameters!$B$4)-C164*(C164&lt;0)*Parameters!B$65</f>
        <v>8.1602705835827105E-6</v>
      </c>
      <c r="J165" s="23">
        <f>J164*(1+Parameters!$B$51)^Parameters!B$65</f>
        <v>13.006750215066596</v>
      </c>
      <c r="K165" s="23">
        <f>K164*(1+Parameters!$B$53)^Parameters!B$65</f>
        <v>218.77813930868649</v>
      </c>
      <c r="L165" s="23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4.5530378480784589E-2</v>
      </c>
      <c r="M165" s="8">
        <f>M164+L165*Parameters!B$65</f>
        <v>3206.4905986176477</v>
      </c>
      <c r="N165" s="7">
        <f>M165*Parameters!$B$45</f>
        <v>1.9238943591705884</v>
      </c>
      <c r="O165" s="9">
        <f>EXP(-Parameters!$B$46/2*N165^2)</f>
        <v>0.96348461071547276</v>
      </c>
      <c r="P165" s="8">
        <f>MAX((Parameters!$B$62 + Parameters!$B$31*'6states'!A165 - '6states'!M165 + Parameters!$B$47/Parameters!$B$45)/Parameters!B$62,1)</f>
        <v>154.17418802764706</v>
      </c>
      <c r="Q165" s="8"/>
      <c r="R165" s="8"/>
      <c r="S165" s="7">
        <f>Parameters!B$61*EXP(-Parameters!B$60*A165)+(1-Parameters!B$61)*P165^-Parameters!B$63</f>
        <v>0.30858539480073044</v>
      </c>
      <c r="T165" s="7">
        <f>1-S165/Parameters!$B$12</f>
        <v>0.84570730259963478</v>
      </c>
      <c r="U165" s="7">
        <f t="shared" si="55"/>
        <v>6.4811881368899638</v>
      </c>
      <c r="V165" s="7">
        <f>(Parameters!$B$19*(F165+Parameters!$B$20)^T165+Parameters!$B$18*G165^T165)^(1/T165)</f>
        <v>0.34413995495898975</v>
      </c>
      <c r="W165" s="7">
        <f>(Parameters!$B$10*H165^Parameters!$B$9+Parameters!$B$11*V165^Parameters!$B$9)^(Parameters!$B$7/Parameters!$B$9)*O165</f>
        <v>1.3485464472041044</v>
      </c>
      <c r="X165" s="7">
        <f>W165 - D165 - E165 - LN(1+EXP(Parameters!$B$21*C165))/Parameters!$B$21 - IF(C165&gt;0, 0,Parameters!$B$6*C165^2/F165)</f>
        <v>1.0293105969543084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-0.24872955067085672</v>
      </c>
      <c r="AC165" s="23">
        <f t="shared" si="56"/>
        <v>2.3220805672365327E-2</v>
      </c>
      <c r="AD165" s="23">
        <f t="shared" si="57"/>
        <v>0.28455926105051277</v>
      </c>
      <c r="AE165" s="23">
        <f t="shared" si="58"/>
        <v>3839.304209302662</v>
      </c>
      <c r="AF165" s="23">
        <f t="shared" si="59"/>
        <v>979.28211281086863</v>
      </c>
      <c r="AG165" s="23">
        <f t="shared" si="60"/>
        <v>2482.1066926034978</v>
      </c>
      <c r="AH165" s="23">
        <f t="shared" si="61"/>
        <v>3837.4138050869428</v>
      </c>
      <c r="AI165" s="23">
        <f t="shared" si="62"/>
        <v>2928.9986286078015</v>
      </c>
      <c r="AJ165" s="23"/>
      <c r="AK165" s="25">
        <f t="shared" si="53"/>
        <v>3837.4138050869433</v>
      </c>
      <c r="AL165" s="4"/>
      <c r="AM165" s="4"/>
      <c r="AN165" s="4"/>
      <c r="AO165" s="16"/>
      <c r="AP165" s="16"/>
      <c r="AS165" s="21">
        <f>-Y165*W165*X165^(-Parameters!B$52)*Parameters!B$46*Parameters!B$45*N165</f>
        <v>-2.6463264891744073E-6</v>
      </c>
      <c r="AT165" s="7">
        <f>1000*EXP(-(Parameters!$B$54)*'6states'!A165)*AK165*Parameters!B$46*Parameters!B$45*N165</f>
        <v>0.31284240507742073</v>
      </c>
      <c r="AZ165" s="5"/>
      <c r="BA165" s="5"/>
      <c r="BB165" s="5"/>
      <c r="BE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-4.1892515818170738E-2</v>
      </c>
    </row>
    <row r="166" spans="1:57" x14ac:dyDescent="0.25">
      <c r="A166">
        <f>A165+Parameters!$B$65</f>
        <v>162</v>
      </c>
      <c r="B166">
        <v>2187</v>
      </c>
      <c r="C166" s="74">
        <v>-4.400547917790389E-7</v>
      </c>
      <c r="D166" s="69">
        <v>9.09499842522348E-2</v>
      </c>
      <c r="E166" s="75">
        <v>0.22597558573341789</v>
      </c>
      <c r="F166" s="7">
        <f>MAX((1-Parameters!$B$4)^Parameters!B$65*F165 + C165*Parameters!B$65 - IF(C165&gt;0,Parameters!$B$5,0)*C165^2/F165*Parameters!B$65, 0.0001)</f>
        <v>1E-4</v>
      </c>
      <c r="G166" s="7">
        <f>(1-Parameters!$B$4)^Parameters!B$65*G165+D165*Parameters!B$65-Parameters!$B$5*D165^2/G165*Parameters!B$65</f>
        <v>1.3491644835602796</v>
      </c>
      <c r="H166" s="7">
        <f>(1-Parameters!$B$4)^Parameters!B$65*H165+E165*Parameters!B$65-Parameters!$B$5*E165^2/H165*Parameters!B$65</f>
        <v>3.3487732840595572</v>
      </c>
      <c r="I166" s="9">
        <f>I165 *(1-Parameters!$B$4)-C165*(C165&lt;0)*Parameters!B$65</f>
        <v>8.0870443556543972E-6</v>
      </c>
      <c r="J166" s="23">
        <f>J165*(1+Parameters!$B$51)^Parameters!B$65</f>
        <v>13.044469790690288</v>
      </c>
      <c r="K166" s="23">
        <f>K165*(1+Parameters!$B$53)^Parameters!B$65</f>
        <v>223.15370209486022</v>
      </c>
      <c r="L166" s="23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4.6121195181994069E-2</v>
      </c>
      <c r="M166" s="8">
        <f>M165+L166*Parameters!B$65</f>
        <v>3206.5367198128297</v>
      </c>
      <c r="N166" s="7">
        <f>M166*Parameters!$B$45</f>
        <v>1.9239220318876977</v>
      </c>
      <c r="O166" s="9">
        <f>EXP(-Parameters!$B$46/2*N166^2)</f>
        <v>0.96348357967252662</v>
      </c>
      <c r="P166" s="8">
        <f>MAX((Parameters!$B$62 + Parameters!$B$31*'6states'!A166 - '6states'!M166 + Parameters!$B$47/Parameters!$B$45)/Parameters!B$62,1)</f>
        <v>155.2372656037434</v>
      </c>
      <c r="Q166" s="8"/>
      <c r="R166" s="8"/>
      <c r="S166" s="7">
        <f>Parameters!B$61*EXP(-Parameters!B$60*A166)+(1-Parameters!B$61)*P166^-Parameters!B$63</f>
        <v>0.30820543803092915</v>
      </c>
      <c r="T166" s="7">
        <f>1-S166/Parameters!$B$12</f>
        <v>0.84589728098453543</v>
      </c>
      <c r="U166" s="7">
        <f t="shared" si="55"/>
        <v>6.4891781688786923</v>
      </c>
      <c r="V166" s="7">
        <f>(Parameters!$B$19*(F166+Parameters!$B$20)^T166+Parameters!$B$18*G166^T166)^(1/T166)</f>
        <v>0.34422085099926891</v>
      </c>
      <c r="W166" s="7">
        <f>(Parameters!$B$10*H166^Parameters!$B$9+Parameters!$B$11*V166^Parameters!$B$9)^(Parameters!$B$7/Parameters!$B$9)*O166</f>
        <v>1.3485811909092178</v>
      </c>
      <c r="X166" s="7">
        <f>W166 - D166 - E166 - LN(1+EXP(Parameters!$B$21*C166))/Parameters!$B$21 - IF(C166&gt;0, 0,Parameters!$B$6*C166^2/F166)</f>
        <v>1.0293453406594217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-0.24499905428587893</v>
      </c>
      <c r="AC166" s="23">
        <f t="shared" si="56"/>
        <v>2.3540753111227043E-2</v>
      </c>
      <c r="AD166" s="23">
        <f t="shared" si="57"/>
        <v>0.29109217256571046</v>
      </c>
      <c r="AE166" s="23">
        <f t="shared" si="58"/>
        <v>3927.3122066805649</v>
      </c>
      <c r="AF166" s="23">
        <f t="shared" si="59"/>
        <v>1001.9999535979488</v>
      </c>
      <c r="AG166" s="23">
        <f t="shared" si="60"/>
        <v>2539.687755222174</v>
      </c>
      <c r="AH166" s="23">
        <f t="shared" si="61"/>
        <v>3925.6142874301731</v>
      </c>
      <c r="AI166" s="23">
        <f t="shared" si="62"/>
        <v>2996.3437153294235</v>
      </c>
      <c r="AJ166" s="23"/>
      <c r="AK166" s="25">
        <f t="shared" si="53"/>
        <v>3925.6142874301727</v>
      </c>
      <c r="AL166" s="4"/>
      <c r="AM166" s="4"/>
      <c r="AN166" s="4"/>
      <c r="AO166" s="16"/>
      <c r="AP166" s="16"/>
      <c r="AS166" s="21">
        <f>-Y166*W166*X166^(-Parameters!B$52)*Parameters!B$46*Parameters!B$45*N166</f>
        <v>-2.6066530113846354E-6</v>
      </c>
      <c r="AT166" s="7">
        <f>1000*EXP(-(Parameters!$B$54)*'6states'!A166)*AK166*Parameters!B$46*Parameters!B$45*N166</f>
        <v>0.30899903165085918</v>
      </c>
      <c r="AZ166" s="5"/>
      <c r="BA166" s="5"/>
      <c r="BB166" s="5"/>
      <c r="BE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-4.2655234125558175E-2</v>
      </c>
    </row>
    <row r="167" spans="1:57" x14ac:dyDescent="0.25">
      <c r="A167">
        <f>A166+Parameters!$B$65</f>
        <v>163</v>
      </c>
      <c r="B167">
        <v>2188</v>
      </c>
      <c r="C167" s="74">
        <v>-4.400547917790389E-7</v>
      </c>
      <c r="D167" s="69">
        <v>9.09499842522348E-2</v>
      </c>
      <c r="E167" s="75">
        <v>0.22597558573341789</v>
      </c>
      <c r="F167" s="7">
        <f>MAX((1-Parameters!$B$4)^Parameters!B$65*F166 + C166*Parameters!B$65 - IF(C166&gt;0,Parameters!$B$5,0)*C166^2/F166*Parameters!B$65, 0.0001)</f>
        <v>1E-4</v>
      </c>
      <c r="G167" s="7">
        <f>(1-Parameters!$B$4)^Parameters!B$65*G166+D166*Parameters!B$65-Parameters!$B$5*D166^2/G166*Parameters!B$65</f>
        <v>1.3491208941718276</v>
      </c>
      <c r="H167" s="7">
        <f>(1-Parameters!$B$4)^Parameters!B$65*H166+E166*Parameters!B$65-Parameters!$B$5*E166^2/H166*Parameters!B$65</f>
        <v>3.348862173102146</v>
      </c>
      <c r="I167" s="9">
        <f>I166 *(1-Parameters!$B$4)-C166*(C166&lt;0)*Parameters!B$65</f>
        <v>8.0184240574627744E-6</v>
      </c>
      <c r="J167" s="23">
        <f>J166*(1+Parameters!$B$51)^Parameters!B$65</f>
        <v>13.082298753083288</v>
      </c>
      <c r="K167" s="23">
        <f>K166*(1+Parameters!$B$53)^Parameters!B$65</f>
        <v>227.61677613675744</v>
      </c>
      <c r="L167" s="23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4.6719339987621428E-2</v>
      </c>
      <c r="M167" s="8">
        <f>M166+L167*Parameters!B$65</f>
        <v>3206.5834391528174</v>
      </c>
      <c r="N167" s="7">
        <f>M167*Parameters!$B$45</f>
        <v>1.9239500634916902</v>
      </c>
      <c r="O167" s="9">
        <f>EXP(-Parameters!$B$46/2*N167^2)</f>
        <v>0.96348253524401128</v>
      </c>
      <c r="P167" s="8">
        <f>MAX((Parameters!$B$62 + Parameters!$B$31*'6states'!A167 - '6states'!M167 + Parameters!$B$47/Parameters!$B$45)/Parameters!B$62,1)</f>
        <v>156.30033121694368</v>
      </c>
      <c r="Q167" s="8"/>
      <c r="R167" s="8"/>
      <c r="S167" s="7">
        <f>Parameters!B$61*EXP(-Parameters!B$60*A167)+(1-Parameters!B$61)*P167^-Parameters!B$63</f>
        <v>0.30783163426055121</v>
      </c>
      <c r="T167" s="7">
        <f>1-S167/Parameters!$B$12</f>
        <v>0.84608418286972442</v>
      </c>
      <c r="U167" s="7">
        <f t="shared" si="55"/>
        <v>6.4970580583903992</v>
      </c>
      <c r="V167" s="7">
        <f>(Parameters!$B$19*(F167+Parameters!$B$20)^T167+Parameters!$B$18*G167^T167)^(1/T167)</f>
        <v>0.3443009062423934</v>
      </c>
      <c r="W167" s="7">
        <f>(Parameters!$B$10*H167^Parameters!$B$9+Parameters!$B$11*V167^Parameters!$B$9)^(Parameters!$B$7/Parameters!$B$9)*O167</f>
        <v>1.3486151346492414</v>
      </c>
      <c r="X167" s="7">
        <f>W167 - D167 - E167 - LN(1+EXP(Parameters!$B$21*C167))/Parameters!$B$21 - IF(C167&gt;0, 0,Parameters!$B$6*C167^2/F167)</f>
        <v>1.0293792843994454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-0.24132457438003629</v>
      </c>
      <c r="AC167" s="23">
        <f t="shared" si="56"/>
        <v>2.3876867582469812E-2</v>
      </c>
      <c r="AD167" s="23">
        <f t="shared" si="57"/>
        <v>0.29777506666347398</v>
      </c>
      <c r="AE167" s="23">
        <f t="shared" si="58"/>
        <v>4017.3456419910153</v>
      </c>
      <c r="AF167" s="23">
        <f t="shared" si="59"/>
        <v>1025.2422530862318</v>
      </c>
      <c r="AG167" s="23">
        <f t="shared" si="60"/>
        <v>2598.5981206385022</v>
      </c>
      <c r="AH167" s="23">
        <f t="shared" si="61"/>
        <v>4015.8396162354779</v>
      </c>
      <c r="AI167" s="23">
        <f t="shared" si="62"/>
        <v>3065.2348503404401</v>
      </c>
      <c r="AJ167" s="23"/>
      <c r="AK167" s="25">
        <f t="shared" si="53"/>
        <v>4015.8396162354775</v>
      </c>
      <c r="AL167" s="4"/>
      <c r="AM167" s="4"/>
      <c r="AN167" s="4"/>
      <c r="AO167" s="16"/>
      <c r="AP167" s="16"/>
      <c r="AS167" s="21">
        <f>-Y167*W167*X167^(-Parameters!B$52)*Parameters!B$46*Parameters!B$45*N167</f>
        <v>-2.5675759659999509E-6</v>
      </c>
      <c r="AT167" s="7">
        <f>1000*EXP(-(Parameters!$B$54)*'6states'!A167)*AK167*Parameters!B$46*Parameters!B$45*N167</f>
        <v>0.30520275097747068</v>
      </c>
      <c r="AZ167" s="5"/>
      <c r="BA167" s="5"/>
      <c r="BB167" s="5"/>
      <c r="BE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-4.3356774513314093E-2</v>
      </c>
    </row>
    <row r="168" spans="1:57" x14ac:dyDescent="0.25">
      <c r="A168">
        <f>A167+Parameters!$B$65</f>
        <v>164</v>
      </c>
      <c r="B168">
        <v>2189</v>
      </c>
      <c r="C168" s="74">
        <v>-4.400547917790389E-7</v>
      </c>
      <c r="D168" s="69">
        <v>9.09499842522348E-2</v>
      </c>
      <c r="E168" s="75">
        <v>0.22597558573341789</v>
      </c>
      <c r="F168" s="7">
        <f>MAX((1-Parameters!$B$4)^Parameters!B$65*F167 + C167*Parameters!B$65 - IF(C167&gt;0,Parameters!$B$5,0)*C167^2/F167*Parameters!B$65, 0.0001)</f>
        <v>1E-4</v>
      </c>
      <c r="G168" s="7">
        <f>(1-Parameters!$B$4)^Parameters!B$65*G167+D167*Parameters!B$65-Parameters!$B$5*D167^2/G167*Parameters!B$65</f>
        <v>1.3490798484623914</v>
      </c>
      <c r="H168" s="7">
        <f>(1-Parameters!$B$4)^Parameters!B$65*H167+E167*Parameters!B$65-Parameters!$B$5*E167^2/H167*Parameters!B$65</f>
        <v>3.3489458757752537</v>
      </c>
      <c r="I168" s="9">
        <f>I167 *(1-Parameters!$B$4)-C167*(C167&lt;0)*Parameters!B$65</f>
        <v>7.954119976027406E-6</v>
      </c>
      <c r="J168" s="23">
        <f>J167*(1+Parameters!$B$51)^Parameters!B$65</f>
        <v>13.120237419467228</v>
      </c>
      <c r="K168" s="23">
        <f>K167*(1+Parameters!$B$53)^Parameters!B$65</f>
        <v>232.16911165949259</v>
      </c>
      <c r="L168" s="23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4.7324897763803817E-2</v>
      </c>
      <c r="M168" s="8">
        <f>M167+L168*Parameters!B$65</f>
        <v>3206.6307640505811</v>
      </c>
      <c r="N168" s="7">
        <f>M168*Parameters!$B$45</f>
        <v>1.9239784584303485</v>
      </c>
      <c r="O168" s="9">
        <f>EXP(-Parameters!$B$46/2*N168^2)</f>
        <v>0.96348147726366273</v>
      </c>
      <c r="P168" s="8">
        <f>MAX((Parameters!$B$62 + Parameters!$B$31*'6states'!A168 - '6states'!M168 + Parameters!$B$47/Parameters!$B$45)/Parameters!B$62,1)</f>
        <v>157.36338471898841</v>
      </c>
      <c r="Q168" s="8"/>
      <c r="R168" s="8"/>
      <c r="S168" s="7">
        <f>Parameters!B$61*EXP(-Parameters!B$60*A168)+(1-Parameters!B$61)*P168^-Parameters!B$63</f>
        <v>0.30746383894559171</v>
      </c>
      <c r="T168" s="7">
        <f>1-S168/Parameters!$B$12</f>
        <v>0.84626808052720415</v>
      </c>
      <c r="U168" s="7">
        <f t="shared" si="55"/>
        <v>6.5048299886541026</v>
      </c>
      <c r="V168" s="7">
        <f>(Parameters!$B$19*(F168+Parameters!$B$20)^T168+Parameters!$B$18*G168^T168)^(1/T168)</f>
        <v>0.34438011792865042</v>
      </c>
      <c r="W168" s="7">
        <f>(Parameters!$B$10*H168^Parameters!$B$9+Parameters!$B$11*V168^Parameters!$B$9)^(Parameters!$B$7/Parameters!$B$9)*O168</f>
        <v>1.3486483049398803</v>
      </c>
      <c r="X168" s="7">
        <f>W168 - D168 - E168 - LN(1+EXP(Parameters!$B$21*C168))/Parameters!$B$21 - IF(C168&gt;0, 0,Parameters!$B$6*C168^2/F168)</f>
        <v>1.0294124546900842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-0.23770526668560704</v>
      </c>
      <c r="AC168" s="23">
        <f t="shared" si="56"/>
        <v>2.4229155154299232E-2</v>
      </c>
      <c r="AD168" s="23">
        <f t="shared" si="57"/>
        <v>0.304611386643934</v>
      </c>
      <c r="AE168" s="23">
        <f t="shared" si="58"/>
        <v>4109.4508333351732</v>
      </c>
      <c r="AF168" s="23">
        <f t="shared" si="59"/>
        <v>1049.0210525484772</v>
      </c>
      <c r="AG168" s="23">
        <f t="shared" si="60"/>
        <v>2658.8683088868142</v>
      </c>
      <c r="AH168" s="23">
        <f t="shared" si="61"/>
        <v>4108.1363026272802</v>
      </c>
      <c r="AI168" s="23">
        <f t="shared" si="62"/>
        <v>3135.7075525168239</v>
      </c>
      <c r="AJ168" s="23"/>
      <c r="AK168" s="25">
        <f t="shared" si="53"/>
        <v>4108.1363026272811</v>
      </c>
      <c r="AL168" s="4"/>
      <c r="AM168" s="4"/>
      <c r="AN168" s="4"/>
      <c r="AO168" s="16"/>
      <c r="AP168" s="16"/>
      <c r="AS168" s="21">
        <f>-Y168*W168*X168^(-Parameters!B$52)*Parameters!B$46*Parameters!B$45*N168</f>
        <v>-2.5290863293068728E-6</v>
      </c>
      <c r="AT168" s="7">
        <f>1000*EXP(-(Parameters!$B$54)*'6states'!A168)*AK168*Parameters!B$46*Parameters!B$45*N168</f>
        <v>0.30145299419792709</v>
      </c>
    </row>
    <row r="169" spans="1:57" x14ac:dyDescent="0.25">
      <c r="A169">
        <f>A168+Parameters!$B$65</f>
        <v>165</v>
      </c>
      <c r="B169">
        <v>2190</v>
      </c>
      <c r="C169" s="74">
        <v>-4.400547917790389E-7</v>
      </c>
      <c r="D169" s="69">
        <v>9.09499842522348E-2</v>
      </c>
      <c r="E169" s="75">
        <v>0.22597558573341789</v>
      </c>
      <c r="F169" s="7">
        <f>MAX((1-Parameters!$B$4)^Parameters!B$65*F168 + C168*Parameters!B$65 - IF(C168&gt;0,Parameters!$B$5,0)*C168^2/F168*Parameters!B$65, 0.0001)</f>
        <v>1E-4</v>
      </c>
      <c r="G169" s="7">
        <f>(1-Parameters!$B$4)^Parameters!B$65*G168+D168*Parameters!B$65-Parameters!$B$5*D168^2/G168*Parameters!B$65</f>
        <v>1.3490411979826982</v>
      </c>
      <c r="H169" s="7">
        <f>(1-Parameters!$B$4)^Parameters!B$65*H168+E168*Parameters!B$65-Parameters!$B$5*E168^2/H168*Parameters!B$65</f>
        <v>3.349024694666034</v>
      </c>
      <c r="I169" s="9">
        <f>I168 *(1-Parameters!$B$4)-C168*(C168&lt;0)*Parameters!B$65</f>
        <v>7.8938606213143213E-6</v>
      </c>
      <c r="J169" s="23">
        <f>J168*(1+Parameters!$B$51)^Parameters!B$65</f>
        <v>13.158286107983683</v>
      </c>
      <c r="K169" s="23">
        <f>K168*(1+Parameters!$B$53)^Parameters!B$65</f>
        <v>236.81249389268245</v>
      </c>
      <c r="L169" s="23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4.793795629778768E-2</v>
      </c>
      <c r="M169" s="8">
        <f>M168+L169*Parameters!B$65</f>
        <v>3206.6787020068787</v>
      </c>
      <c r="N169" s="7">
        <f>M169*Parameters!$B$45</f>
        <v>1.924007221204127</v>
      </c>
      <c r="O169" s="9">
        <f>EXP(-Parameters!$B$46/2*N169^2)</f>
        <v>0.96348040556323822</v>
      </c>
      <c r="P169" s="8">
        <f>MAX((Parameters!$B$62 + Parameters!$B$31*'6states'!A169 - '6states'!M169 + Parameters!$B$47/Parameters!$B$45)/Parameters!B$62,1)</f>
        <v>158.42642595986243</v>
      </c>
      <c r="Q169" s="8"/>
      <c r="R169" s="8"/>
      <c r="S169" s="7">
        <f>Parameters!B$61*EXP(-Parameters!B$60*A169)+(1-Parameters!B$61)*P169^-Parameters!B$63</f>
        <v>0.30710191126488889</v>
      </c>
      <c r="T169" s="7">
        <f>1-S169/Parameters!$B$12</f>
        <v>0.84644904436755553</v>
      </c>
      <c r="U169" s="7">
        <f t="shared" si="55"/>
        <v>6.512496101904464</v>
      </c>
      <c r="V169" s="7">
        <f>(Parameters!$B$19*(F169+Parameters!$B$20)^T169+Parameters!$B$18*G169^T169)^(1/T169)</f>
        <v>0.34445848458312817</v>
      </c>
      <c r="W169" s="7">
        <f>(Parameters!$B$10*H169^Parameters!$B$9+Parameters!$B$11*V169^Parameters!$B$9)^(Parameters!$B$7/Parameters!$B$9)*O169</f>
        <v>1.3486807271697221</v>
      </c>
      <c r="X169" s="7">
        <f>W169 - D169 - E169 - LN(1+EXP(Parameters!$B$21*C169))/Parameters!$B$21 - IF(C169&gt;0, 0,Parameters!$B$6*C169^2/F169)</f>
        <v>1.029444876919926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-0.23414029982862244</v>
      </c>
      <c r="AC169" s="23">
        <f t="shared" si="56"/>
        <v>2.4597637144057966E-2</v>
      </c>
      <c r="AD169" s="23">
        <f t="shared" si="57"/>
        <v>0.31160465485850541</v>
      </c>
      <c r="AE169" s="23">
        <f t="shared" si="58"/>
        <v>4203.6751688730337</v>
      </c>
      <c r="AF169" s="23">
        <f t="shared" si="59"/>
        <v>1073.3486720160947</v>
      </c>
      <c r="AG169" s="23">
        <f t="shared" si="60"/>
        <v>2720.5295465483123</v>
      </c>
      <c r="AH169" s="23">
        <f t="shared" si="61"/>
        <v>4202.5519250403941</v>
      </c>
      <c r="AI169" s="23">
        <f t="shared" si="62"/>
        <v>3207.7981556849018</v>
      </c>
      <c r="AJ169" s="23"/>
      <c r="AK169" s="25">
        <f t="shared" si="53"/>
        <v>4202.5519250403941</v>
      </c>
      <c r="AL169" s="4"/>
      <c r="AM169" s="4"/>
      <c r="AN169" s="4"/>
      <c r="AO169" s="16"/>
      <c r="AP169" s="16"/>
      <c r="AS169" s="21">
        <f>-Y169*W169*X169^(-Parameters!B$52)*Parameters!B$46*Parameters!B$45*N169</f>
        <v>-2.4911752171319696E-6</v>
      </c>
      <c r="AT169" s="7">
        <f>1000*EXP(-(Parameters!$B$54)*'6states'!A169)*AK169*Parameters!B$46*Parameters!B$45*N169</f>
        <v>0.29774919889915863</v>
      </c>
    </row>
    <row r="170" spans="1:57" x14ac:dyDescent="0.25">
      <c r="A170">
        <f>A169+Parameters!$B$65</f>
        <v>166</v>
      </c>
      <c r="B170">
        <v>2191</v>
      </c>
      <c r="C170" s="74">
        <v>-4.400547917790389E-7</v>
      </c>
      <c r="D170" s="69">
        <v>9.09499842522348E-2</v>
      </c>
      <c r="E170" s="75">
        <v>0.22597558573341789</v>
      </c>
      <c r="F170" s="7">
        <f>MAX((1-Parameters!$B$4)^Parameters!B$65*F169 + C169*Parameters!B$65 - IF(C169&gt;0,Parameters!$B$5,0)*C169^2/F169*Parameters!B$65, 0.0001)</f>
        <v>1E-4</v>
      </c>
      <c r="G170" s="7">
        <f>(1-Parameters!$B$4)^Parameters!B$65*G169+D169*Parameters!B$65-Parameters!$B$5*D169^2/G169*Parameters!B$65</f>
        <v>1.3490048029483088</v>
      </c>
      <c r="H170" s="7">
        <f>(1-Parameters!$B$4)^Parameters!B$65*H169+E169*Parameters!B$65-Parameters!$B$5*E169^2/H169*Parameters!B$65</f>
        <v>3.3490989147100954</v>
      </c>
      <c r="I170" s="9">
        <f>I169 *(1-Parameters!$B$4)-C169*(C169&lt;0)*Parameters!B$65</f>
        <v>7.8373915800126895E-6</v>
      </c>
      <c r="J170" s="23">
        <f>J169*(1+Parameters!$B$51)^Parameters!B$65</f>
        <v>13.196445137696834</v>
      </c>
      <c r="K170" s="23">
        <f>K169*(1+Parameters!$B$53)^Parameters!B$65</f>
        <v>241.54874377053611</v>
      </c>
      <c r="L170" s="23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4.8558606199835014E-2</v>
      </c>
      <c r="M170" s="8">
        <f>M169+L170*Parameters!B$65</f>
        <v>3206.7272606130787</v>
      </c>
      <c r="N170" s="7">
        <f>M170*Parameters!$B$45</f>
        <v>1.9240363563678471</v>
      </c>
      <c r="O170" s="9">
        <f>EXP(-Parameters!$B$46/2*N170^2)</f>
        <v>0.96347931997245284</v>
      </c>
      <c r="P170" s="8">
        <f>MAX((Parameters!$B$62 + Parameters!$B$31*'6states'!A170 - '6states'!M170 + Parameters!$B$47/Parameters!$B$45)/Parameters!B$62,1)</f>
        <v>159.48945478773842</v>
      </c>
      <c r="Q170" s="8"/>
      <c r="R170" s="8"/>
      <c r="S170" s="7">
        <f>Parameters!B$61*EXP(-Parameters!B$60*A170)+(1-Parameters!B$61)*P170^-Parameters!B$63</f>
        <v>0.30674571402059836</v>
      </c>
      <c r="T170" s="7">
        <f>1-S170/Parameters!$B$12</f>
        <v>0.84662714298970076</v>
      </c>
      <c r="U170" s="7">
        <f t="shared" si="55"/>
        <v>6.5200584998742537</v>
      </c>
      <c r="V170" s="7">
        <f>(Parameters!$B$19*(F170+Parameters!$B$20)^T170+Parameters!$B$18*G170^T170)^(1/T170)</f>
        <v>0.34453600591378464</v>
      </c>
      <c r="W170" s="7">
        <f>(Parameters!$B$10*H170^Parameters!$B$9+Parameters!$B$11*V170^Parameters!$B$9)^(Parameters!$B$7/Parameters!$B$9)*O170</f>
        <v>1.348712425654079</v>
      </c>
      <c r="X170" s="7">
        <f>W170 - D170 - E170 - LN(1+EXP(Parameters!$B$21*C170))/Parameters!$B$21 - IF(C170&gt;0, 0,Parameters!$B$6*C170^2/F170)</f>
        <v>1.0294765754042829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-0.23062885512202946</v>
      </c>
      <c r="AC170" s="23">
        <f t="shared" si="56"/>
        <v>2.4982349842979413E-2</v>
      </c>
      <c r="AD170" s="23">
        <f t="shared" si="57"/>
        <v>0.31875847452474698</v>
      </c>
      <c r="AE170" s="23">
        <f t="shared" si="58"/>
        <v>4300.0671311435981</v>
      </c>
      <c r="AF170" s="23">
        <f t="shared" si="59"/>
        <v>1098.2377166392719</v>
      </c>
      <c r="AG170" s="23">
        <f t="shared" si="60"/>
        <v>2783.613782871565</v>
      </c>
      <c r="AH170" s="23">
        <f t="shared" si="61"/>
        <v>4299.1351537406545</v>
      </c>
      <c r="AI170" s="23">
        <f t="shared" si="62"/>
        <v>3281.5438273482987</v>
      </c>
      <c r="AJ170" s="23"/>
      <c r="AK170" s="25">
        <f t="shared" si="53"/>
        <v>4299.1351537406545</v>
      </c>
      <c r="AL170" s="4"/>
      <c r="AM170" s="4"/>
      <c r="AN170" s="4"/>
      <c r="AO170" s="16"/>
      <c r="AP170" s="16"/>
      <c r="AS170" s="21">
        <f>-Y170*W170*X170^(-Parameters!B$52)*Parameters!B$46*Parameters!B$45*N170</f>
        <v>-2.4538338825089838E-6</v>
      </c>
      <c r="AT170" s="7">
        <f>1000*EXP(-(Parameters!$B$54)*'6states'!A170)*AK170*Parameters!B$46*Parameters!B$45*N170</f>
        <v>0.29409080906599583</v>
      </c>
    </row>
    <row r="171" spans="1:57" x14ac:dyDescent="0.25">
      <c r="A171">
        <f>A170+Parameters!$B$65</f>
        <v>167</v>
      </c>
      <c r="B171">
        <v>2192</v>
      </c>
      <c r="C171" s="74">
        <v>-4.400547917790389E-7</v>
      </c>
      <c r="D171" s="69">
        <v>9.09499842522348E-2</v>
      </c>
      <c r="E171" s="75">
        <v>0.22597558573341789</v>
      </c>
      <c r="F171" s="7">
        <f>MAX((1-Parameters!$B$4)^Parameters!B$65*F170 + C170*Parameters!B$65 - IF(C170&gt;0,Parameters!$B$5,0)*C170^2/F170*Parameters!B$65, 0.0001)</f>
        <v>1E-4</v>
      </c>
      <c r="G171" s="7">
        <f>(1-Parameters!$B$4)^Parameters!B$65*G170+D170*Parameters!B$65-Parameters!$B$5*D170^2/G170*Parameters!B$65</f>
        <v>1.3489705317337108</v>
      </c>
      <c r="H171" s="7">
        <f>(1-Parameters!$B$4)^Parameters!B$65*H170+E170*Parameters!B$65-Parameters!$B$5*E170^2/H170*Parameters!B$65</f>
        <v>3.3491688042209584</v>
      </c>
      <c r="I171" s="9">
        <f>I170 *(1-Parameters!$B$4)-C170*(C170&lt;0)*Parameters!B$65</f>
        <v>7.7844744414089302E-6</v>
      </c>
      <c r="J171" s="23">
        <f>J170*(1+Parameters!$B$51)^Parameters!B$65</f>
        <v>13.234714828596154</v>
      </c>
      <c r="K171" s="23">
        <f>K170*(1+Parameters!$B$53)^Parameters!B$65</f>
        <v>246.37971864594684</v>
      </c>
      <c r="L171" s="23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4.918694080195856E-2</v>
      </c>
      <c r="M171" s="8">
        <f>M170+L171*Parameters!B$65</f>
        <v>3206.7764475538806</v>
      </c>
      <c r="N171" s="7">
        <f>M171*Parameters!$B$45</f>
        <v>1.9240658685323282</v>
      </c>
      <c r="O171" s="9">
        <f>EXP(-Parameters!$B$46/2*N171^2)</f>
        <v>0.96347822031891794</v>
      </c>
      <c r="P171" s="8">
        <f>MAX((Parameters!$B$62 + Parameters!$B$31*'6states'!A171 - '6states'!M171 + Parameters!$B$47/Parameters!$B$45)/Parameters!B$62,1)</f>
        <v>160.55247104892237</v>
      </c>
      <c r="Q171" s="8"/>
      <c r="R171" s="8"/>
      <c r="S171" s="7">
        <f>Parameters!B$61*EXP(-Parameters!B$60*A171)+(1-Parameters!B$61)*P171^-Parameters!B$63</f>
        <v>0.3063951135414098</v>
      </c>
      <c r="T171" s="7">
        <f>1-S171/Parameters!$B$12</f>
        <v>0.8468024432292951</v>
      </c>
      <c r="U171" s="7">
        <f t="shared" si="55"/>
        <v>6.5275192442966183</v>
      </c>
      <c r="V171" s="7">
        <f>(Parameters!$B$19*(F171+Parameters!$B$20)^T171+Parameters!$B$18*G171^T171)^(1/T171)</f>
        <v>0.34461268271607781</v>
      </c>
      <c r="W171" s="7">
        <f>(Parameters!$B$10*H171^Parameters!$B$9+Parameters!$B$11*V171^Parameters!$B$9)^(Parameters!$B$7/Parameters!$B$9)*O171</f>
        <v>1.3487434236859797</v>
      </c>
      <c r="X171" s="7">
        <f>W171 - D171 - E171 - LN(1+EXP(Parameters!$B$21*C171))/Parameters!$B$21 - IF(C171&gt;0, 0,Parameters!$B$6*C171^2/F171)</f>
        <v>1.0295075734361836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-0.22717012636279058</v>
      </c>
      <c r="AC171" s="23">
        <f t="shared" si="56"/>
        <v>2.5383344260502486E-2</v>
      </c>
      <c r="AD171" s="23">
        <f t="shared" si="57"/>
        <v>0.32607653158288613</v>
      </c>
      <c r="AE171" s="23">
        <f t="shared" si="58"/>
        <v>4398.6763219525001</v>
      </c>
      <c r="AF171" s="23">
        <f t="shared" si="59"/>
        <v>1123.7010831953223</v>
      </c>
      <c r="AG171" s="23">
        <f t="shared" si="60"/>
        <v>2848.1537062686907</v>
      </c>
      <c r="AH171" s="23">
        <f t="shared" si="61"/>
        <v>4397.9357759075119</v>
      </c>
      <c r="AI171" s="23">
        <f t="shared" si="62"/>
        <v>3356.9825878438414</v>
      </c>
      <c r="AJ171" s="23"/>
      <c r="AK171" s="25">
        <f t="shared" si="53"/>
        <v>4397.9357759075128</v>
      </c>
      <c r="AL171" s="4"/>
      <c r="AM171" s="4"/>
      <c r="AN171" s="4"/>
      <c r="AO171" s="16"/>
      <c r="AP171" s="16"/>
      <c r="AS171" s="21">
        <f>-Y171*W171*X171^(-Parameters!B$52)*Parameters!B$46*Parameters!B$45*N171</f>
        <v>-2.4170537133956781E-6</v>
      </c>
      <c r="AT171" s="7">
        <f>1000*EXP(-(Parameters!$B$54)*'6states'!A171)*AK171*Parameters!B$46*Parameters!B$45*N171</f>
        <v>0.2904772750315387</v>
      </c>
    </row>
    <row r="172" spans="1:57" x14ac:dyDescent="0.25">
      <c r="A172">
        <f>A171+Parameters!$B$65</f>
        <v>168</v>
      </c>
      <c r="B172">
        <v>2193</v>
      </c>
      <c r="C172" s="74">
        <v>-4.400547917790389E-7</v>
      </c>
      <c r="D172" s="69">
        <v>9.09499842522348E-2</v>
      </c>
      <c r="E172" s="75">
        <v>0.22597558573341789</v>
      </c>
      <c r="F172" s="7">
        <f>MAX((1-Parameters!$B$4)^Parameters!B$65*F171 + C171*Parameters!B$65 - IF(C171&gt;0,Parameters!$B$5,0)*C171^2/F171*Parameters!B$65, 0.0001)</f>
        <v>1E-4</v>
      </c>
      <c r="G172" s="7">
        <f>(1-Parameters!$B$4)^Parameters!B$65*G171+D171*Parameters!B$65-Parameters!$B$5*D171^2/G171*Parameters!B$65</f>
        <v>1.3489382603959663</v>
      </c>
      <c r="H172" s="7">
        <f>(1-Parameters!$B$4)^Parameters!B$65*H171+E171*Parameters!B$65-Parameters!$B$5*E171^2/H171*Parameters!B$65</f>
        <v>3.3492346158595021</v>
      </c>
      <c r="I172" s="9">
        <f>I171 *(1-Parameters!$B$4)-C171*(C171&lt;0)*Parameters!B$65</f>
        <v>7.734885790823348E-6</v>
      </c>
      <c r="J172" s="23">
        <f>J171*(1+Parameters!$B$51)^Parameters!B$65</f>
        <v>13.273095501599082</v>
      </c>
      <c r="K172" s="23">
        <f>K171*(1+Parameters!$B$53)^Parameters!B$65</f>
        <v>251.30731301886578</v>
      </c>
      <c r="L172" s="23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4.9823056055810541E-2</v>
      </c>
      <c r="M172" s="8">
        <f>M171+L172*Parameters!B$65</f>
        <v>3206.8262706099363</v>
      </c>
      <c r="N172" s="7">
        <f>M172*Parameters!$B$45</f>
        <v>1.9240957623659616</v>
      </c>
      <c r="O172" s="9">
        <f>EXP(-Parameters!$B$46/2*N172^2)</f>
        <v>0.96347710642808271</v>
      </c>
      <c r="P172" s="8">
        <f>MAX((Parameters!$B$62 + Parameters!$B$31*'6states'!A172 - '6states'!M172 + Parameters!$B$47/Parameters!$B$45)/Parameters!B$62,1)</f>
        <v>161.61547458780129</v>
      </c>
      <c r="Q172" s="8"/>
      <c r="R172" s="8"/>
      <c r="S172" s="7">
        <f>Parameters!B$61*EXP(-Parameters!B$60*A172)+(1-Parameters!B$61)*P172^-Parameters!B$63</f>
        <v>0.30604997958842739</v>
      </c>
      <c r="T172" s="7">
        <f>1-S172/Parameters!$B$12</f>
        <v>0.84697501020578625</v>
      </c>
      <c r="U172" s="7">
        <f t="shared" si="55"/>
        <v>6.534880357416057</v>
      </c>
      <c r="V172" s="7">
        <f>(Parameters!$B$19*(F172+Parameters!$B$20)^T172+Parameters!$B$18*G172^T172)^(1/T172)</f>
        <v>0.34468851678376899</v>
      </c>
      <c r="W172" s="7">
        <f>(Parameters!$B$10*H172^Parameters!$B$9+Parameters!$B$11*V172^Parameters!$B$9)^(Parameters!$B$7/Parameters!$B$9)*O172</f>
        <v>1.3487737435844798</v>
      </c>
      <c r="X172" s="7">
        <f>W172 - D172 - E172 - LN(1+EXP(Parameters!$B$21*C172))/Parameters!$B$21 - IF(C172&gt;0, 0,Parameters!$B$6*C172^2/F172)</f>
        <v>1.0295378933346837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-0.22376331963280308</v>
      </c>
      <c r="AC172" s="23">
        <f t="shared" si="56"/>
        <v>2.5800685887525428E-2</v>
      </c>
      <c r="AD172" s="23">
        <f t="shared" si="57"/>
        <v>0.33356259659496601</v>
      </c>
      <c r="AE172" s="23">
        <f t="shared" si="58"/>
        <v>4499.5534878397493</v>
      </c>
      <c r="AF172" s="23">
        <f t="shared" si="59"/>
        <v>1149.7519667486151</v>
      </c>
      <c r="AG172" s="23">
        <f t="shared" si="60"/>
        <v>2914.1827611957369</v>
      </c>
      <c r="AH172" s="23">
        <f t="shared" si="61"/>
        <v>4499.0047212915188</v>
      </c>
      <c r="AI172" s="23">
        <f t="shared" si="62"/>
        <v>3434.1533299362823</v>
      </c>
      <c r="AJ172" s="23"/>
      <c r="AK172" s="25">
        <f t="shared" si="53"/>
        <v>4499.0047212915188</v>
      </c>
      <c r="AL172" s="4"/>
      <c r="AM172" s="4"/>
      <c r="AN172" s="4"/>
      <c r="AO172" s="16"/>
      <c r="AP172" s="16"/>
      <c r="AS172" s="21">
        <f>-Y172*W172*X172^(-Parameters!B$52)*Parameters!B$46*Parameters!B$45*N172</f>
        <v>-2.3808262304386769E-6</v>
      </c>
      <c r="AT172" s="7">
        <f>1000*EXP(-(Parameters!$B$54)*'6states'!A172)*AK172*Parameters!B$46*Parameters!B$45*N172</f>
        <v>0.28690805342638953</v>
      </c>
    </row>
    <row r="173" spans="1:57" x14ac:dyDescent="0.25">
      <c r="A173">
        <f>A172+Parameters!$B$65</f>
        <v>169</v>
      </c>
      <c r="B173">
        <v>2194</v>
      </c>
      <c r="C173" s="74">
        <v>-4.400547917790389E-7</v>
      </c>
      <c r="D173" s="69">
        <v>9.09499842522348E-2</v>
      </c>
      <c r="E173" s="75">
        <v>0.22597558573341789</v>
      </c>
      <c r="F173" s="7">
        <f>MAX((1-Parameters!$B$4)^Parameters!B$65*F172 + C172*Parameters!B$65 - IF(C172&gt;0,Parameters!$B$5,0)*C172^2/F172*Parameters!B$65, 0.0001)</f>
        <v>1E-4</v>
      </c>
      <c r="G173" s="7">
        <f>(1-Parameters!$B$4)^Parameters!B$65*G172+D172*Parameters!B$65-Parameters!$B$5*D172^2/G172*Parameters!B$65</f>
        <v>1.3489078722261849</v>
      </c>
      <c r="H173" s="7">
        <f>(1-Parameters!$B$4)^Parameters!B$65*H172+E172*Parameters!B$65-Parameters!$B$5*E172^2/H172*Parameters!B$65</f>
        <v>3.3492965875468976</v>
      </c>
      <c r="I173" s="9">
        <f>I172 *(1-Parameters!$B$4)-C172*(C172&lt;0)*Parameters!B$65</f>
        <v>7.688416266359598E-6</v>
      </c>
      <c r="J173" s="23">
        <f>J172*(1+Parameters!$B$51)^Parameters!B$65</f>
        <v>13.311587478553719</v>
      </c>
      <c r="K173" s="23">
        <f>K172*(1+Parameters!$B$53)^Parameters!B$65</f>
        <v>256.33345927924313</v>
      </c>
      <c r="L173" s="23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5.0467050431656238E-2</v>
      </c>
      <c r="M173" s="8">
        <f>M172+L173*Parameters!B$65</f>
        <v>3206.8767376603678</v>
      </c>
      <c r="N173" s="7">
        <f>M173*Parameters!$B$45</f>
        <v>1.9241260425962206</v>
      </c>
      <c r="O173" s="9">
        <f>EXP(-Parameters!$B$46/2*N173^2)</f>
        <v>0.96347597812317654</v>
      </c>
      <c r="P173" s="8">
        <f>MAX((Parameters!$B$62 + Parameters!$B$31*'6states'!A173 - '6states'!M173 + Parameters!$B$47/Parameters!$B$45)/Parameters!B$62,1)</f>
        <v>162.67846524679265</v>
      </c>
      <c r="Q173" s="8"/>
      <c r="R173" s="8"/>
      <c r="S173" s="7">
        <f>Parameters!B$61*EXP(-Parameters!B$60*A173)+(1-Parameters!B$61)*P173^-Parameters!B$63</f>
        <v>0.30571018526363791</v>
      </c>
      <c r="T173" s="7">
        <f>1-S173/Parameters!$B$12</f>
        <v>0.84714490736818104</v>
      </c>
      <c r="U173" s="7">
        <f t="shared" si="55"/>
        <v>6.5421438225070681</v>
      </c>
      <c r="V173" s="7">
        <f>(Parameters!$B$19*(F173+Parameters!$B$20)^T173+Parameters!$B$18*G173^T173)^(1/T173)</f>
        <v>0.34476351082552487</v>
      </c>
      <c r="W173" s="7">
        <f>(Parameters!$B$10*H173^Parameters!$B$9+Parameters!$B$11*V173^Parameters!$B$9)^(Parameters!$B$7/Parameters!$B$9)*O173</f>
        <v>1.3488034067404462</v>
      </c>
      <c r="X173" s="7">
        <f>W173 - D173 - E173 - LN(1+EXP(Parameters!$B$21*C173))/Parameters!$B$21 - IF(C173&gt;0, 0,Parameters!$B$6*C173^2/F173)</f>
        <v>1.0295675564906501</v>
      </c>
      <c r="Y173" s="7">
        <f>EXP(-Parameters!$B$55*A173)</f>
        <v>7.79334516839401E-2</v>
      </c>
      <c r="Z173" s="7">
        <f>IF(X173&gt;0,X173^(1-Parameters!$B$52)/(1-Parameters!$B$52)*Y173*Parameters!$B$65,-10+X173*1000)</f>
        <v>-0.22040765310353297</v>
      </c>
      <c r="AC173" s="23">
        <f t="shared" si="56"/>
        <v>2.6234454478006812E-2</v>
      </c>
      <c r="AD173" s="23">
        <f t="shared" si="57"/>
        <v>0.34122052668759323</v>
      </c>
      <c r="AE173" s="23">
        <f t="shared" si="58"/>
        <v>4602.7505461405954</v>
      </c>
      <c r="AF173" s="23">
        <f t="shared" si="59"/>
        <v>1176.4038674654935</v>
      </c>
      <c r="AG173" s="23">
        <f t="shared" si="60"/>
        <v>2981.7351654258991</v>
      </c>
      <c r="AH173" s="23">
        <f t="shared" si="61"/>
        <v>4602.3940884599506</v>
      </c>
      <c r="AI173" s="23">
        <f t="shared" si="62"/>
        <v>3513.0958388619806</v>
      </c>
      <c r="AJ173" s="23"/>
      <c r="AK173" s="25">
        <f t="shared" si="53"/>
        <v>4602.3940884599515</v>
      </c>
      <c r="AL173" s="4"/>
      <c r="AM173" s="4"/>
      <c r="AN173" s="4"/>
      <c r="AO173" s="16"/>
      <c r="AP173" s="16"/>
      <c r="AS173" s="21">
        <f>-Y173*W173*X173^(-Parameters!B$52)*Parameters!B$46*Parameters!B$45*N173</f>
        <v>-2.3451430847846865E-6</v>
      </c>
      <c r="AT173" s="7">
        <f>1000*EXP(-(Parameters!$B$54)*'6states'!A173)*AK173*Parameters!B$46*Parameters!B$45*N173</f>
        <v>0.28338260712687724</v>
      </c>
    </row>
    <row r="174" spans="1:57" x14ac:dyDescent="0.25">
      <c r="A174">
        <f>A173+Parameters!$B$65</f>
        <v>170</v>
      </c>
      <c r="B174">
        <v>2195</v>
      </c>
      <c r="C174" s="74">
        <v>-4.400547917790389E-7</v>
      </c>
      <c r="D174" s="69">
        <v>9.09499842522348E-2</v>
      </c>
      <c r="E174" s="75">
        <v>0.22597558573341789</v>
      </c>
      <c r="F174" s="7">
        <f>MAX((1-Parameters!$B$4)^Parameters!B$65*F173 + C173*Parameters!B$65 - IF(C173&gt;0,Parameters!$B$5,0)*C173^2/F173*Parameters!B$65, 0.0001)</f>
        <v>1E-4</v>
      </c>
      <c r="G174" s="7">
        <f>(1-Parameters!$B$4)^Parameters!B$65*G173+D173*Parameters!B$65-Parameters!$B$5*D173^2/G173*Parameters!B$65</f>
        <v>1.3488792573271975</v>
      </c>
      <c r="H174" s="7">
        <f>(1-Parameters!$B$4)^Parameters!B$65*H173+E173*Parameters!B$65-Parameters!$B$5*E173^2/H173*Parameters!B$65</f>
        <v>3.3493549433243142</v>
      </c>
      <c r="I174" s="9">
        <f>I173 *(1-Parameters!$B$4)-C173*(C173&lt;0)*Parameters!B$65</f>
        <v>7.6448696749846184E-6</v>
      </c>
      <c r="J174" s="23">
        <f>J173*(1+Parameters!$B$51)^Parameters!B$65</f>
        <v>13.350191082241523</v>
      </c>
      <c r="K174" s="23">
        <f>K173*(1+Parameters!$B$53)^Parameters!B$65</f>
        <v>261.46012846482802</v>
      </c>
      <c r="L174" s="23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5.1119024820003037E-2</v>
      </c>
      <c r="M174" s="8">
        <f>M173+L174*Parameters!B$65</f>
        <v>3206.9278566851876</v>
      </c>
      <c r="N174" s="7">
        <f>M174*Parameters!$B$45</f>
        <v>1.9241567140111124</v>
      </c>
      <c r="O174" s="9">
        <f>EXP(-Parameters!$B$46/2*N174^2)</f>
        <v>0.96347483522515542</v>
      </c>
      <c r="P174" s="8">
        <f>MAX((Parameters!$B$62 + Parameters!$B$31*'6states'!A174 - '6states'!M174 + Parameters!$B$47/Parameters!$B$45)/Parameters!B$62,1)</f>
        <v>163.74144286629624</v>
      </c>
      <c r="Q174" s="8"/>
      <c r="R174" s="8"/>
      <c r="S174" s="7">
        <f>Parameters!B$61*EXP(-Parameters!B$60*A174)+(1-Parameters!B$61)*P174^-Parameters!B$63</f>
        <v>0.30537560692089211</v>
      </c>
      <c r="T174" s="7">
        <f>1-S174/Parameters!$B$12</f>
        <v>0.84731219653955392</v>
      </c>
      <c r="U174" s="7">
        <f t="shared" si="55"/>
        <v>6.549311584399411</v>
      </c>
      <c r="V174" s="7">
        <f>(Parameters!$B$19*(F174+Parameters!$B$20)^T174+Parameters!$B$18*G174^T174)^(1/T174)</f>
        <v>0.34483766838697344</v>
      </c>
      <c r="W174" s="7">
        <f>(Parameters!$B$10*H174^Parameters!$B$9+Parameters!$B$11*V174^Parameters!$B$9)^(Parameters!$B$7/Parameters!$B$9)*O174</f>
        <v>1.3488324336599578</v>
      </c>
      <c r="X174" s="7">
        <f>W174 - D174 - E174 - LN(1+EXP(Parameters!$B$21*C174))/Parameters!$B$21 - IF(C174&gt;0, 0,Parameters!$B$6*C174^2/F174)</f>
        <v>1.0295965834101617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-0.21710235684425808</v>
      </c>
      <c r="AC174" s="23">
        <f t="shared" si="56"/>
        <v>2.668474384835063E-2</v>
      </c>
      <c r="AD174" s="23">
        <f t="shared" si="57"/>
        <v>0.34905426753928698</v>
      </c>
      <c r="AE174" s="23">
        <f t="shared" si="58"/>
        <v>4708.3206116528236</v>
      </c>
      <c r="AF174" s="23">
        <f t="shared" si="59"/>
        <v>1203.6705975877055</v>
      </c>
      <c r="AG174" s="23">
        <f t="shared" si="60"/>
        <v>3050.8459277245129</v>
      </c>
      <c r="AH174" s="23">
        <f t="shared" si="61"/>
        <v>4708.1571716441049</v>
      </c>
      <c r="AI174" s="23">
        <f t="shared" si="62"/>
        <v>3593.8508128318635</v>
      </c>
      <c r="AJ174" s="23"/>
      <c r="AK174" s="25">
        <f t="shared" si="53"/>
        <v>4708.1571716441049</v>
      </c>
      <c r="AL174" s="4"/>
      <c r="AM174" s="4"/>
      <c r="AN174" s="4"/>
      <c r="AO174" s="16"/>
      <c r="AP174" s="16"/>
      <c r="AS174" s="21">
        <f>-Y174*W174*X174^(-Parameters!B$52)*Parameters!B$46*Parameters!B$45*N174</f>
        <v>-2.3099960559365615E-6</v>
      </c>
      <c r="AT174" s="7">
        <f>1000*EXP(-(Parameters!$B$54)*'6states'!A174)*AK174*Parameters!B$46*Parameters!B$45*N174</f>
        <v>0.27990040520238535</v>
      </c>
    </row>
    <row r="175" spans="1:57" x14ac:dyDescent="0.25">
      <c r="A175">
        <f>A174+Parameters!$B$65</f>
        <v>171</v>
      </c>
      <c r="B175">
        <v>2196</v>
      </c>
      <c r="C175" s="74">
        <v>-4.400547917790389E-7</v>
      </c>
      <c r="D175" s="69">
        <v>9.09499842522348E-2</v>
      </c>
      <c r="E175" s="75">
        <v>0.22597558573341789</v>
      </c>
      <c r="F175" s="7">
        <f>MAX((1-Parameters!$B$4)^Parameters!B$65*F174 + C174*Parameters!B$65 - IF(C174&gt;0,Parameters!$B$5,0)*C174^2/F174*Parameters!B$65, 0.0001)</f>
        <v>1E-4</v>
      </c>
      <c r="G175" s="7">
        <f>(1-Parameters!$B$4)^Parameters!B$65*G174+D174*Parameters!B$65-Parameters!$B$5*D174^2/G174*Parameters!B$65</f>
        <v>1.3488523122158973</v>
      </c>
      <c r="H175" s="7">
        <f>(1-Parameters!$B$4)^Parameters!B$65*H174+E174*Parameters!B$65-Parameters!$B$5*E174^2/H174*Parameters!B$65</f>
        <v>3.3494098941625046</v>
      </c>
      <c r="I175" s="9">
        <f>I174 *(1-Parameters!$B$4)-C174*(C174&lt;0)*Parameters!B$65</f>
        <v>7.6040621642071251E-6</v>
      </c>
      <c r="J175" s="23">
        <f>J174*(1+Parameters!$B$51)^Parameters!B$65</f>
        <v>13.388906636380021</v>
      </c>
      <c r="K175" s="23">
        <f>K174*(1+Parameters!$B$53)^Parameters!B$65</f>
        <v>266.68933103412456</v>
      </c>
      <c r="L175" s="23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5.1779082437131675E-2</v>
      </c>
      <c r="M175" s="8">
        <f>M174+L175*Parameters!B$65</f>
        <v>3206.9796357676246</v>
      </c>
      <c r="N175" s="7">
        <f>M175*Parameters!$B$45</f>
        <v>1.9241877814605746</v>
      </c>
      <c r="O175" s="9">
        <f>EXP(-Parameters!$B$46/2*N175^2)</f>
        <v>0.96347367755264868</v>
      </c>
      <c r="P175" s="8">
        <f>MAX((Parameters!$B$62 + Parameters!$B$31*'6states'!A175 - '6states'!M175 + Parameters!$B$47/Parameters!$B$45)/Parameters!B$62,1)</f>
        <v>164.80440728464754</v>
      </c>
      <c r="Q175" s="8"/>
      <c r="R175" s="8"/>
      <c r="S175" s="7">
        <f>Parameters!B$61*EXP(-Parameters!B$60*A175)+(1-Parameters!B$61)*P175^-Parameters!B$63</f>
        <v>0.30504612407932785</v>
      </c>
      <c r="T175" s="7">
        <f>1-S175/Parameters!$B$12</f>
        <v>0.84747693796033607</v>
      </c>
      <c r="U175" s="7">
        <f t="shared" si="55"/>
        <v>6.5563855500091393</v>
      </c>
      <c r="V175" s="7">
        <f>(Parameters!$B$19*(F175+Parameters!$B$20)^T175+Parameters!$B$18*G175^T175)^(1/T175)</f>
        <v>0.34491099377788315</v>
      </c>
      <c r="W175" s="7">
        <f>(Parameters!$B$10*H175^Parameters!$B$9+Parameters!$B$11*V175^Parameters!$B$9)^(Parameters!$B$7/Parameters!$B$9)*O175</f>
        <v>1.3488608440054566</v>
      </c>
      <c r="X175" s="7">
        <f>W175 - D175 - E175 - LN(1+EXP(Parameters!$B$21*C175))/Parameters!$B$21 - IF(C175&gt;0, 0,Parameters!$B$6*C175^2/F175)</f>
        <v>1.0296249937556605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-0.21384667263382232</v>
      </c>
      <c r="AC175" s="23">
        <f t="shared" si="56"/>
        <v>2.7151661694040249E-2</v>
      </c>
      <c r="AD175" s="23">
        <f t="shared" si="57"/>
        <v>0.35706785541345387</v>
      </c>
      <c r="AE175" s="23">
        <f t="shared" si="58"/>
        <v>4816.3180239240901</v>
      </c>
      <c r="AF175" s="23">
        <f t="shared" si="59"/>
        <v>1231.5662885679187</v>
      </c>
      <c r="AG175" s="23">
        <f t="shared" si="60"/>
        <v>3121.5508659348552</v>
      </c>
      <c r="AH175" s="23">
        <f t="shared" si="61"/>
        <v>4816.3484882020975</v>
      </c>
      <c r="AI175" s="23">
        <f t="shared" si="62"/>
        <v>3676.4598840042454</v>
      </c>
      <c r="AJ175" s="23"/>
      <c r="AK175" s="25">
        <f t="shared" si="53"/>
        <v>4816.3484882020975</v>
      </c>
      <c r="AL175" s="4"/>
      <c r="AM175" s="4"/>
      <c r="AN175" s="4"/>
      <c r="AO175" s="16"/>
      <c r="AP175" s="16"/>
      <c r="AS175" s="21">
        <f>-Y175*W175*X175^(-Parameters!B$52)*Parameters!B$46*Parameters!B$45*N175</f>
        <v>-2.275377049652754E-6</v>
      </c>
      <c r="AT175" s="7">
        <f>1000*EXP(-(Parameters!$B$54)*'6states'!A175)*AK175*Parameters!B$46*Parameters!B$45*N175</f>
        <v>0.27646092286189838</v>
      </c>
    </row>
    <row r="176" spans="1:57" x14ac:dyDescent="0.25">
      <c r="A176">
        <f>A175+Parameters!$B$65</f>
        <v>172</v>
      </c>
      <c r="B176">
        <v>2197</v>
      </c>
      <c r="C176" s="74">
        <v>-4.400547917790389E-7</v>
      </c>
      <c r="D176" s="69">
        <v>9.09499842522348E-2</v>
      </c>
      <c r="E176" s="75">
        <v>0.22597558573341789</v>
      </c>
      <c r="F176" s="7">
        <f>MAX((1-Parameters!$B$4)^Parameters!B$65*F175 + C175*Parameters!B$65 - IF(C175&gt;0,Parameters!$B$5,0)*C175^2/F175*Parameters!B$65, 0.0001)</f>
        <v>1E-4</v>
      </c>
      <c r="G176" s="7">
        <f>(1-Parameters!$B$4)^Parameters!B$65*G175+D175*Parameters!B$65-Parameters!$B$5*D175^2/G175*Parameters!B$65</f>
        <v>1.3488269394488055</v>
      </c>
      <c r="H176" s="7">
        <f>(1-Parameters!$B$4)^Parameters!B$65*H175+E175*Parameters!B$65-Parameters!$B$5*E175^2/H175*Parameters!B$65</f>
        <v>3.3494616387241862</v>
      </c>
      <c r="I176" s="9">
        <f>I175 *(1-Parameters!$B$4)-C175*(C175&lt;0)*Parameters!B$65</f>
        <v>7.5658214458575355E-6</v>
      </c>
      <c r="J176" s="23">
        <f>J175*(1+Parameters!$B$51)^Parameters!B$65</f>
        <v>13.427734465625521</v>
      </c>
      <c r="K176" s="23">
        <f>K175*(1+Parameters!$B$53)^Parameters!B$65</f>
        <v>272.02311765480704</v>
      </c>
      <c r="L176" s="23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5.2447328735488359E-2</v>
      </c>
      <c r="M176" s="8">
        <f>M175+L176*Parameters!B$65</f>
        <v>3207.0320830963601</v>
      </c>
      <c r="N176" s="7">
        <f>M176*Parameters!$B$45</f>
        <v>1.9242192498578159</v>
      </c>
      <c r="O176" s="9">
        <f>EXP(-Parameters!$B$46/2*N176^2)</f>
        <v>0.96347250492190861</v>
      </c>
      <c r="P176" s="8">
        <f>MAX((Parameters!$B$62 + Parameters!$B$31*'6states'!A176 - '6states'!M176 + Parameters!$B$47/Parameters!$B$45)/Parameters!B$62,1)</f>
        <v>165.86735833807282</v>
      </c>
      <c r="Q176" s="8"/>
      <c r="R176" s="8"/>
      <c r="S176" s="7">
        <f>Parameters!B$61*EXP(-Parameters!B$60*A176)+(1-Parameters!B$61)*P176^-Parameters!B$63</f>
        <v>0.30472161933916486</v>
      </c>
      <c r="T176" s="7">
        <f>1-S176/Parameters!$B$12</f>
        <v>0.84763919033041757</v>
      </c>
      <c r="U176" s="7">
        <f t="shared" si="55"/>
        <v>6.5633675888744092</v>
      </c>
      <c r="V176" s="7">
        <f>(Parameters!$B$19*(F176+Parameters!$B$20)^T176+Parameters!$B$18*G176^T176)^(1/T176)</f>
        <v>0.34498349200415712</v>
      </c>
      <c r="W176" s="7">
        <f>(Parameters!$B$10*H176^Parameters!$B$9+Parameters!$B$11*V176^Parameters!$B$9)^(Parameters!$B$7/Parameters!$B$9)*O176</f>
        <v>1.3488886566347826</v>
      </c>
      <c r="X176" s="7">
        <f>W176 - D176 - E176 - LN(1+EXP(Parameters!$B$21*C176))/Parameters!$B$21 - IF(C176&gt;0, 0,Parameters!$B$6*C176^2/F176)</f>
        <v>1.0296528063849866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-0.21063985377580788</v>
      </c>
      <c r="AC176" s="23">
        <f t="shared" si="56"/>
        <v>2.7635329423012753E-2</v>
      </c>
      <c r="AD176" s="23">
        <f t="shared" si="57"/>
        <v>0.36526541923803585</v>
      </c>
      <c r="AE176" s="23">
        <f t="shared" si="58"/>
        <v>4926.7983751732481</v>
      </c>
      <c r="AF176" s="23">
        <f t="shared" si="59"/>
        <v>1260.1053983710003</v>
      </c>
      <c r="AG176" s="23">
        <f t="shared" si="60"/>
        <v>3193.8866254841118</v>
      </c>
      <c r="AH176" s="23">
        <f t="shared" si="61"/>
        <v>4927.0238067113487</v>
      </c>
      <c r="AI176" s="23">
        <f t="shared" si="62"/>
        <v>3760.965639938323</v>
      </c>
      <c r="AJ176" s="23"/>
      <c r="AK176" s="25">
        <f t="shared" si="53"/>
        <v>4927.0238067113487</v>
      </c>
      <c r="AL176" s="4"/>
      <c r="AM176" s="4"/>
      <c r="AN176" s="4"/>
      <c r="AO176" s="16"/>
      <c r="AP176" s="16"/>
      <c r="AS176" s="21">
        <f>-Y176*W176*X176^(-Parameters!B$52)*Parameters!B$46*Parameters!B$45*N176</f>
        <v>-2.241278095888775E-6</v>
      </c>
      <c r="AT176" s="7">
        <f>1000*EXP(-(Parameters!$B$54)*'6states'!A176)*AK176*Parameters!B$46*Parameters!B$45*N176</f>
        <v>0.27306364139985939</v>
      </c>
    </row>
    <row r="177" spans="1:46" x14ac:dyDescent="0.25">
      <c r="A177">
        <f>A176+Parameters!$B$65</f>
        <v>173</v>
      </c>
      <c r="B177">
        <v>2198</v>
      </c>
      <c r="C177" s="74">
        <v>-4.400547917790389E-7</v>
      </c>
      <c r="D177" s="69">
        <v>9.09499842522348E-2</v>
      </c>
      <c r="E177" s="75">
        <v>0.22597558573341789</v>
      </c>
      <c r="F177" s="7">
        <f>MAX((1-Parameters!$B$4)^Parameters!B$65*F176 + C176*Parameters!B$65 - IF(C176&gt;0,Parameters!$B$5,0)*C176^2/F176*Parameters!B$65, 0.0001)</f>
        <v>1E-4</v>
      </c>
      <c r="G177" s="7">
        <f>(1-Parameters!$B$4)^Parameters!B$65*G176+D176*Parameters!B$65-Parameters!$B$5*D176^2/G176*Parameters!B$65</f>
        <v>1.348803047269505</v>
      </c>
      <c r="H177" s="7">
        <f>(1-Parameters!$B$4)^Parameters!B$65*H176+E176*Parameters!B$65-Parameters!$B$5*E176^2/H176*Parameters!B$65</f>
        <v>3.3495103640819699</v>
      </c>
      <c r="I177" s="9">
        <f>I176 *(1-Parameters!$B$4)-C176*(C176&lt;0)*Parameters!B$65</f>
        <v>7.5299860686921349E-6</v>
      </c>
      <c r="J177" s="23">
        <f>J176*(1+Parameters!$B$51)^Parameters!B$65</f>
        <v>13.466674895575833</v>
      </c>
      <c r="K177" s="23">
        <f>K176*(1+Parameters!$B$53)^Parameters!B$65</f>
        <v>277.4635800079032</v>
      </c>
      <c r="L177" s="23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5.3123871319644876E-2</v>
      </c>
      <c r="M177" s="8">
        <f>M176+L177*Parameters!B$65</f>
        <v>3207.0852069676798</v>
      </c>
      <c r="N177" s="7">
        <f>M177*Parameters!$B$45</f>
        <v>1.9242511241806077</v>
      </c>
      <c r="O177" s="9">
        <f>EXP(-Parameters!$B$46/2*N177^2)</f>
        <v>0.96347131714676226</v>
      </c>
      <c r="P177" s="8">
        <f>MAX((Parameters!$B$62 + Parameters!$B$31*'6states'!A177 - '6states'!M177 + Parameters!$B$47/Parameters!$B$45)/Parameters!B$62,1)</f>
        <v>166.9302958606464</v>
      </c>
      <c r="Q177" s="8"/>
      <c r="R177" s="8"/>
      <c r="S177" s="7">
        <f>Parameters!B$61*EXP(-Parameters!B$60*A177)+(1-Parameters!B$61)*P177^-Parameters!B$63</f>
        <v>0.30440197829980353</v>
      </c>
      <c r="T177" s="7">
        <f>1-S177/Parameters!$B$12</f>
        <v>0.84779901085009823</v>
      </c>
      <c r="U177" s="7">
        <f t="shared" si="55"/>
        <v>6.57025953369532</v>
      </c>
      <c r="V177" s="7">
        <f>(Parameters!$B$19*(F177+Parameters!$B$20)^T177+Parameters!$B$18*G177^T177)^(1/T177)</f>
        <v>0.34505516870434988</v>
      </c>
      <c r="W177" s="7">
        <f>(Parameters!$B$10*H177^Parameters!$B$9+Parameters!$B$11*V177^Parameters!$B$9)^(Parameters!$B$7/Parameters!$B$9)*O177</f>
        <v>1.348915889638201</v>
      </c>
      <c r="X177" s="7">
        <f>W177 - D177 - E177 - LN(1+EXP(Parameters!$B$21*C177))/Parameters!$B$21 - IF(C177&gt;0, 0,Parameters!$B$6*C177^2/F177)</f>
        <v>1.0296800393884049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-0.20748116491703436</v>
      </c>
      <c r="AC177" s="23">
        <f t="shared" si="56"/>
        <v>2.8135882005290963E-2</v>
      </c>
      <c r="AD177" s="23">
        <f t="shared" si="57"/>
        <v>0.37365118273290271</v>
      </c>
      <c r="AE177" s="23">
        <f t="shared" si="58"/>
        <v>5039.8185388599377</v>
      </c>
      <c r="AF177" s="23">
        <f t="shared" si="59"/>
        <v>1289.3027189448158</v>
      </c>
      <c r="AG177" s="23">
        <f t="shared" si="60"/>
        <v>3267.8906983189981</v>
      </c>
      <c r="AH177" s="23">
        <f t="shared" si="61"/>
        <v>5040.2401757051939</v>
      </c>
      <c r="AI177" s="23">
        <f t="shared" si="62"/>
        <v>3847.4116455393928</v>
      </c>
      <c r="AJ177" s="23"/>
      <c r="AK177" s="25">
        <f t="shared" si="53"/>
        <v>5040.2401757051939</v>
      </c>
      <c r="AL177" s="4"/>
      <c r="AM177" s="4"/>
      <c r="AN177" s="4"/>
      <c r="AO177" s="16"/>
      <c r="AP177" s="16"/>
      <c r="AS177" s="21">
        <f>-Y177*W177*X177^(-Parameters!B$52)*Parameters!B$46*Parameters!B$45*N177</f>
        <v>-2.2076913467793675E-6</v>
      </c>
      <c r="AT177" s="7">
        <f>1000*EXP(-(Parameters!$B$54)*'6states'!A177)*AK177*Parameters!B$46*Parameters!B$45*N177</f>
        <v>0.26970804814143795</v>
      </c>
    </row>
    <row r="178" spans="1:46" x14ac:dyDescent="0.25">
      <c r="A178">
        <f>A177+Parameters!$B$65</f>
        <v>174</v>
      </c>
      <c r="B178">
        <v>2199</v>
      </c>
      <c r="C178" s="74">
        <v>-4.400547917790389E-7</v>
      </c>
      <c r="D178" s="69">
        <v>9.09499842522348E-2</v>
      </c>
      <c r="E178" s="75">
        <v>0.22597558573341789</v>
      </c>
      <c r="F178" s="7">
        <f>MAX((1-Parameters!$B$4)^Parameters!B$65*F177 + C177*Parameters!B$65 - IF(C177&gt;0,Parameters!$B$5,0)*C177^2/F177*Parameters!B$65, 0.0001)</f>
        <v>1E-4</v>
      </c>
      <c r="G178" s="7">
        <f>(1-Parameters!$B$4)^Parameters!B$65*G177+D177*Parameters!B$65-Parameters!$B$5*D177^2/G177*Parameters!B$65</f>
        <v>1.3487805492766634</v>
      </c>
      <c r="H178" s="7">
        <f>(1-Parameters!$B$4)^Parameters!B$65*H177+E177*Parameters!B$65-Parameters!$B$5*E177^2/H177*Parameters!B$65</f>
        <v>3.3495562463944246</v>
      </c>
      <c r="I178" s="9">
        <f>I177 *(1-Parameters!$B$4)-C177*(C177&lt;0)*Parameters!B$65</f>
        <v>7.4964047367504392E-6</v>
      </c>
      <c r="J178" s="23">
        <f>J177*(1+Parameters!$B$51)^Parameters!B$65</f>
        <v>13.505728252773002</v>
      </c>
      <c r="K178" s="23">
        <f>K177*(1+Parameters!$B$53)^Parameters!B$65</f>
        <v>283.01285160806128</v>
      </c>
      <c r="L178" s="23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5.3808819868317911E-2</v>
      </c>
      <c r="M178" s="8">
        <f>M177+L178*Parameters!B$65</f>
        <v>3207.139015787548</v>
      </c>
      <c r="N178" s="7">
        <f>M178*Parameters!$B$45</f>
        <v>1.9242834094725287</v>
      </c>
      <c r="O178" s="9">
        <f>EXP(-Parameters!$B$46/2*N178^2)</f>
        <v>0.96347011403856386</v>
      </c>
      <c r="P178" s="8">
        <f>MAX((Parameters!$B$62 + Parameters!$B$31*'6states'!A178 - '6states'!M178 + Parameters!$B$47/Parameters!$B$45)/Parameters!B$62,1)</f>
        <v>167.99321968424906</v>
      </c>
      <c r="Q178" s="8"/>
      <c r="R178" s="8"/>
      <c r="S178" s="7">
        <f>Parameters!B$61*EXP(-Parameters!B$60*A178)+(1-Parameters!B$61)*P178^-Parameters!B$63</f>
        <v>0.30408708948016377</v>
      </c>
      <c r="T178" s="7">
        <f>1-S178/Parameters!$B$12</f>
        <v>0.84795645525991814</v>
      </c>
      <c r="U178" s="7">
        <f t="shared" si="55"/>
        <v>6.5770631808768867</v>
      </c>
      <c r="V178" s="7">
        <f>(Parameters!$B$19*(F178+Parameters!$B$20)^T178+Parameters!$B$18*G178^T178)^(1/T178)</f>
        <v>0.34512603009043435</v>
      </c>
      <c r="W178" s="7">
        <f>(Parameters!$B$10*H178^Parameters!$B$9+Parameters!$B$11*V178^Parameters!$B$9)^(Parameters!$B$7/Parameters!$B$9)*O178</f>
        <v>1.3489425603735425</v>
      </c>
      <c r="X178" s="7">
        <f>W178 - D178 - E178 - LN(1+EXP(Parameters!$B$21*C178))/Parameters!$B$21 - IF(C178&gt;0, 0,Parameters!$B$6*C178^2/F178)</f>
        <v>1.0297067101237465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-0.20436988186930052</v>
      </c>
      <c r="AC178" s="23">
        <f t="shared" si="56"/>
        <v>2.8653467838415186E-2</v>
      </c>
      <c r="AD178" s="23">
        <f t="shared" si="57"/>
        <v>0.38222946658608464</v>
      </c>
      <c r="AE178" s="23">
        <f t="shared" si="58"/>
        <v>5155.436698917053</v>
      </c>
      <c r="AF178" s="23">
        <f t="shared" si="59"/>
        <v>1319.173383864397</v>
      </c>
      <c r="AG178" s="23">
        <f t="shared" si="60"/>
        <v>3343.6014422808134</v>
      </c>
      <c r="AH178" s="23">
        <f t="shared" si="61"/>
        <v>5156.0559530684641</v>
      </c>
      <c r="AI178" s="23">
        <f t="shared" si="62"/>
        <v>3935.8424655071171</v>
      </c>
      <c r="AJ178" s="23"/>
      <c r="AK178" s="25">
        <f t="shared" si="53"/>
        <v>5156.0559530684641</v>
      </c>
      <c r="AL178" s="4"/>
      <c r="AM178" s="4"/>
      <c r="AN178" s="4"/>
      <c r="AO178" s="16"/>
      <c r="AP178" s="16"/>
      <c r="AS178" s="21">
        <f>-Y178*W178*X178^(-Parameters!B$52)*Parameters!B$46*Parameters!B$45*N178</f>
        <v>-2.1746090746601466E-6</v>
      </c>
      <c r="AT178" s="7">
        <f>1000*EXP(-(Parameters!$B$54)*'6states'!A178)*AK178*Parameters!B$46*Parameters!B$45*N178</f>
        <v>0.26639363638729247</v>
      </c>
    </row>
    <row r="179" spans="1:46" x14ac:dyDescent="0.25">
      <c r="A179">
        <f>A178+Parameters!$B$65</f>
        <v>175</v>
      </c>
      <c r="B179">
        <v>2200</v>
      </c>
      <c r="C179" s="74">
        <v>-4.400547917790389E-7</v>
      </c>
      <c r="D179" s="69">
        <v>9.09499842522348E-2</v>
      </c>
      <c r="E179" s="75">
        <v>0.22597558573341789</v>
      </c>
      <c r="F179" s="7">
        <f>MAX((1-Parameters!$B$4)^Parameters!B$65*F178 + C178*Parameters!B$65 - IF(C178&gt;0,Parameters!$B$5,0)*C178^2/F178*Parameters!B$65, 0.0001)</f>
        <v>1E-4</v>
      </c>
      <c r="G179" s="7">
        <f>(1-Parameters!$B$4)^Parameters!B$65*G178+D178*Parameters!B$65-Parameters!$B$5*D178^2/G178*Parameters!B$65</f>
        <v>1.348759364111443</v>
      </c>
      <c r="H179" s="7">
        <f>(1-Parameters!$B$4)^Parameters!B$65*H178+E178*Parameters!B$65-Parameters!$B$5*E178^2/H178*Parameters!B$65</f>
        <v>3.3495994515427201</v>
      </c>
      <c r="I179" s="9">
        <f>I178 *(1-Parameters!$B$4)-C178*(C178&lt;0)*Parameters!B$65</f>
        <v>7.4649356705878759E-6</v>
      </c>
      <c r="J179" s="23">
        <f>J178*(1+Parameters!$B$51)^Parameters!B$65</f>
        <v>13.544894864706043</v>
      </c>
      <c r="K179" s="23">
        <f>K178*(1+Parameters!$B$53)^Parameters!B$65</f>
        <v>288.67310864022249</v>
      </c>
      <c r="L179" s="23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5.4502286062755229E-2</v>
      </c>
      <c r="M179" s="8">
        <f>M178+L179*Parameters!B$65</f>
        <v>3207.1935180736109</v>
      </c>
      <c r="N179" s="7">
        <f>M179*Parameters!$B$45</f>
        <v>1.9243161108441664</v>
      </c>
      <c r="O179" s="9">
        <f>EXP(-Parameters!$B$46/2*N179^2)</f>
        <v>0.96346889540614999</v>
      </c>
      <c r="P179" s="8">
        <f>MAX((Parameters!$B$62 + Parameters!$B$31*'6states'!A179 - '6states'!M179 + Parameters!$B$47/Parameters!$B$45)/Parameters!B$62,1)</f>
        <v>169.05612963852778</v>
      </c>
      <c r="Q179" s="8"/>
      <c r="R179" s="8"/>
      <c r="S179" s="7">
        <f>Parameters!B$61*EXP(-Parameters!B$60*A179)+(1-Parameters!B$61)*P179^-Parameters!B$63</f>
        <v>0.30377684424119855</v>
      </c>
      <c r="T179" s="7">
        <f>1-S179/Parameters!$B$12</f>
        <v>0.84811157787940072</v>
      </c>
      <c r="U179" s="7">
        <f t="shared" si="55"/>
        <v>6.5837802910744632</v>
      </c>
      <c r="V179" s="7">
        <f>(Parameters!$B$19*(F179+Parameters!$B$20)^T179+Parameters!$B$18*G179^T179)^(1/T179)</f>
        <v>0.34519608289255699</v>
      </c>
      <c r="W179" s="7">
        <f>(Parameters!$B$10*H179^Parameters!$B$9+Parameters!$B$11*V179^Parameters!$B$9)^(Parameters!$B$7/Parameters!$B$9)*O179</f>
        <v>1.3489686854995573</v>
      </c>
      <c r="X179" s="7">
        <f>W179 - D179 - E179 - LN(1+EXP(Parameters!$B$21*C179))/Parameters!$B$21 - IF(C179&gt;0, 0,Parameters!$B$6*C179^2/F179)</f>
        <v>1.0297328352497612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-0.20130529143428677</v>
      </c>
      <c r="AC179" s="23">
        <f t="shared" si="56"/>
        <v>2.9188248628240713E-2</v>
      </c>
      <c r="AD179" s="23">
        <f t="shared" si="57"/>
        <v>0.39100469067996796</v>
      </c>
      <c r="AE179" s="23">
        <f t="shared" si="58"/>
        <v>5273.7123796610504</v>
      </c>
      <c r="AF179" s="23">
        <f t="shared" si="59"/>
        <v>1349.7328761534081</v>
      </c>
      <c r="AG179" s="23">
        <f t="shared" si="60"/>
        <v>3421.0581009298712</v>
      </c>
      <c r="AH179" s="23">
        <f t="shared" si="61"/>
        <v>5274.5308361071729</v>
      </c>
      <c r="AI179" s="23">
        <f t="shared" si="62"/>
        <v>4026.3036872983926</v>
      </c>
      <c r="AJ179" s="23"/>
      <c r="AK179" s="25">
        <f t="shared" si="53"/>
        <v>5274.5308361071729</v>
      </c>
      <c r="AL179" s="4"/>
      <c r="AM179" s="4"/>
      <c r="AN179" s="4"/>
      <c r="AO179" s="16"/>
      <c r="AP179" s="16"/>
      <c r="AS179" s="21">
        <f>-Y179*W179*X179^(-Parameters!B$52)*Parameters!B$46*Parameters!B$45*N179</f>
        <v>-2.14202367012754E-6</v>
      </c>
      <c r="AT179" s="7">
        <f>1000*EXP(-(Parameters!$B$54)*'6states'!A179)*AK179*Parameters!B$46*Parameters!B$45*N179</f>
        <v>0.26311990535790619</v>
      </c>
    </row>
    <row r="180" spans="1:46" x14ac:dyDescent="0.25">
      <c r="A180">
        <f>A179+Parameters!$B$65</f>
        <v>176</v>
      </c>
      <c r="B180">
        <v>2201</v>
      </c>
      <c r="C180" s="74">
        <v>-4.400547917790389E-7</v>
      </c>
      <c r="D180" s="69">
        <v>9.09499842522348E-2</v>
      </c>
      <c r="E180" s="75">
        <v>0.22597558573341789</v>
      </c>
      <c r="F180" s="7">
        <f>MAX((1-Parameters!$B$4)^Parameters!B$65*F179 + C179*Parameters!B$65 - IF(C179&gt;0,Parameters!$B$5,0)*C179^2/F179*Parameters!B$65, 0.0001)</f>
        <v>1E-4</v>
      </c>
      <c r="G180" s="7">
        <f>(1-Parameters!$B$4)^Parameters!B$65*G179+D179*Parameters!B$65-Parameters!$B$5*D179^2/G179*Parameters!B$65</f>
        <v>1.3487394151631629</v>
      </c>
      <c r="H180" s="7">
        <f>(1-Parameters!$B$4)^Parameters!B$65*H179+E179*Parameters!B$65-Parameters!$B$5*E179^2/H179*Parameters!B$65</f>
        <v>3.3496401357301417</v>
      </c>
      <c r="I180" s="9">
        <f>I179 *(1-Parameters!$B$4)-C179*(C179&lt;0)*Parameters!B$65</f>
        <v>7.435446008686937E-6</v>
      </c>
      <c r="J180" s="23">
        <f>J179*(1+Parameters!$B$51)^Parameters!B$65</f>
        <v>13.584175059813688</v>
      </c>
      <c r="K180" s="23">
        <f>K179*(1+Parameters!$B$53)^Parameters!B$65</f>
        <v>294.44657081302694</v>
      </c>
      <c r="L180" s="23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5.5204383521642253E-2</v>
      </c>
      <c r="M180" s="8">
        <f>M179+L180*Parameters!B$65</f>
        <v>3207.2487224571328</v>
      </c>
      <c r="N180" s="7">
        <f>M180*Parameters!$B$45</f>
        <v>1.9243492334742796</v>
      </c>
      <c r="O180" s="9">
        <f>EXP(-Parameters!$B$46/2*N180^2)</f>
        <v>0.96346766105579573</v>
      </c>
      <c r="P180" s="8">
        <f>MAX((Parameters!$B$62 + Parameters!$B$31*'6states'!A180 - '6states'!M180 + Parameters!$B$47/Parameters!$B$45)/Parameters!B$62,1)</f>
        <v>170.11902555085737</v>
      </c>
      <c r="Q180" s="8"/>
      <c r="R180" s="8"/>
      <c r="S180" s="7">
        <f>Parameters!B$61*EXP(-Parameters!B$60*A180)+(1-Parameters!B$61)*P180^-Parameters!B$63</f>
        <v>0.30347113671052134</v>
      </c>
      <c r="T180" s="7">
        <f>1-S180/Parameters!$B$12</f>
        <v>0.8482644316447393</v>
      </c>
      <c r="U180" s="7">
        <f t="shared" si="55"/>
        <v>6.5904125897408932</v>
      </c>
      <c r="V180" s="7">
        <f>(Parameters!$B$19*(F180+Parameters!$B$20)^T180+Parameters!$B$18*G180^T180)^(1/T180)</f>
        <v>0.34526533430754186</v>
      </c>
      <c r="W180" s="7">
        <f>(Parameters!$B$10*H180^Parameters!$B$9+Parameters!$B$11*V180^Parameters!$B$9)^(Parameters!$B$7/Parameters!$B$9)*O180</f>
        <v>1.3489942810075781</v>
      </c>
      <c r="X180" s="7">
        <f>W180 - D180 - E180 - LN(1+EXP(Parameters!$B$21*C180))/Parameters!$B$21 - IF(C180&gt;0, 0,Parameters!$B$6*C180^2/F180)</f>
        <v>1.0297584307577821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-0.1982866912315383</v>
      </c>
      <c r="AC180" s="23">
        <f t="shared" si="56"/>
        <v>2.9740399284690036E-2</v>
      </c>
      <c r="AD180" s="23">
        <f t="shared" si="57"/>
        <v>0.3999813763685986</v>
      </c>
      <c r="AE180" s="23">
        <f t="shared" si="58"/>
        <v>5394.7064763954058</v>
      </c>
      <c r="AF180" s="23">
        <f t="shared" si="59"/>
        <v>1380.997036286949</v>
      </c>
      <c r="AG180" s="23">
        <f t="shared" si="60"/>
        <v>3500.3008238295556</v>
      </c>
      <c r="AH180" s="23">
        <f t="shared" si="61"/>
        <v>5395.7258923077916</v>
      </c>
      <c r="AI180" s="23">
        <f t="shared" si="62"/>
        <v>4118.841944616659</v>
      </c>
      <c r="AJ180" s="23"/>
      <c r="AK180" s="25">
        <f t="shared" si="53"/>
        <v>5395.7258923077916</v>
      </c>
      <c r="AL180" s="4"/>
      <c r="AM180" s="4"/>
      <c r="AN180" s="4"/>
      <c r="AO180" s="16"/>
      <c r="AP180" s="16"/>
      <c r="AS180" s="21">
        <f>-Y180*W180*X180^(-Parameters!B$52)*Parameters!B$46*Parameters!B$45*N180</f>
        <v>-2.1099276401358969E-6</v>
      </c>
      <c r="AT180" s="7">
        <f>1000*EXP(-(Parameters!$B$54)*'6states'!A180)*AK180*Parameters!B$46*Parameters!B$45*N180</f>
        <v>0.2598863601375726</v>
      </c>
    </row>
    <row r="181" spans="1:46" x14ac:dyDescent="0.25">
      <c r="A181">
        <f>A180+Parameters!$B$65</f>
        <v>177</v>
      </c>
      <c r="B181">
        <v>2202</v>
      </c>
      <c r="C181" s="74">
        <v>-4.400547917790389E-7</v>
      </c>
      <c r="D181" s="69">
        <v>9.09499842522348E-2</v>
      </c>
      <c r="E181" s="75">
        <v>0.22597558573341789</v>
      </c>
      <c r="F181" s="7">
        <f>MAX((1-Parameters!$B$4)^Parameters!B$65*F180 + C180*Parameters!B$65 - IF(C180&gt;0,Parameters!$B$5,0)*C180^2/F180*Parameters!B$65, 0.0001)</f>
        <v>1E-4</v>
      </c>
      <c r="G181" s="7">
        <f>(1-Parameters!$B$4)^Parameters!B$65*G180+D180*Parameters!B$65-Parameters!$B$5*D180^2/G180*Parameters!B$65</f>
        <v>1.3487206302921482</v>
      </c>
      <c r="H181" s="7">
        <f>(1-Parameters!$B$4)^Parameters!B$65*H180+E180*Parameters!B$65-Parameters!$B$5*E180^2/H180*Parameters!B$65</f>
        <v>3.3496784460466458</v>
      </c>
      <c r="I181" s="9">
        <f>I180 *(1-Parameters!$B$4)-C180*(C180&lt;0)*Parameters!B$65</f>
        <v>7.4078112465195683E-6</v>
      </c>
      <c r="J181" s="23">
        <f>J180*(1+Parameters!$B$51)^Parameters!B$65</f>
        <v>13.623569167487148</v>
      </c>
      <c r="K181" s="23">
        <f>K180*(1+Parameters!$B$53)^Parameters!B$65</f>
        <v>300.3355022292875</v>
      </c>
      <c r="L181" s="23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5.5915227742557659E-2</v>
      </c>
      <c r="M181" s="8">
        <f>M180+L181*Parameters!B$65</f>
        <v>3207.3046376848752</v>
      </c>
      <c r="N181" s="7">
        <f>M181*Parameters!$B$45</f>
        <v>1.924382782610925</v>
      </c>
      <c r="O181" s="9">
        <f>EXP(-Parameters!$B$46/2*N181^2)</f>
        <v>0.96346641079117157</v>
      </c>
      <c r="P181" s="8">
        <f>MAX((Parameters!$B$62 + Parameters!$B$31*'6states'!A181 - '6states'!M181 + Parameters!$B$47/Parameters!$B$45)/Parameters!B$62,1)</f>
        <v>171.1819072463025</v>
      </c>
      <c r="Q181" s="8"/>
      <c r="R181" s="8"/>
      <c r="S181" s="7">
        <f>Parameters!B$61*EXP(-Parameters!B$60*A181)+(1-Parameters!B$61)*P181^-Parameters!B$63</f>
        <v>0.30316986370908855</v>
      </c>
      <c r="T181" s="7">
        <f>1-S181/Parameters!$B$12</f>
        <v>0.84841506814545575</v>
      </c>
      <c r="U181" s="7">
        <f t="shared" si="55"/>
        <v>6.5969617676746788</v>
      </c>
      <c r="V181" s="7">
        <f>(Parameters!$B$19*(F181+Parameters!$B$20)^T181+Parameters!$B$18*G181^T181)^(1/T181)</f>
        <v>0.34533379195091063</v>
      </c>
      <c r="W181" s="7">
        <f>(Parameters!$B$10*H181^Parameters!$B$9+Parameters!$B$11*V181^Parameters!$B$9)^(Parameters!$B$7/Parameters!$B$9)*O181</f>
        <v>1.3490193622515878</v>
      </c>
      <c r="X181" s="7">
        <f>W181 - D181 - E181 - LN(1+EXP(Parameters!$B$21*C181))/Parameters!$B$21 - IF(C181&gt;0, 0,Parameters!$B$6*C181^2/F181)</f>
        <v>1.0297835120017917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-0.19531338952945607</v>
      </c>
      <c r="AC181" s="23">
        <f t="shared" si="56"/>
        <v>3.0310107832070925E-2</v>
      </c>
      <c r="AD181" s="23">
        <f t="shared" si="57"/>
        <v>0.40916414880726887</v>
      </c>
      <c r="AE181" s="23">
        <f t="shared" si="58"/>
        <v>5518.4812867228993</v>
      </c>
      <c r="AF181" s="23">
        <f t="shared" si="59"/>
        <v>1412.9820703798082</v>
      </c>
      <c r="AG181" s="23">
        <f t="shared" si="60"/>
        <v>3581.3706873004207</v>
      </c>
      <c r="AH181" s="23">
        <f t="shared" si="61"/>
        <v>5519.7035908019561</v>
      </c>
      <c r="AI181" s="23">
        <f t="shared" si="62"/>
        <v>4213.5049414397308</v>
      </c>
      <c r="AJ181" s="23"/>
      <c r="AK181" s="25">
        <f t="shared" si="53"/>
        <v>5519.7035908019561</v>
      </c>
      <c r="AL181" s="4"/>
      <c r="AM181" s="4"/>
      <c r="AN181" s="4"/>
      <c r="AO181" s="16"/>
      <c r="AP181" s="16"/>
      <c r="AS181" s="21">
        <f>-Y181*W181*X181^(-Parameters!B$52)*Parameters!B$46*Parameters!B$45*N181</f>
        <v>-2.078313606130718E-6</v>
      </c>
      <c r="AT181" s="7">
        <f>1000*EXP(-(Parameters!$B$54)*'6states'!A181)*AK181*Parameters!B$46*Parameters!B$45*N181</f>
        <v>0.25669251161809647</v>
      </c>
    </row>
    <row r="182" spans="1:46" x14ac:dyDescent="0.25">
      <c r="A182">
        <f>A181+Parameters!$B$65</f>
        <v>178</v>
      </c>
      <c r="B182">
        <v>2203</v>
      </c>
      <c r="C182" s="74">
        <v>-4.400547917790389E-7</v>
      </c>
      <c r="D182" s="69">
        <v>9.09499842522348E-2</v>
      </c>
      <c r="E182" s="75">
        <v>0.22597558573341789</v>
      </c>
      <c r="F182" s="7">
        <f>MAX((1-Parameters!$B$4)^Parameters!B$65*F181 + C181*Parameters!B$65 - IF(C181&gt;0,Parameters!$B$5,0)*C181^2/F181*Parameters!B$65, 0.0001)</f>
        <v>1E-4</v>
      </c>
      <c r="G182" s="7">
        <f>(1-Parameters!$B$4)^Parameters!B$65*G181+D181*Parameters!B$65-Parameters!$B$5*D181^2/G181*Parameters!B$65</f>
        <v>1.3487029415687615</v>
      </c>
      <c r="H182" s="7">
        <f>(1-Parameters!$B$4)^Parameters!B$65*H181+E181*Parameters!B$65-Parameters!$B$5*E181^2/H181*Parameters!B$65</f>
        <v>3.3497145210004886</v>
      </c>
      <c r="I182" s="9">
        <f>I181 *(1-Parameters!$B$4)-C181*(C181&lt;0)*Parameters!B$65</f>
        <v>7.381914710892526E-6</v>
      </c>
      <c r="J182" s="23">
        <f>J181*(1+Parameters!$B$51)^Parameters!B$65</f>
        <v>13.663077518072859</v>
      </c>
      <c r="K182" s="23">
        <f>K181*(1+Parameters!$B$53)^Parameters!B$65</f>
        <v>306.34221227387326</v>
      </c>
      <c r="L182" s="23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5.6634936049903849E-2</v>
      </c>
      <c r="M182" s="8">
        <f>M181+L182*Parameters!B$65</f>
        <v>3207.3612726209249</v>
      </c>
      <c r="N182" s="7">
        <f>M182*Parameters!$B$45</f>
        <v>1.9244167635725546</v>
      </c>
      <c r="O182" s="9">
        <f>EXP(-Parameters!$B$46/2*N182^2)</f>
        <v>0.96346514441330233</v>
      </c>
      <c r="P182" s="8">
        <f>MAX((Parameters!$B$62 + Parameters!$B$31*'6states'!A182 - '6states'!M182 + Parameters!$B$47/Parameters!$B$45)/Parameters!B$62,1)</f>
        <v>172.2447745475815</v>
      </c>
      <c r="Q182" s="8"/>
      <c r="R182" s="8"/>
      <c r="S182" s="7">
        <f>Parameters!B$61*EXP(-Parameters!B$60*A182)+(1-Parameters!B$61)*P182^-Parameters!B$63</f>
        <v>0.3028729246798777</v>
      </c>
      <c r="T182" s="7">
        <f>1-S182/Parameters!$B$12</f>
        <v>0.8485635376600611</v>
      </c>
      <c r="U182" s="7">
        <f t="shared" si="55"/>
        <v>6.603429481568563</v>
      </c>
      <c r="V182" s="7">
        <f>(Parameters!$B$19*(F182+Parameters!$B$20)^T182+Parameters!$B$18*G182^T182)^(1/T182)</f>
        <v>0.34540146381220543</v>
      </c>
      <c r="W182" s="7">
        <f>(Parameters!$B$10*H182^Parameters!$B$9+Parameters!$B$11*V182^Parameters!$B$9)^(Parameters!$B$7/Parameters!$B$9)*O182</f>
        <v>1.349043943976779</v>
      </c>
      <c r="X182" s="7">
        <f>W182 - D182 - E182 - LN(1+EXP(Parameters!$B$21*C182))/Parameters!$B$21 - IF(C182&gt;0, 0,Parameters!$B$6*C182^2/F182)</f>
        <v>1.0298080937269829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-0.19238470507922231</v>
      </c>
      <c r="AC182" s="23">
        <f t="shared" si="56"/>
        <v>3.0897575333592824E-2</v>
      </c>
      <c r="AD182" s="23">
        <f t="shared" si="57"/>
        <v>0.4185577393355861</v>
      </c>
      <c r="AE182" s="23">
        <f t="shared" si="58"/>
        <v>5645.1005425827589</v>
      </c>
      <c r="AF182" s="23">
        <f t="shared" si="59"/>
        <v>1445.7045585643896</v>
      </c>
      <c r="AG182" s="23">
        <f t="shared" si="60"/>
        <v>3664.3097156550361</v>
      </c>
      <c r="AH182" s="23">
        <f t="shared" si="61"/>
        <v>5646.5278345528368</v>
      </c>
      <c r="AI182" s="23">
        <f t="shared" si="62"/>
        <v>4310.3414765985535</v>
      </c>
      <c r="AJ182" s="23"/>
      <c r="AK182" s="25">
        <f t="shared" si="53"/>
        <v>5646.5278345528368</v>
      </c>
      <c r="AL182" s="4"/>
      <c r="AM182" s="4"/>
      <c r="AN182" s="4"/>
      <c r="AO182" s="16"/>
      <c r="AP182" s="16"/>
      <c r="AS182" s="21">
        <f>-Y182*W182*X182^(-Parameters!B$52)*Parameters!B$46*Parameters!B$45*N182</f>
        <v>-2.0471743022169834E-6</v>
      </c>
      <c r="AT182" s="7">
        <f>1000*EXP(-(Parameters!$B$54)*'6states'!A182)*AK182*Parameters!B$46*Parameters!B$45*N182</f>
        <v>0.25353787644227815</v>
      </c>
    </row>
    <row r="183" spans="1:46" x14ac:dyDescent="0.25">
      <c r="A183">
        <f>A182+Parameters!$B$65</f>
        <v>179</v>
      </c>
      <c r="B183">
        <v>2204</v>
      </c>
      <c r="C183" s="74">
        <v>-4.400547917790389E-7</v>
      </c>
      <c r="D183" s="69">
        <v>9.09499842522348E-2</v>
      </c>
      <c r="E183" s="75">
        <v>0.22597558573341789</v>
      </c>
      <c r="F183" s="7">
        <f>MAX((1-Parameters!$B$4)^Parameters!B$65*F182 + C182*Parameters!B$65 - IF(C182&gt;0,Parameters!$B$5,0)*C182^2/F182*Parameters!B$65, 0.0001)</f>
        <v>1E-4</v>
      </c>
      <c r="G183" s="7">
        <f>(1-Parameters!$B$4)^Parameters!B$65*G182+D182*Parameters!B$65-Parameters!$B$5*D182^2/G182*Parameters!B$65</f>
        <v>1.3486862850276726</v>
      </c>
      <c r="H183" s="7">
        <f>(1-Parameters!$B$4)^Parameters!B$65*H182+E182*Parameters!B$65-Parameters!$B$5*E182^2/H182*Parameters!B$65</f>
        <v>3.34974849101885</v>
      </c>
      <c r="I183" s="9">
        <f>I182 *(1-Parameters!$B$4)-C182*(C182&lt;0)*Parameters!B$65</f>
        <v>7.3576470673564249E-6</v>
      </c>
      <c r="J183" s="23">
        <f>J182*(1+Parameters!$B$51)^Parameters!B$65</f>
        <v>13.702700442875269</v>
      </c>
      <c r="K183" s="23">
        <f>K182*(1+Parameters!$B$53)^Parameters!B$65</f>
        <v>312.46905651935072</v>
      </c>
      <c r="L183" s="23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5.7363627549158441E-2</v>
      </c>
      <c r="M183" s="8">
        <f>M182+L183*Parameters!B$65</f>
        <v>3207.4186362484738</v>
      </c>
      <c r="N183" s="7">
        <f>M183*Parameters!$B$45</f>
        <v>1.9244511817490841</v>
      </c>
      <c r="O183" s="9">
        <f>EXP(-Parameters!$B$46/2*N183^2)</f>
        <v>0.96346386172052656</v>
      </c>
      <c r="P183" s="8">
        <f>MAX((Parameters!$B$62 + Parameters!$B$31*'6states'!A183 - '6states'!M183 + Parameters!$B$47/Parameters!$B$45)/Parameters!B$62,1)</f>
        <v>173.30762727503054</v>
      </c>
      <c r="Q183" s="8"/>
      <c r="R183" s="8"/>
      <c r="S183" s="7">
        <f>Parameters!B$61*EXP(-Parameters!B$60*A183)+(1-Parameters!B$61)*P183^-Parameters!B$63</f>
        <v>0.3025802216185059</v>
      </c>
      <c r="T183" s="7">
        <f>1-S183/Parameters!$B$12</f>
        <v>0.84870988919074708</v>
      </c>
      <c r="U183" s="7">
        <f t="shared" si="55"/>
        <v>6.6098173545579817</v>
      </c>
      <c r="V183" s="7">
        <f>(Parameters!$B$19*(F183+Parameters!$B$20)^T183+Parameters!$B$18*G183^T183)^(1/T183)</f>
        <v>0.34546835821340999</v>
      </c>
      <c r="W183" s="7">
        <f>(Parameters!$B$10*H183^Parameters!$B$9+Parameters!$B$11*V183^Parameters!$B$9)^(Parameters!$B$7/Parameters!$B$9)*O183</f>
        <v>1.3490680403466839</v>
      </c>
      <c r="X183" s="7">
        <f>W183 - D183 - E183 - LN(1+EXP(Parameters!$B$21*C183))/Parameters!$B$21 - IF(C183&gt;0, 0,Parameters!$B$6*C183^2/F183)</f>
        <v>1.0298321900968879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-0.18949996695159091</v>
      </c>
      <c r="AC183" s="23">
        <f t="shared" si="56"/>
        <v>3.1503015829734908E-2</v>
      </c>
      <c r="AD183" s="23">
        <f t="shared" si="57"/>
        <v>0.42816698791525248</v>
      </c>
      <c r="AE183" s="23">
        <f t="shared" si="58"/>
        <v>5774.6294430291018</v>
      </c>
      <c r="AF183" s="23">
        <f t="shared" si="59"/>
        <v>1479.1814635626322</v>
      </c>
      <c r="AG183" s="23">
        <f t="shared" si="60"/>
        <v>3749.1609029245387</v>
      </c>
      <c r="AH183" s="23">
        <f t="shared" si="61"/>
        <v>5776.2639932797192</v>
      </c>
      <c r="AI183" s="23">
        <f t="shared" si="62"/>
        <v>4409.401468919521</v>
      </c>
      <c r="AJ183" s="23"/>
      <c r="AK183" s="25">
        <f t="shared" si="53"/>
        <v>5776.2639932797192</v>
      </c>
      <c r="AL183" s="4"/>
      <c r="AM183" s="4"/>
      <c r="AN183" s="4"/>
      <c r="AO183" s="16"/>
      <c r="AP183" s="16"/>
      <c r="AS183" s="21">
        <f>-Y183*W183*X183^(-Parameters!B$52)*Parameters!B$46*Parameters!B$45*N183</f>
        <v>-2.0165025733616034E-6</v>
      </c>
      <c r="AT183" s="7">
        <f>1000*EXP(-(Parameters!$B$54)*'6states'!A183)*AK183*Parameters!B$46*Parameters!B$45*N183</f>
        <v>0.25042197694723478</v>
      </c>
    </row>
    <row r="184" spans="1:46" x14ac:dyDescent="0.25">
      <c r="A184">
        <f>A183+Parameters!$B$65</f>
        <v>180</v>
      </c>
      <c r="B184">
        <v>2205</v>
      </c>
      <c r="C184" s="74">
        <v>-4.400547917790389E-7</v>
      </c>
      <c r="D184" s="69">
        <v>9.09499842522348E-2</v>
      </c>
      <c r="E184" s="75">
        <v>0.22597558573341789</v>
      </c>
      <c r="F184" s="7">
        <f>MAX((1-Parameters!$B$4)^Parameters!B$65*F183 + C183*Parameters!B$65 - IF(C183&gt;0,Parameters!$B$5,0)*C183^2/F183*Parameters!B$65, 0.0001)</f>
        <v>1E-4</v>
      </c>
      <c r="G184" s="7">
        <f>(1-Parameters!$B$4)^Parameters!B$65*G183+D183*Parameters!B$65-Parameters!$B$5*D183^2/G183*Parameters!B$65</f>
        <v>1.3486706004364728</v>
      </c>
      <c r="H184" s="7">
        <f>(1-Parameters!$B$4)^Parameters!B$65*H183+E183*Parameters!B$65-Parameters!$B$5*E183^2/H183*Parameters!B$65</f>
        <v>3.3497804789192607</v>
      </c>
      <c r="I184" s="9">
        <f>I183 *(1-Parameters!$B$4)-C183*(C183&lt;0)*Parameters!B$65</f>
        <v>7.3349058585987453E-6</v>
      </c>
      <c r="J184" s="23">
        <f>J183*(1+Parameters!$B$51)^Parameters!B$65</f>
        <v>13.742438274159605</v>
      </c>
      <c r="K184" s="23">
        <f>K183*(1+Parameters!$B$53)^Parameters!B$65</f>
        <v>318.71843764973772</v>
      </c>
      <c r="L184" s="23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5.8101423087231374E-2</v>
      </c>
      <c r="M184" s="8">
        <f>M183+L184*Parameters!B$65</f>
        <v>3207.4767376715608</v>
      </c>
      <c r="N184" s="7">
        <f>M184*Parameters!$B$45</f>
        <v>1.9244860426029364</v>
      </c>
      <c r="O184" s="9">
        <f>EXP(-Parameters!$B$46/2*N184^2)</f>
        <v>0.96346256250845708</v>
      </c>
      <c r="P184" s="8">
        <f>MAX((Parameters!$B$62 + Parameters!$B$31*'6states'!A184 - '6states'!M184 + Parameters!$B$47/Parameters!$B$45)/Parameters!B$62,1)</f>
        <v>174.37046524656878</v>
      </c>
      <c r="Q184" s="8"/>
      <c r="R184" s="8"/>
      <c r="S184" s="7">
        <f>Parameters!B$61*EXP(-Parameters!B$60*A184)+(1-Parameters!B$61)*P184^-Parameters!B$63</f>
        <v>0.30229165900573413</v>
      </c>
      <c r="T184" s="7">
        <f>1-S184/Parameters!$B$12</f>
        <v>0.84885417049713296</v>
      </c>
      <c r="U184" s="7">
        <f t="shared" si="55"/>
        <v>6.616126976768693</v>
      </c>
      <c r="V184" s="7">
        <f>(Parameters!$B$19*(F184+Parameters!$B$20)^T184+Parameters!$B$18*G184^T184)^(1/T184)</f>
        <v>0.3455344837702779</v>
      </c>
      <c r="W184" s="7">
        <f>(Parameters!$B$10*H184^Parameters!$B$9+Parameters!$B$11*V184^Parameters!$B$9)^(Parameters!$B$7/Parameters!$B$9)*O184</f>
        <v>1.3490916649689555</v>
      </c>
      <c r="X184" s="7">
        <f>W184 - D184 - E184 - LN(1+EXP(Parameters!$B$21*C184))/Parameters!$B$21 - IF(C184&gt;0, 0,Parameters!$B$6*C184^2/F184)</f>
        <v>1.0298558147191594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-0.1866585143764776</v>
      </c>
      <c r="AC184" s="23">
        <f t="shared" si="56"/>
        <v>3.2126656290138597E-2</v>
      </c>
      <c r="AD184" s="23">
        <f t="shared" si="57"/>
        <v>0.4379968456238108</v>
      </c>
      <c r="AE184" s="23">
        <f t="shared" si="58"/>
        <v>5907.1346877674596</v>
      </c>
      <c r="AF184" s="23">
        <f t="shared" si="59"/>
        <v>1513.4301394563356</v>
      </c>
      <c r="AG184" s="23">
        <f t="shared" si="60"/>
        <v>3835.9682350880616</v>
      </c>
      <c r="AH184" s="23">
        <f t="shared" si="61"/>
        <v>5908.9789371377738</v>
      </c>
      <c r="AI184" s="23">
        <f t="shared" si="62"/>
        <v>4510.7359829433153</v>
      </c>
      <c r="AJ184" s="23"/>
      <c r="AK184" s="25">
        <f t="shared" si="53"/>
        <v>5908.9789371377738</v>
      </c>
      <c r="AL184" s="4"/>
      <c r="AM184" s="4"/>
      <c r="AN184" s="4"/>
      <c r="AO184" s="16"/>
      <c r="AP184" s="16"/>
      <c r="AS184" s="21">
        <f>-Y184*W184*X184^(-Parameters!B$52)*Parameters!B$46*Parameters!B$45*N184</f>
        <v>-1.986291373629079E-6</v>
      </c>
      <c r="AT184" s="7">
        <f>1000*EXP(-(Parameters!$B$54)*'6states'!A184)*AK184*Parameters!B$46*Parameters!B$45*N184</f>
        <v>0.24734434110761938</v>
      </c>
    </row>
    <row r="185" spans="1:46" x14ac:dyDescent="0.25">
      <c r="A185">
        <f>A184+Parameters!$B$65</f>
        <v>181</v>
      </c>
      <c r="B185">
        <v>2206</v>
      </c>
      <c r="C185" s="74">
        <v>-4.400547917790389E-7</v>
      </c>
      <c r="D185" s="69">
        <v>9.09499842522348E-2</v>
      </c>
      <c r="E185" s="75">
        <v>0.22597558573341789</v>
      </c>
      <c r="F185" s="7">
        <f>MAX((1-Parameters!$B$4)^Parameters!B$65*F184 + C184*Parameters!B$65 - IF(C184&gt;0,Parameters!$B$5,0)*C184^2/F184*Parameters!B$65, 0.0001)</f>
        <v>1E-4</v>
      </c>
      <c r="G185" s="7">
        <f>(1-Parameters!$B$4)^Parameters!B$65*G184+D184*Parameters!B$65-Parameters!$B$5*D184^2/G184*Parameters!B$65</f>
        <v>1.3486558310777996</v>
      </c>
      <c r="H185" s="7">
        <f>(1-Parameters!$B$4)^Parameters!B$65*H184+E184*Parameters!B$65-Parameters!$B$5*E184^2/H184*Parameters!B$65</f>
        <v>3.3498106003535333</v>
      </c>
      <c r="I185" s="9">
        <f>I184 *(1-Parameters!$B$4)-C184*(C184&lt;0)*Parameters!B$65</f>
        <v>7.3135950718719232E-6</v>
      </c>
      <c r="J185" s="23">
        <f>J184*(1+Parameters!$B$51)^Parameters!B$65</f>
        <v>13.782291345154666</v>
      </c>
      <c r="K185" s="23">
        <f>K184*(1+Parameters!$B$53)^Parameters!B$65</f>
        <v>325.09280640273249</v>
      </c>
      <c r="L185" s="23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5.8848445218665842E-2</v>
      </c>
      <c r="M185" s="8">
        <f>M184+L185*Parameters!B$65</f>
        <v>3207.5355861167795</v>
      </c>
      <c r="N185" s="7">
        <f>M185*Parameters!$B$45</f>
        <v>1.9245213516700677</v>
      </c>
      <c r="O185" s="9">
        <f>EXP(-Parameters!$B$46/2*N185^2)</f>
        <v>0.96346124656994225</v>
      </c>
      <c r="P185" s="8">
        <f>MAX((Parameters!$B$62 + Parameters!$B$31*'6states'!A185 - '6states'!M185 + Parameters!$B$47/Parameters!$B$45)/Parameters!B$62,1)</f>
        <v>175.43328827766445</v>
      </c>
      <c r="Q185" s="8"/>
      <c r="R185" s="8"/>
      <c r="S185" s="7">
        <f>Parameters!B$61*EXP(-Parameters!B$60*A185)+(1-Parameters!B$61)*P185^-Parameters!B$63</f>
        <v>0.30200714374180448</v>
      </c>
      <c r="T185" s="7">
        <f>1-S185/Parameters!$B$12</f>
        <v>0.84899642812909781</v>
      </c>
      <c r="U185" s="7">
        <f t="shared" si="55"/>
        <v>6.6223599058632345</v>
      </c>
      <c r="V185" s="7">
        <f>(Parameters!$B$19*(F185+Parameters!$B$20)^T185+Parameters!$B$18*G185^T185)^(1/T185)</f>
        <v>0.34559984935638782</v>
      </c>
      <c r="W185" s="7">
        <f>(Parameters!$B$10*H185^Parameters!$B$9+Parameters!$B$11*V185^Parameters!$B$9)^(Parameters!$B$7/Parameters!$B$9)*O185</f>
        <v>1.3491148309198653</v>
      </c>
      <c r="X185" s="7">
        <f>W185 - D185 - E185 - LN(1+EXP(Parameters!$B$21*C185))/Parameters!$B$21 - IF(C185&gt;0, 0,Parameters!$B$6*C185^2/F185)</f>
        <v>1.0298789806700692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-0.1838596965852852</v>
      </c>
      <c r="AC185" s="23">
        <f t="shared" si="56"/>
        <v>3.2768736578716845E-2</v>
      </c>
      <c r="AD185" s="23">
        <f t="shared" si="57"/>
        <v>0.44805237720564223</v>
      </c>
      <c r="AE185" s="23">
        <f t="shared" si="58"/>
        <v>6042.6845114665912</v>
      </c>
      <c r="AF185" s="23">
        <f t="shared" si="59"/>
        <v>1548.4683406604138</v>
      </c>
      <c r="AG185" s="23">
        <f t="shared" si="60"/>
        <v>3924.7767128165087</v>
      </c>
      <c r="AH185" s="23">
        <f t="shared" si="61"/>
        <v>6044.741071170336</v>
      </c>
      <c r="AI185" s="23">
        <f t="shared" si="62"/>
        <v>4614.3972552334808</v>
      </c>
      <c r="AJ185" s="23"/>
      <c r="AK185" s="25">
        <f t="shared" si="53"/>
        <v>6044.7410711703369</v>
      </c>
      <c r="AL185" s="4"/>
      <c r="AM185" s="4"/>
      <c r="AN185" s="4"/>
      <c r="AO185" s="16"/>
      <c r="AP185" s="16"/>
      <c r="AS185" s="21">
        <f>-Y185*W185*X185^(-Parameters!B$52)*Parameters!B$46*Parameters!B$45*N185</f>
        <v>-1.9565337644494889E-6</v>
      </c>
      <c r="AT185" s="7">
        <f>1000*EXP(-(Parameters!$B$54)*'6states'!A185)*AK185*Parameters!B$46*Parameters!B$45*N185</f>
        <v>0.24430450247877974</v>
      </c>
    </row>
    <row r="186" spans="1:46" x14ac:dyDescent="0.25">
      <c r="A186">
        <f>A185+Parameters!$B$65</f>
        <v>182</v>
      </c>
      <c r="B186">
        <v>2207</v>
      </c>
      <c r="C186" s="74">
        <v>-4.400547917790389E-7</v>
      </c>
      <c r="D186" s="69">
        <v>9.09499842522348E-2</v>
      </c>
      <c r="E186" s="75">
        <v>0.22597558573341789</v>
      </c>
      <c r="F186" s="7">
        <f>MAX((1-Parameters!$B$4)^Parameters!B$65*F185 + C185*Parameters!B$65 - IF(C185&gt;0,Parameters!$B$5,0)*C185^2/F185*Parameters!B$65, 0.0001)</f>
        <v>1E-4</v>
      </c>
      <c r="G186" s="7">
        <f>(1-Parameters!$B$4)^Parameters!B$65*G185+D185*Parameters!B$65-Parameters!$B$5*D185^2/G185*Parameters!B$65</f>
        <v>1.3486419235441811</v>
      </c>
      <c r="H186" s="7">
        <f>(1-Parameters!$B$4)^Parameters!B$65*H185+E185*Parameters!B$65-Parameters!$B$5*E185^2/H185*Parameters!B$65</f>
        <v>3.3498389642258006</v>
      </c>
      <c r="I186" s="9">
        <f>I185 *(1-Parameters!$B$4)-C185*(C185&lt;0)*Parameters!B$65</f>
        <v>7.2936247336302177E-6</v>
      </c>
      <c r="J186" s="23">
        <f>J185*(1+Parameters!$B$51)^Parameters!B$65</f>
        <v>13.822259990055613</v>
      </c>
      <c r="K186" s="23">
        <f>K185*(1+Parameters!$B$53)^Parameters!B$65</f>
        <v>331.59466253078716</v>
      </c>
      <c r="L186" s="23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5.9604818177390127E-2</v>
      </c>
      <c r="M186" s="8">
        <f>M185+L186*Parameters!B$65</f>
        <v>3207.5951909349569</v>
      </c>
      <c r="N186" s="7">
        <f>M186*Parameters!$B$45</f>
        <v>1.9245571145609739</v>
      </c>
      <c r="O186" s="9">
        <f>EXP(-Parameters!$B$46/2*N186^2)</f>
        <v>0.96345991369502737</v>
      </c>
      <c r="P186" s="8">
        <f>MAX((Parameters!$B$62 + Parameters!$B$31*'6states'!A186 - '6states'!M186 + Parameters!$B$47/Parameters!$B$45)/Parameters!B$62,1)</f>
        <v>176.49609618130086</v>
      </c>
      <c r="Q186" s="8"/>
      <c r="R186" s="8"/>
      <c r="S186" s="7">
        <f>Parameters!B$61*EXP(-Parameters!B$60*A186)+(1-Parameters!B$61)*P186^-Parameters!B$63</f>
        <v>0.30172658508255812</v>
      </c>
      <c r="T186" s="7">
        <f>1-S186/Parameters!$B$12</f>
        <v>0.84913670745872094</v>
      </c>
      <c r="U186" s="7">
        <f t="shared" si="55"/>
        <v>6.6285176675855793</v>
      </c>
      <c r="V186" s="7">
        <f>(Parameters!$B$19*(F186+Parameters!$B$20)^T186+Parameters!$B$18*G186^T186)^(1/T186)</f>
        <v>0.34566446406975843</v>
      </c>
      <c r="W186" s="7">
        <f>(Parameters!$B$10*H186^Parameters!$B$9+Parameters!$B$11*V186^Parameters!$B$9)^(Parameters!$B$7/Parameters!$B$9)*O186</f>
        <v>1.3491375507675951</v>
      </c>
      <c r="X186" s="7">
        <f>W186 - D186 - E186 - LN(1+EXP(Parameters!$B$21*C186))/Parameters!$B$21 - IF(C186&gt;0, 0,Parameters!$B$6*C186^2/F186)</f>
        <v>1.0299017005177991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-0.18110287265590175</v>
      </c>
      <c r="AC186" s="23">
        <f t="shared" si="56"/>
        <v>3.3429509431690971E-2</v>
      </c>
      <c r="AD186" s="23">
        <f t="shared" si="57"/>
        <v>0.45833876368152926</v>
      </c>
      <c r="AE186" s="23">
        <f t="shared" si="58"/>
        <v>6181.3487188631952</v>
      </c>
      <c r="AF186" s="23">
        <f t="shared" si="59"/>
        <v>1584.3142311037147</v>
      </c>
      <c r="AG186" s="23">
        <f t="shared" si="60"/>
        <v>4015.6323747424321</v>
      </c>
      <c r="AH186" s="23">
        <f t="shared" si="61"/>
        <v>6183.620370551459</v>
      </c>
      <c r="AI186" s="23">
        <f t="shared" si="62"/>
        <v>4720.4387212883257</v>
      </c>
      <c r="AJ186" s="23"/>
      <c r="AK186" s="25">
        <f t="shared" si="53"/>
        <v>6183.620370551459</v>
      </c>
      <c r="AL186" s="4"/>
      <c r="AM186" s="4"/>
      <c r="AN186" s="4"/>
      <c r="AO186" s="16"/>
      <c r="AP186" s="16"/>
      <c r="AS186" s="21">
        <f>-Y186*W186*X186^(-Parameters!B$52)*Parameters!B$46*Parameters!B$45*N186</f>
        <v>-1.92722291291795E-6</v>
      </c>
      <c r="AT186" s="7">
        <f>1000*EXP(-(Parameters!$B$54)*'6states'!A186)*AK186*Parameters!B$46*Parameters!B$45*N186</f>
        <v>0.2413020001399134</v>
      </c>
    </row>
    <row r="187" spans="1:46" x14ac:dyDescent="0.25">
      <c r="A187">
        <f>A186+Parameters!$B$65</f>
        <v>183</v>
      </c>
      <c r="B187">
        <v>2208</v>
      </c>
      <c r="C187" s="74">
        <v>-4.400547917790389E-7</v>
      </c>
      <c r="D187" s="69">
        <v>9.09499842522348E-2</v>
      </c>
      <c r="E187" s="75">
        <v>0.22597558573341789</v>
      </c>
      <c r="F187" s="7">
        <f>MAX((1-Parameters!$B$4)^Parameters!B$65*F186 + C186*Parameters!B$65 - IF(C186&gt;0,Parameters!$B$5,0)*C186^2/F186*Parameters!B$65, 0.0001)</f>
        <v>1E-4</v>
      </c>
      <c r="G187" s="7">
        <f>(1-Parameters!$B$4)^Parameters!B$65*G186+D186*Parameters!B$65-Parameters!$B$5*D186^2/G186*Parameters!B$65</f>
        <v>1.3486288275448561</v>
      </c>
      <c r="H187" s="7">
        <f>(1-Parameters!$B$4)^Parameters!B$65*H186+E186*Parameters!B$65-Parameters!$B$5*E186^2/H186*Parameters!B$65</f>
        <v>3.3498656730861698</v>
      </c>
      <c r="I187" s="9">
        <f>I186 *(1-Parameters!$B$4)-C186*(C186&lt;0)*Parameters!B$65</f>
        <v>7.2749105296639163E-6</v>
      </c>
      <c r="J187" s="23">
        <f>J186*(1+Parameters!$B$51)^Parameters!B$65</f>
        <v>13.862344544026774</v>
      </c>
      <c r="K187" s="23">
        <f>K186*(1+Parameters!$B$53)^Parameters!B$65</f>
        <v>338.22655578140291</v>
      </c>
      <c r="L187" s="23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6.0370667853705734E-2</v>
      </c>
      <c r="M187" s="8">
        <f>M186+L187*Parameters!B$65</f>
        <v>3207.6555616028108</v>
      </c>
      <c r="N187" s="7">
        <f>M187*Parameters!$B$45</f>
        <v>1.9245933369616863</v>
      </c>
      <c r="O187" s="9">
        <f>EXP(-Parameters!$B$46/2*N187^2)</f>
        <v>0.96345856367091709</v>
      </c>
      <c r="P187" s="8">
        <f>MAX((Parameters!$B$62 + Parameters!$B$31*'6states'!A187 - '6states'!M187 + Parameters!$B$47/Parameters!$B$45)/Parameters!B$62,1)</f>
        <v>177.55888876794378</v>
      </c>
      <c r="Q187" s="8"/>
      <c r="R187" s="8"/>
      <c r="S187" s="7">
        <f>Parameters!B$61*EXP(-Parameters!B$60*A187)+(1-Parameters!B$61)*P187^-Parameters!B$63</f>
        <v>0.30144989457728577</v>
      </c>
      <c r="T187" s="7">
        <f>1-S187/Parameters!$B$12</f>
        <v>0.84927505271135706</v>
      </c>
      <c r="U187" s="7">
        <f t="shared" si="55"/>
        <v>6.6346017563036135</v>
      </c>
      <c r="V187" s="7">
        <f>(Parameters!$B$19*(F187+Parameters!$B$20)^T187+Parameters!$B$18*G187^T187)^(1/T187)</f>
        <v>0.34572833720185914</v>
      </c>
      <c r="W187" s="7">
        <f>(Parameters!$B$10*H187^Parameters!$B$9+Parameters!$B$11*V187^Parameters!$B$9)^(Parameters!$B$7/Parameters!$B$9)*O187</f>
        <v>1.3491598365943775</v>
      </c>
      <c r="X187" s="7">
        <f>W187 - D187 - E187 - LN(1+EXP(Parameters!$B$21*C187))/Parameters!$B$21 - IF(C187&gt;0, 0,Parameters!$B$6*C187^2/F187)</f>
        <v>1.0299239863445815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-0.17838741136031475</v>
      </c>
      <c r="AC187" s="23">
        <f t="shared" si="56"/>
        <v>3.4109240448283576E-2</v>
      </c>
      <c r="AD187" s="23">
        <f t="shared" si="57"/>
        <v>0.46886130501812984</v>
      </c>
      <c r="AE187" s="23">
        <f t="shared" si="58"/>
        <v>6323.1987206775148</v>
      </c>
      <c r="AF187" s="23">
        <f t="shared" si="59"/>
        <v>1620.986393622117</v>
      </c>
      <c r="AG187" s="23">
        <f t="shared" si="60"/>
        <v>4108.5823212679534</v>
      </c>
      <c r="AH187" s="23">
        <f t="shared" si="61"/>
        <v>6325.6884166368664</v>
      </c>
      <c r="AI187" s="23">
        <f t="shared" si="62"/>
        <v>4828.9150430699501</v>
      </c>
      <c r="AJ187" s="23"/>
      <c r="AK187" s="25">
        <f t="shared" si="53"/>
        <v>6325.6884166368664</v>
      </c>
      <c r="AL187" s="4"/>
      <c r="AM187" s="4"/>
      <c r="AN187" s="4"/>
      <c r="AO187" s="16"/>
      <c r="AP187" s="16"/>
      <c r="AS187" s="21">
        <f>-Y187*W187*X187^(-Parameters!B$52)*Parameters!B$46*Parameters!B$45*N187</f>
        <v>-1.8983520901247539E-6</v>
      </c>
      <c r="AT187" s="7">
        <f>1000*EXP(-(Parameters!$B$54)*'6states'!A187)*AK187*Parameters!B$46*Parameters!B$45*N187</f>
        <v>0.23833637863725388</v>
      </c>
    </row>
    <row r="188" spans="1:46" x14ac:dyDescent="0.25">
      <c r="A188">
        <f>A187+Parameters!$B$65</f>
        <v>184</v>
      </c>
      <c r="B188">
        <v>2209</v>
      </c>
      <c r="C188" s="74">
        <v>-4.400547917790389E-7</v>
      </c>
      <c r="D188" s="69">
        <v>9.09499842522348E-2</v>
      </c>
      <c r="E188" s="75">
        <v>0.22597558573341789</v>
      </c>
      <c r="F188" s="7">
        <f>MAX((1-Parameters!$B$4)^Parameters!B$65*F187 + C187*Parameters!B$65 - IF(C187&gt;0,Parameters!$B$5,0)*C187^2/F187*Parameters!B$65, 0.0001)</f>
        <v>1E-4</v>
      </c>
      <c r="G188" s="7">
        <f>(1-Parameters!$B$4)^Parameters!B$65*G187+D187*Parameters!B$65-Parameters!$B$5*D187^2/G187*Parameters!B$65</f>
        <v>1.3486164957238727</v>
      </c>
      <c r="H188" s="7">
        <f>(1-Parameters!$B$4)^Parameters!B$65*H187+E187*Parameters!B$65-Parameters!$B$5*E187^2/H187*Parameters!B$65</f>
        <v>3.3498908235014175</v>
      </c>
      <c r="I188" s="9">
        <f>I187 *(1-Parameters!$B$4)-C187*(C187&lt;0)*Parameters!B$65</f>
        <v>7.2573734491270946E-6</v>
      </c>
      <c r="J188" s="23">
        <f>J187*(1+Parameters!$B$51)^Parameters!B$65</f>
        <v>13.90254534320445</v>
      </c>
      <c r="K188" s="23">
        <f>K187*(1+Parameters!$B$53)^Parameters!B$65</f>
        <v>344.99108689703098</v>
      </c>
      <c r="L188" s="23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6.1146121776186071E-2</v>
      </c>
      <c r="M188" s="8">
        <f>M187+L188*Parameters!B$65</f>
        <v>3207.7167077245872</v>
      </c>
      <c r="N188" s="7">
        <f>M188*Parameters!$B$45</f>
        <v>1.9246300246347521</v>
      </c>
      <c r="O188" s="9">
        <f>EXP(-Parameters!$B$46/2*N188^2)</f>
        <v>0.96345719628193849</v>
      </c>
      <c r="P188" s="8">
        <f>MAX((Parameters!$B$62 + Parameters!$B$31*'6states'!A188 - '6states'!M188 + Parameters!$B$47/Parameters!$B$45)/Parameters!B$62,1)</f>
        <v>178.62166584550829</v>
      </c>
      <c r="Q188" s="8"/>
      <c r="R188" s="8"/>
      <c r="S188" s="7">
        <f>Parameters!B$61*EXP(-Parameters!B$60*A188)+(1-Parameters!B$61)*P188^-Parameters!B$63</f>
        <v>0.30117698600826087</v>
      </c>
      <c r="T188" s="7">
        <f>1-S188/Parameters!$B$12</f>
        <v>0.84941150699586954</v>
      </c>
      <c r="U188" s="7">
        <f t="shared" si="55"/>
        <v>6.6406136355489735</v>
      </c>
      <c r="V188" s="7">
        <f>(Parameters!$B$19*(F188+Parameters!$B$20)^T188+Parameters!$B$18*G188^T188)^(1/T188)</f>
        <v>0.34579147820887146</v>
      </c>
      <c r="W188" s="7">
        <f>(Parameters!$B$10*H188^Parameters!$B$9+Parameters!$B$11*V188^Parameters!$B$9)^(Parameters!$B$7/Parameters!$B$9)*O188</f>
        <v>1.3491817000175541</v>
      </c>
      <c r="X188" s="7">
        <f>W188 - D188 - E188 - LN(1+EXP(Parameters!$B$21*C188))/Parameters!$B$21 - IF(C188&gt;0, 0,Parameters!$B$6*C188^2/F188)</f>
        <v>1.029945849767758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-0.17571269101478115</v>
      </c>
      <c r="AC188" s="23">
        <f t="shared" si="56"/>
        <v>3.4808208093813457E-2</v>
      </c>
      <c r="AD188" s="23">
        <f t="shared" si="57"/>
        <v>0.47962542285873594</v>
      </c>
      <c r="AE188" s="23">
        <f t="shared" si="58"/>
        <v>6468.3075703582917</v>
      </c>
      <c r="AF188" s="23">
        <f t="shared" si="59"/>
        <v>1658.5038395687736</v>
      </c>
      <c r="AG188" s="23">
        <f t="shared" si="60"/>
        <v>4203.6747389230595</v>
      </c>
      <c r="AH188" s="23">
        <f t="shared" si="61"/>
        <v>6471.0184338418767</v>
      </c>
      <c r="AI188" s="23">
        <f t="shared" si="62"/>
        <v>4939.8821371646109</v>
      </c>
      <c r="AJ188" s="23"/>
      <c r="AK188" s="25">
        <f t="shared" si="53"/>
        <v>6471.0184338418767</v>
      </c>
      <c r="AL188" s="4"/>
      <c r="AM188" s="4"/>
      <c r="AN188" s="4"/>
      <c r="AO188" s="16"/>
      <c r="AP188" s="16"/>
      <c r="AS188" s="21">
        <f>-Y188*W188*X188^(-Parameters!B$52)*Parameters!B$46*Parameters!B$45*N188</f>
        <v>-1.8699146695153912E-6</v>
      </c>
      <c r="AT188" s="7">
        <f>1000*EXP(-(Parameters!$B$54)*'6states'!A188)*AK188*Parameters!B$46*Parameters!B$45*N188</f>
        <v>0.23540718792733198</v>
      </c>
    </row>
    <row r="189" spans="1:46" x14ac:dyDescent="0.25">
      <c r="A189">
        <f>A188+Parameters!$B$65</f>
        <v>185</v>
      </c>
      <c r="B189">
        <v>2210</v>
      </c>
      <c r="C189" s="74">
        <v>-4.400547917790389E-7</v>
      </c>
      <c r="D189" s="69">
        <v>9.09499842522348E-2</v>
      </c>
      <c r="E189" s="75">
        <v>0.22597558573341789</v>
      </c>
      <c r="F189" s="7">
        <f>MAX((1-Parameters!$B$4)^Parameters!B$65*F188 + C188*Parameters!B$65 - IF(C188&gt;0,Parameters!$B$5,0)*C188^2/F188*Parameters!B$65, 0.0001)</f>
        <v>1E-4</v>
      </c>
      <c r="G189" s="7">
        <f>(1-Parameters!$B$4)^Parameters!B$65*G188+D188*Parameters!B$65-Parameters!$B$5*D188^2/G188*Parameters!B$65</f>
        <v>1.3486048834888043</v>
      </c>
      <c r="H189" s="7">
        <f>(1-Parameters!$B$4)^Parameters!B$65*H188+E188*Parameters!B$65-Parameters!$B$5*E188^2/H188*Parameters!B$65</f>
        <v>3.3499145064040596</v>
      </c>
      <c r="I189" s="9">
        <f>I188 *(1-Parameters!$B$4)-C188*(C188&lt;0)*Parameters!B$65</f>
        <v>7.2409394509560403E-6</v>
      </c>
      <c r="J189" s="23">
        <f>J188*(1+Parameters!$B$51)^Parameters!B$65</f>
        <v>13.942862724699742</v>
      </c>
      <c r="K189" s="23">
        <f>K188*(1+Parameters!$B$53)^Parameters!B$65</f>
        <v>351.89090863497159</v>
      </c>
      <c r="L189" s="23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6.193130909815607E-2</v>
      </c>
      <c r="M189" s="8">
        <f>M188+L189*Parameters!B$65</f>
        <v>3207.7786390336855</v>
      </c>
      <c r="N189" s="7">
        <f>M189*Parameters!$B$45</f>
        <v>1.9246671834202111</v>
      </c>
      <c r="O189" s="9">
        <f>EXP(-Parameters!$B$46/2*N189^2)</f>
        <v>0.96345581130950331</v>
      </c>
      <c r="P189" s="8">
        <f>MAX((Parameters!$B$62 + Parameters!$B$31*'6states'!A189 - '6states'!M189 + Parameters!$B$47/Parameters!$B$45)/Parameters!B$62,1)</f>
        <v>179.68442721932627</v>
      </c>
      <c r="Q189" s="8"/>
      <c r="R189" s="8"/>
      <c r="S189" s="7">
        <f>Parameters!B$61*EXP(-Parameters!B$60*A189)+(1-Parameters!B$61)*P189^-Parameters!B$63</f>
        <v>0.3009077753319091</v>
      </c>
      <c r="T189" s="7">
        <f>1-S189/Parameters!$B$12</f>
        <v>0.84954611233404542</v>
      </c>
      <c r="U189" s="7">
        <f t="shared" si="55"/>
        <v>6.6465547385538564</v>
      </c>
      <c r="V189" s="7">
        <f>(Parameters!$B$19*(F189+Parameters!$B$20)^T189+Parameters!$B$18*G189^T189)^(1/T189)</f>
        <v>0.34585389668505689</v>
      </c>
      <c r="W189" s="7">
        <f>(Parameters!$B$10*H189^Parameters!$B$9+Parameters!$B$11*V189^Parameters!$B$9)^(Parameters!$B$7/Parameters!$B$9)*O189</f>
        <v>1.3492031522096024</v>
      </c>
      <c r="X189" s="7">
        <f>W189 - D189 - E189 - LN(1+EXP(Parameters!$B$21*C189))/Parameters!$B$21 - IF(C189&gt;0, 0,Parameters!$B$6*C189^2/F189)</f>
        <v>1.0299673019598063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-0.17307809933250057</v>
      </c>
      <c r="AC189" s="23">
        <f t="shared" si="56"/>
        <v>3.5526703714955234E-2</v>
      </c>
      <c r="AD189" s="23">
        <f t="shared" si="57"/>
        <v>0.49063666331672684</v>
      </c>
      <c r="AE189" s="23">
        <f t="shared" si="58"/>
        <v>6616.7500016759004</v>
      </c>
      <c r="AF189" s="23">
        <f t="shared" si="59"/>
        <v>1696.8860186464428</v>
      </c>
      <c r="AG189" s="23">
        <f t="shared" si="60"/>
        <v>4300.95892528682</v>
      </c>
      <c r="AH189" s="23">
        <f t="shared" si="61"/>
        <v>6619.6853273652914</v>
      </c>
      <c r="AI189" s="23">
        <f t="shared" si="62"/>
        <v>5053.3972035889101</v>
      </c>
      <c r="AJ189" s="23"/>
      <c r="AK189" s="25">
        <f t="shared" si="53"/>
        <v>6619.6853273652914</v>
      </c>
      <c r="AL189" s="4"/>
      <c r="AM189" s="4"/>
      <c r="AN189" s="4"/>
      <c r="AO189" s="16"/>
      <c r="AP189" s="16"/>
      <c r="AS189" s="21">
        <f>-Y189*W189*X189^(-Parameters!B$52)*Parameters!B$46*Parameters!B$45*N189</f>
        <v>-1.8419041252797357E-6</v>
      </c>
      <c r="AT189" s="7">
        <f>1000*EXP(-(Parameters!$B$54)*'6states'!A189)*AK189*Parameters!B$46*Parameters!B$45*N189</f>
        <v>0.23251398332034864</v>
      </c>
    </row>
    <row r="190" spans="1:46" x14ac:dyDescent="0.25">
      <c r="A190">
        <f>A189+Parameters!$B$65</f>
        <v>186</v>
      </c>
      <c r="B190">
        <v>2211</v>
      </c>
      <c r="C190" s="74">
        <v>-4.400547917790389E-7</v>
      </c>
      <c r="D190" s="69">
        <v>9.09499842522348E-2</v>
      </c>
      <c r="E190" s="75">
        <v>0.22597558573341789</v>
      </c>
      <c r="F190" s="7">
        <f>MAX((1-Parameters!$B$4)^Parameters!B$65*F189 + C189*Parameters!B$65 - IF(C189&gt;0,Parameters!$B$5,0)*C189^2/F189*Parameters!B$65, 0.0001)</f>
        <v>1E-4</v>
      </c>
      <c r="G190" s="7">
        <f>(1-Parameters!$B$4)^Parameters!B$65*G189+D189*Parameters!B$65-Parameters!$B$5*D189^2/G189*Parameters!B$65</f>
        <v>1.3485939488494654</v>
      </c>
      <c r="H190" s="7">
        <f>(1-Parameters!$B$4)^Parameters!B$65*H189+E189*Parameters!B$65-Parameters!$B$5*E189^2/H189*Parameters!B$65</f>
        <v>3.3499368074210611</v>
      </c>
      <c r="I190" s="9">
        <f>I189 *(1-Parameters!$B$4)-C189*(C189&lt;0)*Parameters!B$65</f>
        <v>7.2255391512699443E-6</v>
      </c>
      <c r="J190" s="23">
        <f>J189*(1+Parameters!$B$51)^Parameters!B$65</f>
        <v>13.98329702660137</v>
      </c>
      <c r="K190" s="23">
        <f>K189*(1+Parameters!$B$53)^Parameters!B$65</f>
        <v>358.92872680767101</v>
      </c>
      <c r="L190" s="23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6.2726360588425276E-2</v>
      </c>
      <c r="M190" s="8">
        <f>M189+L190*Parameters!B$65</f>
        <v>3207.8413653942739</v>
      </c>
      <c r="N190" s="7">
        <f>M190*Parameters!$B$45</f>
        <v>1.9247048192365641</v>
      </c>
      <c r="O190" s="9">
        <f>EXP(-Parameters!$B$46/2*N190^2)</f>
        <v>0.96345440853207176</v>
      </c>
      <c r="P190" s="8">
        <f>MAX((Parameters!$B$62 + Parameters!$B$31*'6states'!A190 - '6states'!M190 + Parameters!$B$47/Parameters!$B$45)/Parameters!B$62,1)</f>
        <v>180.74717269211453</v>
      </c>
      <c r="Q190" s="8"/>
      <c r="R190" s="8"/>
      <c r="S190" s="7">
        <f>Parameters!B$61*EXP(-Parameters!B$60*A190)+(1-Parameters!B$61)*P190^-Parameters!B$63</f>
        <v>0.300642180621569</v>
      </c>
      <c r="T190" s="7">
        <f>1-S190/Parameters!$B$12</f>
        <v>0.84967890968921544</v>
      </c>
      <c r="U190" s="7">
        <f t="shared" si="55"/>
        <v>6.6524264687844443</v>
      </c>
      <c r="V190" s="7">
        <f>(Parameters!$B$19*(F190+Parameters!$B$20)^T190+Parameters!$B$18*G190^T190)^(1/T190)</f>
        <v>0.34591560233809898</v>
      </c>
      <c r="W190" s="7">
        <f>(Parameters!$B$10*H190^Parameters!$B$9+Parameters!$B$11*V190^Parameters!$B$9)^(Parameters!$B$7/Parameters!$B$9)*O190</f>
        <v>1.3492242039171871</v>
      </c>
      <c r="X190" s="7">
        <f>W190 - D190 - E190 - LN(1+EXP(Parameters!$B$21*C190))/Parameters!$B$21 - IF(C190&gt;0, 0,Parameters!$B$6*C190^2/F190)</f>
        <v>1.0299883536673911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-0.17048303327873759</v>
      </c>
      <c r="AC190" s="23">
        <f t="shared" si="56"/>
        <v>3.6265031566942253E-2</v>
      </c>
      <c r="AD190" s="23">
        <f t="shared" si="57"/>
        <v>0.50190069983315222</v>
      </c>
      <c r="AE190" s="23">
        <f t="shared" si="58"/>
        <v>6768.6024671830091</v>
      </c>
      <c r="AF190" s="23">
        <f t="shared" si="59"/>
        <v>1736.1528289669825</v>
      </c>
      <c r="AG190" s="23">
        <f t="shared" si="60"/>
        <v>4400.4853144843592</v>
      </c>
      <c r="AH190" s="23">
        <f t="shared" si="61"/>
        <v>6771.7657217786382</v>
      </c>
      <c r="AI190" s="23">
        <f t="shared" si="62"/>
        <v>5169.5187552565985</v>
      </c>
      <c r="AJ190" s="23"/>
      <c r="AK190" s="25">
        <f t="shared" si="53"/>
        <v>6771.7657217786382</v>
      </c>
      <c r="AL190" s="4"/>
      <c r="AM190" s="4"/>
      <c r="AN190" s="4"/>
      <c r="AO190" s="16"/>
      <c r="AP190" s="16"/>
      <c r="AS190" s="21">
        <f>-Y190*W190*X190^(-Parameters!B$52)*Parameters!B$46*Parameters!B$45*N190</f>
        <v>-1.8143140307696667E-6</v>
      </c>
      <c r="AT190" s="7">
        <f>1000*EXP(-(Parameters!$B$54)*'6states'!A190)*AK190*Parameters!B$46*Parameters!B$45*N190</f>
        <v>0.22965632542369116</v>
      </c>
    </row>
    <row r="191" spans="1:46" x14ac:dyDescent="0.25">
      <c r="A191">
        <f>A190+Parameters!$B$65</f>
        <v>187</v>
      </c>
      <c r="B191">
        <v>2212</v>
      </c>
      <c r="C191" s="74">
        <v>-4.400547917790389E-7</v>
      </c>
      <c r="D191" s="69">
        <v>9.09499842522348E-2</v>
      </c>
      <c r="E191" s="75">
        <v>0.22597558573341789</v>
      </c>
      <c r="F191" s="7">
        <f>MAX((1-Parameters!$B$4)^Parameters!B$65*F190 + C190*Parameters!B$65 - IF(C190&gt;0,Parameters!$B$5,0)*C190^2/F190*Parameters!B$65, 0.0001)</f>
        <v>1E-4</v>
      </c>
      <c r="G191" s="7">
        <f>(1-Parameters!$B$4)^Parameters!B$65*G190+D190*Parameters!B$65-Parameters!$B$5*D190^2/G190*Parameters!B$65</f>
        <v>1.3485836522660408</v>
      </c>
      <c r="H191" s="7">
        <f>(1-Parameters!$B$4)^Parameters!B$65*H190+E190*Parameters!B$65-Parameters!$B$5*E190^2/H190*Parameters!B$65</f>
        <v>3.349957807183372</v>
      </c>
      <c r="I191" s="9">
        <f>I190 *(1-Parameters!$B$4)-C190*(C190&lt;0)*Parameters!B$65</f>
        <v>7.2111075304341038E-6</v>
      </c>
      <c r="J191" s="23">
        <f>J190*(1+Parameters!$B$51)^Parameters!B$65</f>
        <v>14.023848587978513</v>
      </c>
      <c r="K191" s="23">
        <f>K190*(1+Parameters!$B$53)^Parameters!B$65</f>
        <v>366.10730134382442</v>
      </c>
      <c r="L191" s="23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6.3531408625953675E-2</v>
      </c>
      <c r="M191" s="8">
        <f>M190+L191*Parameters!B$65</f>
        <v>3207.9048968028997</v>
      </c>
      <c r="N191" s="7">
        <f>M191*Parameters!$B$45</f>
        <v>1.9247429380817396</v>
      </c>
      <c r="O191" s="9">
        <f>EXP(-Parameters!$B$46/2*N191^2)</f>
        <v>0.96345298772511512</v>
      </c>
      <c r="P191" s="8">
        <f>MAX((Parameters!$B$62 + Parameters!$B$31*'6states'!A191 - '6states'!M191 + Parameters!$B$47/Parameters!$B$45)/Parameters!B$62,1)</f>
        <v>181.80990206394199</v>
      </c>
      <c r="Q191" s="8"/>
      <c r="R191" s="8"/>
      <c r="S191" s="7">
        <f>Parameters!B$61*EXP(-Parameters!B$60*A191)+(1-Parameters!B$61)*P191^-Parameters!B$63</f>
        <v>0.30038012201179853</v>
      </c>
      <c r="T191" s="7">
        <f>1-S191/Parameters!$B$12</f>
        <v>0.84980993899410073</v>
      </c>
      <c r="U191" s="7">
        <f t="shared" si="55"/>
        <v>6.658230200470598</v>
      </c>
      <c r="V191" s="7">
        <f>(Parameters!$B$19*(F191+Parameters!$B$20)^T191+Parameters!$B$18*G191^T191)^(1/T191)</f>
        <v>0.34597660496629562</v>
      </c>
      <c r="W191" s="7">
        <f>(Parameters!$B$10*H191^Parameters!$B$9+Parameters!$B$11*V191^Parameters!$B$9)^(Parameters!$B$7/Parameters!$B$9)*O191</f>
        <v>1.3492448654792892</v>
      </c>
      <c r="X191" s="7">
        <f>W191 - D191 - E191 - LN(1+EXP(Parameters!$B$21*C191))/Parameters!$B$21 - IF(C191&gt;0, 0,Parameters!$B$6*C191^2/F191)</f>
        <v>1.0300090152294932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-0.16792689892834164</v>
      </c>
      <c r="AC191" s="23">
        <f t="shared" si="56"/>
        <v>3.702350885250745E-2</v>
      </c>
      <c r="AD191" s="23">
        <f t="shared" si="57"/>
        <v>0.51342333609992163</v>
      </c>
      <c r="AE191" s="23">
        <f t="shared" si="58"/>
        <v>6923.9431775624726</v>
      </c>
      <c r="AF191" s="23">
        <f t="shared" si="59"/>
        <v>1776.3246273432021</v>
      </c>
      <c r="AG191" s="23">
        <f t="shared" si="60"/>
        <v>4502.3055032727871</v>
      </c>
      <c r="AH191" s="23">
        <f t="shared" si="61"/>
        <v>6927.3380005006666</v>
      </c>
      <c r="AI191" s="23">
        <f t="shared" si="62"/>
        <v>5288.3066481212136</v>
      </c>
      <c r="AJ191" s="23"/>
      <c r="AK191" s="25">
        <f t="shared" si="53"/>
        <v>6927.3380005006666</v>
      </c>
      <c r="AL191" s="4"/>
      <c r="AM191" s="4"/>
      <c r="AN191" s="4"/>
      <c r="AO191" s="16"/>
      <c r="AP191" s="16"/>
      <c r="AS191" s="21">
        <f>-Y191*W191*X191^(-Parameters!B$52)*Parameters!B$46*Parameters!B$45*N191</f>
        <v>-1.7871380569444436E-6</v>
      </c>
      <c r="AT191" s="7">
        <f>1000*EXP(-(Parameters!$B$54)*'6states'!A191)*AK191*Parameters!B$46*Parameters!B$45*N191</f>
        <v>0.22683378008562657</v>
      </c>
    </row>
    <row r="192" spans="1:46" x14ac:dyDescent="0.25">
      <c r="A192">
        <f>A191+Parameters!$B$65</f>
        <v>188</v>
      </c>
      <c r="B192">
        <v>2213</v>
      </c>
      <c r="C192" s="74">
        <v>-4.400547917790389E-7</v>
      </c>
      <c r="D192" s="69">
        <v>9.09499842522348E-2</v>
      </c>
      <c r="E192" s="75">
        <v>0.22597558573341789</v>
      </c>
      <c r="F192" s="7">
        <f>MAX((1-Parameters!$B$4)^Parameters!B$65*F191 + C191*Parameters!B$65 - IF(C191&gt;0,Parameters!$B$5,0)*C191^2/F191*Parameters!B$65, 0.0001)</f>
        <v>1E-4</v>
      </c>
      <c r="G192" s="7">
        <f>(1-Parameters!$B$4)^Parameters!B$65*G191+D191*Parameters!B$65-Parameters!$B$5*D191^2/G191*Parameters!B$65</f>
        <v>1.3485739565060808</v>
      </c>
      <c r="H192" s="7">
        <f>(1-Parameters!$B$4)^Parameters!B$65*H191+E191*Parameters!B$65-Parameters!$B$5*E191^2/H191*Parameters!B$65</f>
        <v>3.3499775816174053</v>
      </c>
      <c r="I192" s="9">
        <f>I191 *(1-Parameters!$B$4)-C191*(C191&lt;0)*Parameters!B$65</f>
        <v>7.1975836585488385E-6</v>
      </c>
      <c r="J192" s="23">
        <f>J191*(1+Parameters!$B$51)^Parameters!B$65</f>
        <v>14.064517748883649</v>
      </c>
      <c r="K192" s="23">
        <f>K191*(1+Parameters!$B$53)^Parameters!B$65</f>
        <v>373.42944737070093</v>
      </c>
      <c r="L192" s="23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6.4346587198140584E-2</v>
      </c>
      <c r="M192" s="8">
        <f>M191+L192*Parameters!B$65</f>
        <v>3207.9692433900977</v>
      </c>
      <c r="N192" s="7">
        <f>M192*Parameters!$B$45</f>
        <v>1.9247815460340585</v>
      </c>
      <c r="O192" s="9">
        <f>EXP(-Parameters!$B$46/2*N192^2)</f>
        <v>0.96345154866107929</v>
      </c>
      <c r="P192" s="8">
        <f>MAX((Parameters!$B$62 + Parameters!$B$31*'6states'!A192 - '6states'!M192 + Parameters!$B$47/Parameters!$B$45)/Parameters!B$62,1)</f>
        <v>182.87261513219804</v>
      </c>
      <c r="Q192" s="8"/>
      <c r="R192" s="8"/>
      <c r="S192" s="7">
        <f>Parameters!B$61*EXP(-Parameters!B$60*A192)+(1-Parameters!B$61)*P192^-Parameters!B$63</f>
        <v>0.30012152164418582</v>
      </c>
      <c r="T192" s="7">
        <f>1-S192/Parameters!$B$12</f>
        <v>0.84993923917790704</v>
      </c>
      <c r="U192" s="7">
        <f t="shared" si="55"/>
        <v>6.6639672791314624</v>
      </c>
      <c r="V192" s="7">
        <f>(Parameters!$B$19*(F192+Parameters!$B$20)^T192+Parameters!$B$18*G192^T192)^(1/T192)</f>
        <v>0.34603691443748347</v>
      </c>
      <c r="W192" s="7">
        <f>(Parameters!$B$10*H192^Parameters!$B$9+Parameters!$B$11*V192^Parameters!$B$9)^(Parameters!$B$7/Parameters!$B$9)*O192</f>
        <v>1.3492651468444563</v>
      </c>
      <c r="X192" s="7">
        <f>W192 - D192 - E192 - LN(1+EXP(Parameters!$B$21*C192))/Parameters!$B$21 - IF(C192&gt;0, 0,Parameters!$B$6*C192^2/F192)</f>
        <v>1.0300292965946602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-0.16540911132561567</v>
      </c>
      <c r="AC192" s="23">
        <f t="shared" si="56"/>
        <v>3.7802465772371424E-2</v>
      </c>
      <c r="AD192" s="23">
        <f t="shared" si="57"/>
        <v>0.52521050905010358</v>
      </c>
      <c r="AE192" s="23">
        <f t="shared" si="58"/>
        <v>7082.8521418827095</v>
      </c>
      <c r="AF192" s="23">
        <f t="shared" si="59"/>
        <v>1817.4222398183783</v>
      </c>
      <c r="AG192" s="23">
        <f t="shared" si="60"/>
        <v>4606.4722777294965</v>
      </c>
      <c r="AH192" s="23">
        <f t="shared" si="61"/>
        <v>7086.4823461773958</v>
      </c>
      <c r="AI192" s="23">
        <f t="shared" si="62"/>
        <v>5409.8221120100161</v>
      </c>
      <c r="AJ192" s="23"/>
      <c r="AK192" s="25">
        <f t="shared" si="53"/>
        <v>7086.4823461773967</v>
      </c>
      <c r="AL192" s="4"/>
      <c r="AM192" s="4"/>
      <c r="AN192" s="4"/>
      <c r="AO192" s="16"/>
      <c r="AP192" s="16"/>
      <c r="AS192" s="21">
        <f>-Y192*W192*X192^(-Parameters!B$52)*Parameters!B$46*Parameters!B$45*N192</f>
        <v>-1.7603699708431879E-6</v>
      </c>
      <c r="AT192" s="7">
        <f>1000*EXP(-(Parameters!$B$54)*'6states'!A192)*AK192*Parameters!B$46*Parameters!B$45*N192</f>
        <v>0.22404591833919857</v>
      </c>
    </row>
    <row r="193" spans="1:46" x14ac:dyDescent="0.25">
      <c r="A193">
        <f>A192+Parameters!$B$65</f>
        <v>189</v>
      </c>
      <c r="B193">
        <v>2214</v>
      </c>
      <c r="C193" s="74">
        <v>-4.400547917790389E-7</v>
      </c>
      <c r="D193" s="69">
        <v>9.09499842522348E-2</v>
      </c>
      <c r="E193" s="75">
        <v>0.22597558573341789</v>
      </c>
      <c r="F193" s="7">
        <f>MAX((1-Parameters!$B$4)^Parameters!B$65*F192 + C192*Parameters!B$65 - IF(C192&gt;0,Parameters!$B$5,0)*C192^2/F192*Parameters!B$65, 0.0001)</f>
        <v>1E-4</v>
      </c>
      <c r="G193" s="7">
        <f>(1-Parameters!$B$4)^Parameters!B$65*G192+D192*Parameters!B$65-Parameters!$B$5*D192^2/G192*Parameters!B$65</f>
        <v>1.3485648265098422</v>
      </c>
      <c r="H193" s="7">
        <f>(1-Parameters!$B$4)^Parameters!B$65*H192+E192*Parameters!B$65-Parameters!$B$5*E192^2/H192*Parameters!B$65</f>
        <v>3.3499962022195127</v>
      </c>
      <c r="I193" s="9">
        <f>I192 *(1-Parameters!$B$4)-C192*(C192&lt;0)*Parameters!B$65</f>
        <v>7.1849104382051552E-6</v>
      </c>
      <c r="J193" s="23">
        <f>J192*(1+Parameters!$B$51)^Parameters!B$65</f>
        <v>14.105304850355409</v>
      </c>
      <c r="K193" s="23">
        <f>K192*(1+Parameters!$B$53)^Parameters!B$65</f>
        <v>380.89803631811498</v>
      </c>
      <c r="L193" s="23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6.5172031902439462E-2</v>
      </c>
      <c r="M193" s="8">
        <f>M192+L193*Parameters!B$65</f>
        <v>3208.0344154220002</v>
      </c>
      <c r="N193" s="7">
        <f>M193*Parameters!$B$45</f>
        <v>1.9248206492531998</v>
      </c>
      <c r="O193" s="9">
        <f>EXP(-Parameters!$B$46/2*N193^2)</f>
        <v>0.96345009110934843</v>
      </c>
      <c r="P193" s="8">
        <f>MAX((Parameters!$B$62 + Parameters!$B$31*'6states'!A193 - '6states'!M193 + Parameters!$B$47/Parameters!$B$45)/Parameters!B$62,1)</f>
        <v>183.93531169156003</v>
      </c>
      <c r="Q193" s="8"/>
      <c r="R193" s="8"/>
      <c r="S193" s="7">
        <f>Parameters!B$61*EXP(-Parameters!B$60*A193)+(1-Parameters!B$61)*P193^-Parameters!B$63</f>
        <v>0.29986630361462102</v>
      </c>
      <c r="T193" s="7">
        <f>1-S193/Parameters!$B$12</f>
        <v>0.85006684819268952</v>
      </c>
      <c r="U193" s="7">
        <f t="shared" si="55"/>
        <v>6.6696390220967912</v>
      </c>
      <c r="V193" s="7">
        <f>(Parameters!$B$19*(F193+Parameters!$B$20)^T193+Parameters!$B$18*G193^T193)^(1/T193)</f>
        <v>0.34609654066958412</v>
      </c>
      <c r="W193" s="7">
        <f>(Parameters!$B$10*H193^Parameters!$B$9+Parameters!$B$11*V193^Parameters!$B$9)^(Parameters!$B$7/Parameters!$B$9)*O193</f>
        <v>1.3492850575872246</v>
      </c>
      <c r="X193" s="7">
        <f>W193 - D193 - E193 - LN(1+EXP(Parameters!$B$21*C193))/Parameters!$B$21 - IF(C193&gt;0, 0,Parameters!$B$6*C193^2/F193)</f>
        <v>1.0300492073374286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-0.16292909434648428</v>
      </c>
      <c r="AC193" s="23">
        <f t="shared" si="56"/>
        <v>3.8602245587102152E-2</v>
      </c>
      <c r="AD193" s="23">
        <f t="shared" si="57"/>
        <v>0.53726829191687575</v>
      </c>
      <c r="AE193" s="23">
        <f t="shared" si="58"/>
        <v>7245.4112087812091</v>
      </c>
      <c r="AF193" s="23">
        <f t="shared" si="59"/>
        <v>1859.46697243887</v>
      </c>
      <c r="AG193" s="23">
        <f t="shared" si="60"/>
        <v>4713.0396405566398</v>
      </c>
      <c r="AH193" s="23">
        <f t="shared" si="61"/>
        <v>7249.2807819885165</v>
      </c>
      <c r="AI193" s="23">
        <f t="shared" si="62"/>
        <v>5534.1277821651211</v>
      </c>
      <c r="AJ193" s="23"/>
      <c r="AK193" s="25">
        <f t="shared" si="53"/>
        <v>7249.2807819885165</v>
      </c>
      <c r="AL193" s="4"/>
      <c r="AM193" s="4"/>
      <c r="AN193" s="4"/>
      <c r="AO193" s="16"/>
      <c r="AP193" s="16"/>
      <c r="AS193" s="21">
        <f>-Y193*W193*X193^(-Parameters!B$52)*Parameters!B$46*Parameters!B$45*N193</f>
        <v>-1.7340036340838172E-6</v>
      </c>
      <c r="AT193" s="7">
        <f>1000*EXP(-(Parameters!$B$54)*'6states'!A193)*AK193*Parameters!B$46*Parameters!B$45*N193</f>
        <v>0.22129231634635704</v>
      </c>
    </row>
    <row r="194" spans="1:46" x14ac:dyDescent="0.25">
      <c r="A194">
        <f>A193+Parameters!$B$65</f>
        <v>190</v>
      </c>
      <c r="B194">
        <v>2215</v>
      </c>
      <c r="C194" s="74">
        <v>-4.400547917790389E-7</v>
      </c>
      <c r="D194" s="69">
        <v>9.09499842522348E-2</v>
      </c>
      <c r="E194" s="75">
        <v>0.22597558573341789</v>
      </c>
      <c r="F194" s="7">
        <f>MAX((1-Parameters!$B$4)^Parameters!B$65*F193 + C193*Parameters!B$65 - IF(C193&gt;0,Parameters!$B$5,0)*C193^2/F193*Parameters!B$65, 0.0001)</f>
        <v>1E-4</v>
      </c>
      <c r="G194" s="7">
        <f>(1-Parameters!$B$4)^Parameters!B$65*G193+D193*Parameters!B$65-Parameters!$B$5*D193^2/G193*Parameters!B$65</f>
        <v>1.3485562292634914</v>
      </c>
      <c r="H194" s="7">
        <f>(1-Parameters!$B$4)^Parameters!B$65*H193+E193*Parameters!B$65-Parameters!$B$5*E193^2/H193*Parameters!B$65</f>
        <v>3.3500137363144478</v>
      </c>
      <c r="I194" s="9">
        <f>I193 *(1-Parameters!$B$4)-C193*(C193&lt;0)*Parameters!B$65</f>
        <v>7.1730343634210906E-6</v>
      </c>
      <c r="J194" s="23">
        <f>J193*(1+Parameters!$B$51)^Parameters!B$65</f>
        <v>14.146210234421439</v>
      </c>
      <c r="K194" s="23">
        <f>K193*(1+Parameters!$B$53)^Parameters!B$65</f>
        <v>388.51599704447727</v>
      </c>
      <c r="L194" s="23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6.6007879951017367E-2</v>
      </c>
      <c r="M194" s="8">
        <f>M193+L194*Parameters!B$65</f>
        <v>3208.1004233019512</v>
      </c>
      <c r="N194" s="7">
        <f>M194*Parameters!$B$45</f>
        <v>1.9248602539811706</v>
      </c>
      <c r="O194" s="9">
        <f>EXP(-Parameters!$B$46/2*N194^2)</f>
        <v>0.96344861483620692</v>
      </c>
      <c r="P194" s="8">
        <f>MAX((Parameters!$B$62 + Parameters!$B$31*'6states'!A194 - '6states'!M194 + Parameters!$B$47/Parameters!$B$45)/Parameters!B$62,1)</f>
        <v>184.99799153396097</v>
      </c>
      <c r="Q194" s="8"/>
      <c r="R194" s="8"/>
      <c r="S194" s="7">
        <f>Parameters!B$61*EXP(-Parameters!B$60*A194)+(1-Parameters!B$61)*P194^-Parameters!B$63</f>
        <v>0.29961439392199013</v>
      </c>
      <c r="T194" s="7">
        <f>1-S194/Parameters!$B$12</f>
        <v>0.85019280303900491</v>
      </c>
      <c r="U194" s="7">
        <f t="shared" si="55"/>
        <v>6.6752467190235683</v>
      </c>
      <c r="V194" s="7">
        <f>(Parameters!$B$19*(F194+Parameters!$B$20)^T194+Parameters!$B$18*G194^T194)^(1/T194)</f>
        <v>0.34615549361266801</v>
      </c>
      <c r="W194" s="7">
        <f>(Parameters!$B$10*H194^Parameters!$B$9+Parameters!$B$11*V194^Parameters!$B$9)^(Parameters!$B$7/Parameters!$B$9)*O194</f>
        <v>1.3493046069237506</v>
      </c>
      <c r="X194" s="7">
        <f>W194 - D194 - E194 - LN(1+EXP(Parameters!$B$21*C194))/Parameters!$B$21 - IF(C194&gt;0, 0,Parameters!$B$6*C194^2/F194)</f>
        <v>1.0300687566739546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-0.16048628056291595</v>
      </c>
      <c r="AC194" s="23">
        <f t="shared" si="56"/>
        <v>3.9423204690184663E-2</v>
      </c>
      <c r="AD194" s="23">
        <f t="shared" si="57"/>
        <v>0.5496028973627034</v>
      </c>
      <c r="AE194" s="23">
        <f t="shared" si="58"/>
        <v>7411.7041085973697</v>
      </c>
      <c r="AF194" s="23">
        <f t="shared" si="59"/>
        <v>1902.4806222753912</v>
      </c>
      <c r="AG194" s="23">
        <f t="shared" si="60"/>
        <v>4822.062839015849</v>
      </c>
      <c r="AH194" s="23">
        <f t="shared" si="61"/>
        <v>7415.8172139013695</v>
      </c>
      <c r="AI194" s="23">
        <f t="shared" si="62"/>
        <v>5661.2877315080295</v>
      </c>
      <c r="AJ194" s="23"/>
      <c r="AK194" s="25">
        <f t="shared" si="53"/>
        <v>7415.8172139013686</v>
      </c>
      <c r="AL194" s="4"/>
      <c r="AM194" s="4"/>
      <c r="AN194" s="4"/>
      <c r="AO194" s="16"/>
      <c r="AP194" s="16"/>
      <c r="AS194" s="21">
        <f>-Y194*W194*X194^(-Parameters!B$52)*Parameters!B$46*Parameters!B$45*N194</f>
        <v>-1.7080330013878424E-6</v>
      </c>
      <c r="AT194" s="7">
        <f>1000*EXP(-(Parameters!$B$54)*'6states'!A194)*AK194*Parameters!B$46*Parameters!B$45*N194</f>
        <v>0.21857255534234105</v>
      </c>
    </row>
    <row r="195" spans="1:46" x14ac:dyDescent="0.25">
      <c r="A195">
        <f>A194+Parameters!$B$65</f>
        <v>191</v>
      </c>
      <c r="B195">
        <v>2216</v>
      </c>
      <c r="C195" s="74">
        <v>-4.400547917790389E-7</v>
      </c>
      <c r="D195" s="69">
        <v>9.09499842522348E-2</v>
      </c>
      <c r="E195" s="75">
        <v>0.22597558573341789</v>
      </c>
      <c r="F195" s="7">
        <f>MAX((1-Parameters!$B$4)^Parameters!B$65*F194 + C194*Parameters!B$65 - IF(C194&gt;0,Parameters!$B$5,0)*C194^2/F194*Parameters!B$65, 0.0001)</f>
        <v>1E-4</v>
      </c>
      <c r="G195" s="7">
        <f>(1-Parameters!$B$4)^Parameters!B$65*G194+D194*Parameters!B$65-Parameters!$B$5*D194^2/G194*Parameters!B$65</f>
        <v>1.3485481336797058</v>
      </c>
      <c r="H195" s="7">
        <f>(1-Parameters!$B$4)^Parameters!B$65*H194+E194*Parameters!B$65-Parameters!$B$5*E194^2/H194*Parameters!B$65</f>
        <v>3.3500302472987542</v>
      </c>
      <c r="I195" s="9">
        <f>I194 *(1-Parameters!$B$4)-C194*(C194&lt;0)*Parameters!B$65</f>
        <v>7.1619052937409434E-6</v>
      </c>
      <c r="J195" s="23">
        <f>J194*(1+Parameters!$B$51)^Parameters!B$65</f>
        <v>14.18723424410126</v>
      </c>
      <c r="K195" s="23">
        <f>K194*(1+Parameters!$B$53)^Parameters!B$65</f>
        <v>396.28631698536685</v>
      </c>
      <c r="L195" s="23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6.6854270178193814E-2</v>
      </c>
      <c r="M195" s="8">
        <f>M194+L195*Parameters!B$65</f>
        <v>3208.1672775721295</v>
      </c>
      <c r="N195" s="7">
        <f>M195*Parameters!$B$45</f>
        <v>1.9249003665432776</v>
      </c>
      <c r="O195" s="9">
        <f>EXP(-Parameters!$B$46/2*N195^2)</f>
        <v>0.96344711960480334</v>
      </c>
      <c r="P195" s="8">
        <f>MAX((Parameters!$B$62 + Parameters!$B$31*'6states'!A195 - '6states'!M195 + Parameters!$B$47/Parameters!$B$45)/Parameters!B$62,1)</f>
        <v>186.06065444855744</v>
      </c>
      <c r="Q195" s="8"/>
      <c r="R195" s="8"/>
      <c r="S195" s="7">
        <f>Parameters!B$61*EXP(-Parameters!B$60*A195)+(1-Parameters!B$61)*P195^-Parameters!B$63</f>
        <v>0.29936572041825033</v>
      </c>
      <c r="T195" s="7">
        <f>1-S195/Parameters!$B$12</f>
        <v>0.85031713979087487</v>
      </c>
      <c r="U195" s="7">
        <f t="shared" si="55"/>
        <v>6.6807916324078693</v>
      </c>
      <c r="V195" s="7">
        <f>(Parameters!$B$19*(F195+Parameters!$B$20)^T195+Parameters!$B$18*G195^T195)^(1/T195)</f>
        <v>0.34621378323243895</v>
      </c>
      <c r="W195" s="7">
        <f>(Parameters!$B$10*H195^Parameters!$B$9+Parameters!$B$11*V195^Parameters!$B$9)^(Parameters!$B$7/Parameters!$B$9)*O195</f>
        <v>1.3493238037266968</v>
      </c>
      <c r="X195" s="7">
        <f>W195 - D195 - E195 - LN(1+EXP(Parameters!$B$21*C195))/Parameters!$B$21 - IF(C195&gt;0, 0,Parameters!$B$6*C195^2/F195)</f>
        <v>1.0300879534769007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-0.15808011110955439</v>
      </c>
      <c r="AC195" s="23">
        <f t="shared" si="56"/>
        <v>4.0265712692152809E-2</v>
      </c>
      <c r="AD195" s="23">
        <f t="shared" si="57"/>
        <v>0.56222068068035636</v>
      </c>
      <c r="AE195" s="23">
        <f t="shared" si="58"/>
        <v>7581.8164964762846</v>
      </c>
      <c r="AF195" s="23">
        <f t="shared" si="59"/>
        <v>1946.4854886986318</v>
      </c>
      <c r="AG195" s="23">
        <f t="shared" si="60"/>
        <v>4933.5983935076347</v>
      </c>
      <c r="AH195" s="23">
        <f t="shared" si="61"/>
        <v>7586.1774738943104</v>
      </c>
      <c r="AI195" s="23">
        <f t="shared" si="62"/>
        <v>5791.3675036441837</v>
      </c>
      <c r="AJ195" s="23"/>
      <c r="AK195" s="25">
        <f t="shared" si="53"/>
        <v>7586.1774738943104</v>
      </c>
      <c r="AL195" s="4"/>
      <c r="AM195" s="4"/>
      <c r="AN195" s="4"/>
      <c r="AO195" s="16"/>
      <c r="AP195" s="16"/>
      <c r="AS195" s="21">
        <f>-Y195*W195*X195^(-Parameters!B$52)*Parameters!B$46*Parameters!B$45*N195</f>
        <v>-1.6824521191304452E-6</v>
      </c>
      <c r="AT195" s="7">
        <f>1000*EXP(-(Parameters!$B$54)*'6states'!A195)*AK195*Parameters!B$46*Parameters!B$45*N195</f>
        <v>0.21588622158034085</v>
      </c>
    </row>
    <row r="196" spans="1:46" x14ac:dyDescent="0.25">
      <c r="A196">
        <f>A195+Parameters!$B$65</f>
        <v>192</v>
      </c>
      <c r="B196">
        <v>2217</v>
      </c>
      <c r="C196" s="74">
        <v>-4.400547917790389E-7</v>
      </c>
      <c r="D196" s="69">
        <v>9.09499842522348E-2</v>
      </c>
      <c r="E196" s="75">
        <v>0.22597558573341789</v>
      </c>
      <c r="F196" s="7">
        <f>MAX((1-Parameters!$B$4)^Parameters!B$65*F195 + C195*Parameters!B$65 - IF(C195&gt;0,Parameters!$B$5,0)*C195^2/F195*Parameters!B$65, 0.0001)</f>
        <v>1E-4</v>
      </c>
      <c r="G196" s="7">
        <f>(1-Parameters!$B$4)^Parameters!B$65*G195+D195*Parameters!B$65-Parameters!$B$5*D195^2/G195*Parameters!B$65</f>
        <v>1.3485405104852464</v>
      </c>
      <c r="H196" s="7">
        <f>(1-Parameters!$B$4)^Parameters!B$65*H195+E195*Parameters!B$65-Parameters!$B$5*E195^2/H195*Parameters!B$65</f>
        <v>3.3500457948699505</v>
      </c>
      <c r="I196" s="9">
        <f>I195 *(1-Parameters!$B$4)-C195*(C195&lt;0)*Parameters!B$65</f>
        <v>7.1514762425436766E-6</v>
      </c>
      <c r="J196" s="23">
        <f>J195*(1+Parameters!$B$51)^Parameters!B$65</f>
        <v>14.228377223409153</v>
      </c>
      <c r="K196" s="23">
        <f>K195*(1+Parameters!$B$53)^Parameters!B$65</f>
        <v>404.21204332507421</v>
      </c>
      <c r="L196" s="23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6.7711343050410891E-2</v>
      </c>
      <c r="M196" s="8">
        <f>M195+L196*Parameters!B$65</f>
        <v>3208.2349889151801</v>
      </c>
      <c r="N196" s="7">
        <f>M196*Parameters!$B$45</f>
        <v>1.924940993349108</v>
      </c>
      <c r="O196" s="9">
        <f>EXP(-Parameters!$B$46/2*N196^2)</f>
        <v>0.96344560517511246</v>
      </c>
      <c r="P196" s="8">
        <f>MAX((Parameters!$B$62 + Parameters!$B$31*'6states'!A196 - '6states'!M196 + Parameters!$B$47/Parameters!$B$45)/Parameters!B$62,1)</f>
        <v>187.12330022169641</v>
      </c>
      <c r="Q196" s="8"/>
      <c r="R196" s="8"/>
      <c r="S196" s="7">
        <f>Parameters!B$61*EXP(-Parameters!B$60*A196)+(1-Parameters!B$61)*P196^-Parameters!B$63</f>
        <v>0.29912021275984974</v>
      </c>
      <c r="T196" s="7">
        <f>1-S196/Parameters!$B$12</f>
        <v>0.8504398936200751</v>
      </c>
      <c r="U196" s="7">
        <f t="shared" si="55"/>
        <v>6.6862749980915206</v>
      </c>
      <c r="V196" s="7">
        <f>(Parameters!$B$19*(F196+Parameters!$B$20)^T196+Parameters!$B$18*G196^T196)^(1/T196)</f>
        <v>0.34627141949504742</v>
      </c>
      <c r="W196" s="7">
        <f>(Parameters!$B$10*H196^Parameters!$B$9+Parameters!$B$11*V196^Parameters!$B$9)^(Parameters!$B$7/Parameters!$B$9)*O196</f>
        <v>1.3493426565394082</v>
      </c>
      <c r="X196" s="7">
        <f>W196 - D196 - E196 - LN(1+EXP(Parameters!$B$21*C196))/Parameters!$B$21 - IF(C196&gt;0, 0,Parameters!$B$6*C196^2/F196)</f>
        <v>1.0301068062896122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-0.15571003555251428</v>
      </c>
      <c r="AC196" s="23">
        <f t="shared" si="56"/>
        <v>4.113015251564886E-2</v>
      </c>
      <c r="AD196" s="23">
        <f t="shared" si="57"/>
        <v>0.575128143067416</v>
      </c>
      <c r="AE196" s="23">
        <f t="shared" si="58"/>
        <v>7755.8359964656493</v>
      </c>
      <c r="AF196" s="23">
        <f t="shared" si="59"/>
        <v>1991.5043849150484</v>
      </c>
      <c r="AG196" s="23">
        <f t="shared" si="60"/>
        <v>5047.7041268102212</v>
      </c>
      <c r="AH196" s="23">
        <f t="shared" si="61"/>
        <v>7760.449364171639</v>
      </c>
      <c r="AI196" s="23">
        <f t="shared" si="62"/>
        <v>5924.4341466245096</v>
      </c>
      <c r="AJ196" s="23"/>
      <c r="AK196" s="25">
        <f t="shared" ref="AK196:AK204" si="63">W196*K196*J196</f>
        <v>7760.4493641716381</v>
      </c>
      <c r="AL196" s="4"/>
      <c r="AM196" s="4"/>
      <c r="AN196" s="4"/>
      <c r="AO196" s="16"/>
      <c r="AP196" s="16"/>
      <c r="AS196" s="21">
        <f>-Y196*W196*X196^(-Parameters!B$52)*Parameters!B$46*Parameters!B$45*N196</f>
        <v>-1.6572551239152362E-6</v>
      </c>
      <c r="AT196" s="7">
        <f>1000*EXP(-(Parameters!$B$54)*'6states'!A196)*AK196*Parameters!B$46*Parameters!B$45*N196</f>
        <v>0.21323290627645733</v>
      </c>
    </row>
    <row r="197" spans="1:46" x14ac:dyDescent="0.25">
      <c r="A197">
        <f>A196+Parameters!$B$65</f>
        <v>193</v>
      </c>
      <c r="B197">
        <v>2218</v>
      </c>
      <c r="C197" s="74">
        <v>-4.400547917790389E-7</v>
      </c>
      <c r="D197" s="69">
        <v>9.09499842522348E-2</v>
      </c>
      <c r="E197" s="75">
        <v>0.22597558573341789</v>
      </c>
      <c r="F197" s="7">
        <f>MAX((1-Parameters!$B$4)^Parameters!B$65*F196 + C196*Parameters!B$65 - IF(C196&gt;0,Parameters!$B$5,0)*C196^2/F196*Parameters!B$65, 0.0001)</f>
        <v>1E-4</v>
      </c>
      <c r="G197" s="7">
        <f>(1-Parameters!$B$4)^Parameters!B$65*G196+D196*Parameters!B$65-Parameters!$B$5*D196^2/G196*Parameters!B$65</f>
        <v>1.348533332115091</v>
      </c>
      <c r="H197" s="7">
        <f>(1-Parameters!$B$4)^Parameters!B$65*H196+E196*Parameters!B$65-Parameters!$B$5*E196^2/H196*Parameters!B$65</f>
        <v>3.3500604352423506</v>
      </c>
      <c r="I197" s="9">
        <f>I196 *(1-Parameters!$B$4)-C196*(C196&lt;0)*Parameters!B$65</f>
        <v>7.1417031786667192E-6</v>
      </c>
      <c r="J197" s="23">
        <f>J196*(1+Parameters!$B$51)^Parameters!B$65</f>
        <v>14.269639517357037</v>
      </c>
      <c r="K197" s="23">
        <f>K196*(1+Parameters!$B$53)^Parameters!B$65</f>
        <v>412.29628419157569</v>
      </c>
      <c r="L197" s="23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6.8579240678503753E-2</v>
      </c>
      <c r="M197" s="8">
        <f>M196+L197*Parameters!B$65</f>
        <v>3208.3035681558586</v>
      </c>
      <c r="N197" s="7">
        <f>M197*Parameters!$B$45</f>
        <v>1.924982140893515</v>
      </c>
      <c r="O197" s="9">
        <f>EXP(-Parameters!$B$46/2*N197^2)</f>
        <v>0.96344407130389798</v>
      </c>
      <c r="P197" s="8">
        <f>MAX((Parameters!$B$62 + Parameters!$B$31*'6states'!A197 - '6states'!M197 + Parameters!$B$47/Parameters!$B$45)/Parameters!B$62,1)</f>
        <v>188.18592863688281</v>
      </c>
      <c r="Q197" s="8"/>
      <c r="R197" s="8"/>
      <c r="S197" s="7">
        <f>Parameters!B$61*EXP(-Parameters!B$60*A197)+(1-Parameters!B$61)*P197^-Parameters!B$63</f>
        <v>0.29887780236045264</v>
      </c>
      <c r="T197" s="7">
        <f>1-S197/Parameters!$B$12</f>
        <v>0.85056109881977371</v>
      </c>
      <c r="U197" s="7">
        <f t="shared" ref="U197:U204" si="64">1/(1-T197)</f>
        <v>6.6916980257635865</v>
      </c>
      <c r="V197" s="7">
        <f>(Parameters!$B$19*(F197+Parameters!$B$20)^T197+Parameters!$B$18*G197^T197)^(1/T197)</f>
        <v>0.34632841235314527</v>
      </c>
      <c r="W197" s="7">
        <f>(Parameters!$B$10*H197^Parameters!$B$9+Parameters!$B$11*V197^Parameters!$B$9)^(Parameters!$B$7/Parameters!$B$9)*O197</f>
        <v>1.3493611735894151</v>
      </c>
      <c r="X197" s="7">
        <f>W197 - D197 - E197 - LN(1+EXP(Parameters!$B$21*C197))/Parameters!$B$21 - IF(C197&gt;0, 0,Parameters!$B$6*C197^2/F197)</f>
        <v>1.030125323339619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-0.1533755117603004</v>
      </c>
      <c r="AC197" s="23">
        <f t="shared" ref="AC197:AC204" si="65">I197*J197*K197</f>
        <v>4.2016920501289377E-2</v>
      </c>
      <c r="AD197" s="23">
        <f t="shared" ref="AD197:AD204" si="66">F197*J197*K197</f>
        <v>0.58833193497595759</v>
      </c>
      <c r="AE197" s="23">
        <f t="shared" ref="AE197:AE204" si="67">G197*J197*K197</f>
        <v>7933.8522466284712</v>
      </c>
      <c r="AF197" s="23">
        <f t="shared" ref="AF197:AF204" si="68">V197*J197*K197</f>
        <v>2037.5606497687727</v>
      </c>
      <c r="AG197" s="23">
        <f t="shared" ref="AG197:AG204" si="69">AF197/AF$4*100</f>
        <v>5164.4391939928755</v>
      </c>
      <c r="AH197" s="23">
        <f t="shared" ref="AH197:AH204" si="70">W197*J197*K197</f>
        <v>7938.7227023928954</v>
      </c>
      <c r="AI197" s="23">
        <f t="shared" ref="AI197:AI204" si="71">X197*J197*K197</f>
        <v>6060.5562474813205</v>
      </c>
      <c r="AJ197" s="23"/>
      <c r="AK197" s="25">
        <f t="shared" si="63"/>
        <v>7938.7227023928954</v>
      </c>
      <c r="AL197" s="4"/>
      <c r="AM197" s="4"/>
      <c r="AN197" s="4"/>
      <c r="AO197" s="16"/>
      <c r="AP197" s="16"/>
      <c r="AS197" s="21">
        <f>-Y197*W197*X197^(-Parameters!B$52)*Parameters!B$46*Parameters!B$45*N197</f>
        <v>-1.6324362411731965E-6</v>
      </c>
      <c r="AT197" s="7">
        <f>1000*EXP(-(Parameters!$B$54)*'6states'!A197)*AK197*Parameters!B$46*Parameters!B$45*N197</f>
        <v>0.21061220555497845</v>
      </c>
    </row>
    <row r="198" spans="1:46" x14ac:dyDescent="0.25">
      <c r="A198">
        <f>A197+Parameters!$B$65</f>
        <v>194</v>
      </c>
      <c r="B198">
        <v>2219</v>
      </c>
      <c r="C198" s="74">
        <v>-4.400547917790389E-7</v>
      </c>
      <c r="D198" s="69">
        <v>9.09499842522348E-2</v>
      </c>
      <c r="E198" s="75">
        <v>0.22597558573341789</v>
      </c>
      <c r="F198" s="7">
        <f>MAX((1-Parameters!$B$4)^Parameters!B$65*F197 + C197*Parameters!B$65 - IF(C197&gt;0,Parameters!$B$5,0)*C197^2/F197*Parameters!B$65, 0.0001)</f>
        <v>1E-4</v>
      </c>
      <c r="G198" s="7">
        <f>(1-Parameters!$B$4)^Parameters!B$65*G197+D197*Parameters!B$65-Parameters!$B$5*D197^2/G197*Parameters!B$65</f>
        <v>1.3485265726127467</v>
      </c>
      <c r="H198" s="7">
        <f>(1-Parameters!$B$4)^Parameters!B$65*H197+E197*Parameters!B$65-Parameters!$B$5*E197^2/H197*Parameters!B$65</f>
        <v>3.3500742213502881</v>
      </c>
      <c r="I198" s="9">
        <f>I197 *(1-Parameters!$B$4)-C197*(C197&lt;0)*Parameters!B$65</f>
        <v>7.1325448405076225E-6</v>
      </c>
      <c r="J198" s="23">
        <f>J197*(1+Parameters!$B$51)^Parameters!B$65</f>
        <v>14.311021471957371</v>
      </c>
      <c r="K198" s="23">
        <f>K197*(1+Parameters!$B$53)^Parameters!B$65</f>
        <v>420.5422098754072</v>
      </c>
      <c r="L198" s="23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6.9458106832058567E-2</v>
      </c>
      <c r="M198" s="8">
        <f>M197+L198*Parameters!B$65</f>
        <v>3208.3730262626905</v>
      </c>
      <c r="N198" s="7">
        <f>M198*Parameters!$B$45</f>
        <v>1.9250238157576141</v>
      </c>
      <c r="O198" s="9">
        <f>EXP(-Parameters!$B$46/2*N198^2)</f>
        <v>0.96344251774467382</v>
      </c>
      <c r="P198" s="8">
        <f>MAX((Parameters!$B$62 + Parameters!$B$31*'6states'!A198 - '6states'!M198 + Parameters!$B$47/Parameters!$B$45)/Parameters!B$62,1)</f>
        <v>189.24853947474622</v>
      </c>
      <c r="Q198" s="8"/>
      <c r="R198" s="8"/>
      <c r="S198" s="7">
        <f>Parameters!B$61*EXP(-Parameters!B$60*A198)+(1-Parameters!B$61)*P198^-Parameters!B$63</f>
        <v>0.29863842234493693</v>
      </c>
      <c r="T198" s="7">
        <f>1-S198/Parameters!$B$12</f>
        <v>0.85068078882753151</v>
      </c>
      <c r="U198" s="7">
        <f t="shared" si="64"/>
        <v>6.6970618994562452</v>
      </c>
      <c r="V198" s="7">
        <f>(Parameters!$B$19*(F198+Parameters!$B$20)^T198+Parameters!$B$18*G198^T198)^(1/T198)</f>
        <v>0.34638477173310234</v>
      </c>
      <c r="W198" s="7">
        <f>(Parameters!$B$10*H198^Parameters!$B$9+Parameters!$B$11*V198^Parameters!$B$9)^(Parameters!$B$7/Parameters!$B$9)*O198</f>
        <v>1.3493793628012978</v>
      </c>
      <c r="X198" s="7">
        <f>W198 - D198 - E198 - LN(1+EXP(Parameters!$B$21*C198))/Parameters!$B$21 - IF(C198&gt;0, 0,Parameters!$B$6*C198^2/F198)</f>
        <v>1.0301435125515017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-0.15107600577680816</v>
      </c>
      <c r="AC198" s="23">
        <f t="shared" si="65"/>
        <v>4.2926426524228532E-2</v>
      </c>
      <c r="AD198" s="23">
        <f t="shared" si="66"/>
        <v>0.60183885953913563</v>
      </c>
      <c r="AE198" s="23">
        <f t="shared" si="67"/>
        <v>8115.9569451947473</v>
      </c>
      <c r="AF198" s="23">
        <f t="shared" si="68"/>
        <v>2084.6781598157413</v>
      </c>
      <c r="AG198" s="23">
        <f t="shared" si="69"/>
        <v>5283.8641130192282</v>
      </c>
      <c r="AH198" s="23">
        <f t="shared" si="70"/>
        <v>8121.0893679397859</v>
      </c>
      <c r="AI198" s="23">
        <f t="shared" si="71"/>
        <v>6199.8039675563496</v>
      </c>
      <c r="AJ198" s="23"/>
      <c r="AK198" s="25">
        <f t="shared" si="63"/>
        <v>8121.0893679397859</v>
      </c>
      <c r="AL198" s="4"/>
      <c r="AM198" s="4"/>
      <c r="AN198" s="4"/>
      <c r="AO198" s="16"/>
      <c r="AP198" s="16"/>
      <c r="AS198" s="21">
        <f>-Y198*W198*X198^(-Parameters!B$52)*Parameters!B$46*Parameters!B$45*N198</f>
        <v>-1.6079897837852421E-6</v>
      </c>
      <c r="AT198" s="7">
        <f>1000*EXP(-(Parameters!$B$54)*'6states'!A198)*AK198*Parameters!B$46*Parameters!B$45*N198</f>
        <v>0.2080237203939892</v>
      </c>
    </row>
    <row r="199" spans="1:46" x14ac:dyDescent="0.25">
      <c r="A199">
        <f>A198+Parameters!$B$65</f>
        <v>195</v>
      </c>
      <c r="B199">
        <v>2220</v>
      </c>
      <c r="C199" s="74">
        <v>-4.400547917790389E-7</v>
      </c>
      <c r="D199" s="69">
        <v>9.09499842522348E-2</v>
      </c>
      <c r="E199" s="75">
        <v>0.22597558573341789</v>
      </c>
      <c r="F199" s="7">
        <f>MAX((1-Parameters!$B$4)^Parameters!B$65*F198 + C198*Parameters!B$65 - IF(C198&gt;0,Parameters!$B$5,0)*C198^2/F198*Parameters!B$65, 0.0001)</f>
        <v>1E-4</v>
      </c>
      <c r="G199" s="7">
        <f>(1-Parameters!$B$4)^Parameters!B$65*G198+D198*Parameters!B$65-Parameters!$B$5*D198^2/G198*Parameters!B$65</f>
        <v>1.34852020753638</v>
      </c>
      <c r="H199" s="7">
        <f>(1-Parameters!$B$4)^Parameters!B$65*H198+E198*Parameters!B$65-Parameters!$B$5*E198^2/H198*Parameters!B$65</f>
        <v>3.3500872030394877</v>
      </c>
      <c r="I199" s="9">
        <f>I198 *(1-Parameters!$B$4)-C198*(C198&lt;0)*Parameters!B$65</f>
        <v>7.1239625618187318E-6</v>
      </c>
      <c r="J199" s="23">
        <f>J198*(1+Parameters!$B$51)^Parameters!B$65</f>
        <v>14.352523434226047</v>
      </c>
      <c r="K199" s="23">
        <f>K198*(1+Parameters!$B$53)^Parameters!B$65</f>
        <v>428.95305407291534</v>
      </c>
      <c r="L199" s="23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7.0348086955660943E-2</v>
      </c>
      <c r="M199" s="8">
        <f>M198+L199*Parameters!B$65</f>
        <v>3208.4433743496461</v>
      </c>
      <c r="N199" s="7">
        <f>M199*Parameters!$B$45</f>
        <v>1.9250660246097875</v>
      </c>
      <c r="O199" s="9">
        <f>EXP(-Parameters!$B$46/2*N199^2)</f>
        <v>0.96344094424766658</v>
      </c>
      <c r="P199" s="8">
        <f>MAX((Parameters!$B$62 + Parameters!$B$31*'6states'!A199 - '6states'!M199 + Parameters!$B$47/Parameters!$B$45)/Parameters!B$62,1)</f>
        <v>190.31113251300707</v>
      </c>
      <c r="Q199" s="8"/>
      <c r="R199" s="8"/>
      <c r="S199" s="7">
        <f>Parameters!B$61*EXP(-Parameters!B$60*A199)+(1-Parameters!B$61)*P199^-Parameters!B$63</f>
        <v>0.29840200750462592</v>
      </c>
      <c r="T199" s="7">
        <f>1-S199/Parameters!$B$12</f>
        <v>0.85079899624768707</v>
      </c>
      <c r="U199" s="7">
        <f t="shared" si="64"/>
        <v>6.702367778035125</v>
      </c>
      <c r="V199" s="7">
        <f>(Parameters!$B$19*(F199+Parameters!$B$20)^T199+Parameters!$B$18*G199^T199)^(1/T199)</f>
        <v>0.34644050752330841</v>
      </c>
      <c r="W199" s="7">
        <f>(Parameters!$B$10*H199^Parameters!$B$9+Parameters!$B$11*V199^Parameters!$B$9)^(Parameters!$B$7/Parameters!$B$9)*O199</f>
        <v>1.3493972318089464</v>
      </c>
      <c r="X199" s="7">
        <f>W199 - D199 - E199 - LN(1+EXP(Parameters!$B$21*C199))/Parameters!$B$21 - IF(C199&gt;0, 0,Parameters!$B$6*C199^2/F199)</f>
        <v>1.0301613815591504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-0.14881099169636627</v>
      </c>
      <c r="AC199" s="23">
        <f t="shared" si="65"/>
        <v>4.3859094121322356E-2</v>
      </c>
      <c r="AD199" s="23">
        <f t="shared" si="66"/>
        <v>0.61565587607643502</v>
      </c>
      <c r="AE199" s="23">
        <f t="shared" si="67"/>
        <v>8302.2438977758593</v>
      </c>
      <c r="AF199" s="23">
        <f t="shared" si="68"/>
        <v>2132.8813416762719</v>
      </c>
      <c r="AG199" s="23">
        <f t="shared" si="69"/>
        <v>5406.0407960563398</v>
      </c>
      <c r="AH199" s="23">
        <f t="shared" si="70"/>
        <v>8307.6433492445321</v>
      </c>
      <c r="AI199" s="23">
        <f t="shared" si="71"/>
        <v>6342.2490786390936</v>
      </c>
      <c r="AJ199" s="23"/>
      <c r="AK199" s="25">
        <f t="shared" si="63"/>
        <v>8307.6433492445321</v>
      </c>
      <c r="AL199" s="4"/>
      <c r="AM199" s="4"/>
      <c r="AN199" s="4"/>
      <c r="AO199" s="16"/>
      <c r="AP199" s="16"/>
      <c r="AS199" s="21">
        <f>-Y199*W199*X199^(-Parameters!B$52)*Parameters!B$46*Parameters!B$45*N199</f>
        <v>-1.5839101507279104E-6</v>
      </c>
      <c r="AT199" s="7">
        <f>1000*EXP(-(Parameters!$B$54)*'6states'!A199)*AK199*Parameters!B$46*Parameters!B$45*N199</f>
        <v>0.20546705657133113</v>
      </c>
    </row>
    <row r="200" spans="1:46" x14ac:dyDescent="0.25">
      <c r="A200">
        <f>A199+Parameters!$B$65</f>
        <v>196</v>
      </c>
      <c r="B200">
        <v>2221</v>
      </c>
      <c r="C200" s="74">
        <v>-4.400547917790389E-7</v>
      </c>
      <c r="D200" s="69">
        <v>9.09499842522348E-2</v>
      </c>
      <c r="E200" s="75">
        <v>0.22597558573341789</v>
      </c>
      <c r="F200" s="7">
        <f>MAX((1-Parameters!$B$4)^Parameters!B$65*F199 + C199*Parameters!B$65 - IF(C199&gt;0,Parameters!$B$5,0)*C199^2/F199*Parameters!B$65, 0.0001)</f>
        <v>1E-4</v>
      </c>
      <c r="G200" s="7">
        <f>(1-Parameters!$B$4)^Parameters!B$65*G199+D199*Parameters!B$65-Parameters!$B$5*D199^2/G199*Parameters!B$65</f>
        <v>1.3485142138704278</v>
      </c>
      <c r="H200" s="7">
        <f>(1-Parameters!$B$4)^Parameters!B$65*H199+E199*Parameters!B$65-Parameters!$B$5*E199^2/H199*Parameters!B$65</f>
        <v>3.3500994272472733</v>
      </c>
      <c r="I200" s="9">
        <f>I199 *(1-Parameters!$B$4)-C199*(C199&lt;0)*Parameters!B$65</f>
        <v>7.1159201084593727E-6</v>
      </c>
      <c r="J200" s="23">
        <f>J199*(1+Parameters!$B$51)^Parameters!B$65</f>
        <v>14.394145752185301</v>
      </c>
      <c r="K200" s="23">
        <f>K199*(1+Parameters!$B$53)^Parameters!B$65</f>
        <v>437.53211515437363</v>
      </c>
      <c r="L200" s="23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7.1249328186855213E-2</v>
      </c>
      <c r="M200" s="8">
        <f>M199+L200*Parameters!B$65</f>
        <v>3208.5146236778328</v>
      </c>
      <c r="N200" s="7">
        <f>M200*Parameters!$B$45</f>
        <v>1.9251087742066995</v>
      </c>
      <c r="O200" s="9">
        <f>EXP(-Parameters!$B$46/2*N200^2)</f>
        <v>0.96343935055977614</v>
      </c>
      <c r="P200" s="8">
        <f>MAX((Parameters!$B$62 + Parameters!$B$31*'6states'!A200 - '6states'!M200 + Parameters!$B$47/Parameters!$B$45)/Parameters!B$62,1)</f>
        <v>191.37370752644335</v>
      </c>
      <c r="Q200" s="8"/>
      <c r="R200" s="8"/>
      <c r="S200" s="7">
        <f>Parameters!B$61*EXP(-Parameters!B$60*A200)+(1-Parameters!B$61)*P200^-Parameters!B$63</f>
        <v>0.29816849425372222</v>
      </c>
      <c r="T200" s="7">
        <f>1-S200/Parameters!$B$12</f>
        <v>0.85091575287313892</v>
      </c>
      <c r="U200" s="7">
        <f t="shared" si="64"/>
        <v>6.707616795683748</v>
      </c>
      <c r="V200" s="7">
        <f>(Parameters!$B$19*(F200+Parameters!$B$20)^T200+Parameters!$B$18*G200^T200)^(1/T200)</f>
        <v>0.34649562956348795</v>
      </c>
      <c r="W200" s="7">
        <f>(Parameters!$B$10*H200^Parameters!$B$9+Parameters!$B$11*V200^Parameters!$B$9)^(Parameters!$B$7/Parameters!$B$9)*O200</f>
        <v>1.3494147879672431</v>
      </c>
      <c r="X200" s="7">
        <f>W200 - D200 - E200 - LN(1+EXP(Parameters!$B$21*C200))/Parameters!$B$21 - IF(C200&gt;0, 0,Parameters!$B$6*C200^2/F200)</f>
        <v>1.0301789377174471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-0.14657995154078263</v>
      </c>
      <c r="AC200" s="23">
        <f t="shared" si="65"/>
        <v>4.4815360628809392E-2</v>
      </c>
      <c r="AD200" s="23">
        <f t="shared" si="66"/>
        <v>0.62979010367939769</v>
      </c>
      <c r="AE200" s="23">
        <f t="shared" si="67"/>
        <v>8492.8090656659824</v>
      </c>
      <c r="AF200" s="23">
        <f t="shared" si="68"/>
        <v>2182.1951846724724</v>
      </c>
      <c r="AG200" s="23">
        <f t="shared" si="69"/>
        <v>5531.0325815057149</v>
      </c>
      <c r="AH200" s="23">
        <f t="shared" si="70"/>
        <v>8498.4807922040254</v>
      </c>
      <c r="AI200" s="23">
        <f t="shared" si="71"/>
        <v>6487.9649999340272</v>
      </c>
      <c r="AJ200" s="23"/>
      <c r="AK200" s="25">
        <f t="shared" si="63"/>
        <v>8498.4807922040254</v>
      </c>
      <c r="AL200" s="4"/>
      <c r="AM200" s="4"/>
      <c r="AN200" s="4"/>
      <c r="AO200" s="16"/>
      <c r="AP200" s="16"/>
      <c r="AS200" s="21">
        <f>-Y200*W200*X200^(-Parameters!B$52)*Parameters!B$46*Parameters!B$45*N200</f>
        <v>-1.560191825741694E-6</v>
      </c>
      <c r="AT200" s="7">
        <f>1000*EXP(-(Parameters!$B$54)*'6states'!A200)*AK200*Parameters!B$46*Parameters!B$45*N200</f>
        <v>0.20294182461092475</v>
      </c>
    </row>
    <row r="201" spans="1:46" x14ac:dyDescent="0.25">
      <c r="A201">
        <f>A200+Parameters!$B$65</f>
        <v>197</v>
      </c>
      <c r="B201">
        <v>2222</v>
      </c>
      <c r="C201" s="74">
        <v>-4.400547917790389E-7</v>
      </c>
      <c r="D201" s="69">
        <v>9.09499842522348E-2</v>
      </c>
      <c r="E201" s="75">
        <v>0.22597558573341789</v>
      </c>
      <c r="F201" s="7">
        <f>MAX((1-Parameters!$B$4)^Parameters!B$65*F200 + C200*Parameters!B$65 - IF(C200&gt;0,Parameters!$B$5,0)*C200^2/F200*Parameters!B$65, 0.0001)</f>
        <v>1E-4</v>
      </c>
      <c r="G201" s="7">
        <f>(1-Parameters!$B$4)^Parameters!B$65*G200+D200*Parameters!B$65-Parameters!$B$5*D200^2/G200*Parameters!B$65</f>
        <v>1.3485085699423636</v>
      </c>
      <c r="H201" s="7">
        <f>(1-Parameters!$B$4)^Parameters!B$65*H200+E200*Parameters!B$65-Parameters!$B$5*E200^2/H200*Parameters!B$65</f>
        <v>3.3501109381722571</v>
      </c>
      <c r="I201" s="9">
        <f>I200 *(1-Parameters!$B$4)-C200*(C200&lt;0)*Parameters!B$65</f>
        <v>7.1083835254163174E-6</v>
      </c>
      <c r="J201" s="23">
        <f>J200*(1+Parameters!$B$51)^Parameters!B$65</f>
        <v>14.435888774866637</v>
      </c>
      <c r="K201" s="23">
        <f>K200*(1+Parameters!$B$53)^Parameters!B$65</f>
        <v>446.28275745746112</v>
      </c>
      <c r="L201" s="23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7.2161979375650331E-2</v>
      </c>
      <c r="M201" s="8">
        <f>M200+L201*Parameters!B$65</f>
        <v>3208.5867856572086</v>
      </c>
      <c r="N201" s="7">
        <f>M201*Parameters!$B$45</f>
        <v>1.9251520713943249</v>
      </c>
      <c r="O201" s="9">
        <f>EXP(-Parameters!$B$46/2*N201^2)</f>
        <v>0.96343773642453667</v>
      </c>
      <c r="P201" s="8">
        <f>MAX((Parameters!$B$62 + Parameters!$B$31*'6states'!A201 - '6states'!M201 + Parameters!$B$47/Parameters!$B$45)/Parameters!B$62,1)</f>
        <v>192.43626428685587</v>
      </c>
      <c r="Q201" s="8"/>
      <c r="R201" s="8"/>
      <c r="S201" s="7">
        <f>Parameters!B$61*EXP(-Parameters!B$60*A201)+(1-Parameters!B$61)*P201^-Parameters!B$63</f>
        <v>0.29793782058691043</v>
      </c>
      <c r="T201" s="7">
        <f>1-S201/Parameters!$B$12</f>
        <v>0.85103108970654473</v>
      </c>
      <c r="U201" s="7">
        <f t="shared" si="64"/>
        <v>6.7128100623820801</v>
      </c>
      <c r="V201" s="7">
        <f>(Parameters!$B$19*(F201+Parameters!$B$20)^T201+Parameters!$B$18*G201^T201)^(1/T201)</f>
        <v>0.34655014763496184</v>
      </c>
      <c r="W201" s="7">
        <f>(Parameters!$B$10*H201^Parameters!$B$9+Parameters!$B$11*V201^Parameters!$B$9)^(Parameters!$B$7/Parameters!$B$9)*O201</f>
        <v>1.3494320383631995</v>
      </c>
      <c r="X201" s="7">
        <f>W201 - D201 - E201 - LN(1+EXP(Parameters!$B$21*C201))/Parameters!$B$21 - IF(C201&gt;0, 0,Parameters!$B$6*C201^2/F201)</f>
        <v>1.0301961881134034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-0.14438237513835536</v>
      </c>
      <c r="AC201" s="23">
        <f t="shared" si="65"/>
        <v>4.5795677330434638E-2</v>
      </c>
      <c r="AD201" s="23">
        <f t="shared" si="66"/>
        <v>0.64424882487966939</v>
      </c>
      <c r="AE201" s="23">
        <f t="shared" si="67"/>
        <v>8687.7506152553105</v>
      </c>
      <c r="AF201" s="23">
        <f t="shared" si="68"/>
        <v>2232.6452537570008</v>
      </c>
      <c r="AG201" s="23">
        <f t="shared" si="69"/>
        <v>5658.904266772779</v>
      </c>
      <c r="AH201" s="23">
        <f t="shared" si="70"/>
        <v>8693.7000497046811</v>
      </c>
      <c r="AI201" s="23">
        <f t="shared" si="71"/>
        <v>6637.0268358757485</v>
      </c>
      <c r="AJ201" s="23"/>
      <c r="AK201" s="25">
        <f t="shared" si="63"/>
        <v>8693.7000497046811</v>
      </c>
      <c r="AL201" s="4"/>
      <c r="AM201" s="4"/>
      <c r="AN201" s="4"/>
      <c r="AO201" s="16"/>
      <c r="AP201" s="16"/>
      <c r="AS201" s="21">
        <f>-Y201*W201*X201^(-Parameters!B$52)*Parameters!B$46*Parameters!B$45*N201</f>
        <v>-1.5368293760215188E-6</v>
      </c>
      <c r="AT201" s="7">
        <f>1000*EXP(-(Parameters!$B$54)*'6states'!A201)*AK201*Parameters!B$46*Parameters!B$45*N201</f>
        <v>0.20044763972946858</v>
      </c>
    </row>
    <row r="202" spans="1:46" x14ac:dyDescent="0.25">
      <c r="A202">
        <f>A201+Parameters!$B$65</f>
        <v>198</v>
      </c>
      <c r="B202">
        <v>2223</v>
      </c>
      <c r="C202" s="74">
        <v>-4.400547917790389E-7</v>
      </c>
      <c r="D202" s="69">
        <v>9.09499842522348E-2</v>
      </c>
      <c r="E202" s="75">
        <v>0.22597558573341789</v>
      </c>
      <c r="F202" s="7">
        <f>MAX((1-Parameters!$B$4)^Parameters!B$65*F201 + C201*Parameters!B$65 - IF(C201&gt;0,Parameters!$B$5,0)*C201^2/F201*Parameters!B$65, 0.0001)</f>
        <v>1E-4</v>
      </c>
      <c r="G202" s="7">
        <f>(1-Parameters!$B$4)^Parameters!B$65*G201+D201*Parameters!B$65-Parameters!$B$5*D201^2/G201*Parameters!B$65</f>
        <v>1.3485032553443232</v>
      </c>
      <c r="H202" s="7">
        <f>(1-Parameters!$B$4)^Parameters!B$65*H201+E201*Parameters!B$65-Parameters!$B$5*E201^2/H201*Parameters!B$65</f>
        <v>3.3501217774341363</v>
      </c>
      <c r="I202" s="9">
        <f>I201 *(1-Parameters!$B$4)-C201*(C201&lt;0)*Parameters!B$65</f>
        <v>7.1013209934466704E-6</v>
      </c>
      <c r="J202" s="23">
        <f>J201*(1+Parameters!$B$51)^Parameters!B$65</f>
        <v>14.477752852313749</v>
      </c>
      <c r="K202" s="23">
        <f>K201*(1+Parameters!$B$53)^Parameters!B$65</f>
        <v>455.20841260661035</v>
      </c>
      <c r="L202" s="23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7.3086191105423151E-2</v>
      </c>
      <c r="M202" s="8">
        <f>M201+L202*Parameters!B$65</f>
        <v>3208.6598718483142</v>
      </c>
      <c r="N202" s="7">
        <f>M202*Parameters!$B$45</f>
        <v>1.9251959231089883</v>
      </c>
      <c r="O202" s="9">
        <f>EXP(-Parameters!$B$46/2*N202^2)</f>
        <v>0.96343610158207671</v>
      </c>
      <c r="P202" s="8">
        <f>MAX((Parameters!$B$62 + Parameters!$B$31*'6states'!A202 - '6states'!M202 + Parameters!$B$47/Parameters!$B$45)/Parameters!B$62,1)</f>
        <v>193.49880256303371</v>
      </c>
      <c r="Q202" s="8"/>
      <c r="R202" s="8"/>
      <c r="S202" s="7">
        <f>Parameters!B$61*EXP(-Parameters!B$60*A202)+(1-Parameters!B$61)*P202^-Parameters!B$63</f>
        <v>0.29770992603809576</v>
      </c>
      <c r="T202" s="7">
        <f>1-S202/Parameters!$B$12</f>
        <v>0.85114503698095212</v>
      </c>
      <c r="U202" s="7">
        <f t="shared" si="64"/>
        <v>6.7179486643790121</v>
      </c>
      <c r="V202" s="7">
        <f>(Parameters!$B$19*(F202+Parameters!$B$20)^T202+Parameters!$B$18*G202^T202)^(1/T202)</f>
        <v>0.34660407145179184</v>
      </c>
      <c r="W202" s="7">
        <f>(Parameters!$B$10*H202^Parameters!$B$9+Parameters!$B$11*V202^Parameters!$B$9)^(Parameters!$B$7/Parameters!$B$9)*O202</f>
        <v>1.3494489898265758</v>
      </c>
      <c r="X202" s="7">
        <f>W202 - D202 - E202 - LN(1+EXP(Parameters!$B$21*C202))/Parameters!$B$21 - IF(C202&gt;0, 0,Parameters!$B$6*C202^2/F202)</f>
        <v>1.0302131395767797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-0.14221776000481332</v>
      </c>
      <c r="AC202" s="23">
        <f t="shared" si="65"/>
        <v>4.6800509615955187E-2</v>
      </c>
      <c r="AD202" s="23">
        <f t="shared" si="66"/>
        <v>0.65903948940125678</v>
      </c>
      <c r="AE202" s="23">
        <f t="shared" si="67"/>
        <v>8887.1689685805522</v>
      </c>
      <c r="AF202" s="23">
        <f t="shared" si="68"/>
        <v>2284.2577027398556</v>
      </c>
      <c r="AG202" s="23">
        <f t="shared" si="69"/>
        <v>5789.7221417917444</v>
      </c>
      <c r="AH202" s="23">
        <f t="shared" si="70"/>
        <v>8893.4017322834807</v>
      </c>
      <c r="AI202" s="23">
        <f t="shared" si="71"/>
        <v>6789.5114148114653</v>
      </c>
      <c r="AJ202" s="23"/>
      <c r="AK202" s="25">
        <f t="shared" si="63"/>
        <v>8893.4017322834807</v>
      </c>
      <c r="AL202" s="4"/>
      <c r="AM202" s="4"/>
      <c r="AN202" s="4"/>
      <c r="AO202" s="16"/>
      <c r="AP202" s="16"/>
      <c r="AS202" s="21">
        <f>-Y202*W202*X202^(-Parameters!B$52)*Parameters!B$46*Parameters!B$45*N202</f>
        <v>-1.5138174509289338E-6</v>
      </c>
      <c r="AT202" s="7">
        <f>1000*EXP(-(Parameters!$B$54)*'6states'!A202)*AK202*Parameters!B$46*Parameters!B$45*N202</f>
        <v>0.19798412178352728</v>
      </c>
    </row>
    <row r="203" spans="1:46" x14ac:dyDescent="0.25">
      <c r="A203">
        <f>A202+Parameters!$B$65</f>
        <v>199</v>
      </c>
      <c r="B203">
        <v>2224</v>
      </c>
      <c r="C203" s="74">
        <v>-4.400547917790389E-7</v>
      </c>
      <c r="D203" s="69">
        <v>9.09499842522348E-2</v>
      </c>
      <c r="E203" s="75">
        <v>0.22597558573341789</v>
      </c>
      <c r="F203" s="7">
        <f>MAX((1-Parameters!$B$4)^Parameters!B$65*F202 + C202*Parameters!B$65 - IF(C202&gt;0,Parameters!$B$5,0)*C202^2/F202*Parameters!B$65, 0.0001)</f>
        <v>1E-4</v>
      </c>
      <c r="G203" s="7">
        <f>(1-Parameters!$B$4)^Parameters!B$65*G202+D202*Parameters!B$65-Parameters!$B$5*D202^2/G202*Parameters!B$65</f>
        <v>1.3484982508593055</v>
      </c>
      <c r="H203" s="7">
        <f>(1-Parameters!$B$4)^Parameters!B$65*H202+E202*Parameters!B$65-Parameters!$B$5*E202^2/H202*Parameters!B$65</f>
        <v>3.3501319842241606</v>
      </c>
      <c r="I203" s="9">
        <f>I202 *(1-Parameters!$B$4)-C202*(C202&lt;0)*Parameters!B$65</f>
        <v>7.0947026947379146E-6</v>
      </c>
      <c r="J203" s="23">
        <f>J202*(1+Parameters!$B$51)^Parameters!B$65</f>
        <v>14.519738335585458</v>
      </c>
      <c r="K203" s="23">
        <f>K202*(1+Parameters!$B$53)^Parameters!B$65</f>
        <v>464.31258085874259</v>
      </c>
      <c r="L203" s="23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7.4022115715084033E-2</v>
      </c>
      <c r="M203" s="8">
        <f>M202+L203*Parameters!B$65</f>
        <v>3208.7338939640294</v>
      </c>
      <c r="N203" s="7">
        <f>M203*Parameters!$B$45</f>
        <v>1.9252403363784174</v>
      </c>
      <c r="O203" s="9">
        <f>EXP(-Parameters!$B$46/2*N203^2)</f>
        <v>0.96343444576907877</v>
      </c>
      <c r="P203" s="8">
        <f>MAX((Parameters!$B$62 + Parameters!$B$31*'6states'!A203 - '6states'!M203 + Parameters!$B$47/Parameters!$B$45)/Parameters!B$62,1)</f>
        <v>194.56132212071941</v>
      </c>
      <c r="Q203" s="8"/>
      <c r="R203" s="8"/>
      <c r="S203" s="7">
        <f>Parameters!B$61*EXP(-Parameters!B$60*A203)+(1-Parameters!B$61)*P203^-Parameters!B$63</f>
        <v>0.29748475164024846</v>
      </c>
      <c r="T203" s="7">
        <f>1-S203/Parameters!$B$12</f>
        <v>0.85125762417987572</v>
      </c>
      <c r="U203" s="7">
        <f t="shared" si="64"/>
        <v>6.7230336646586206</v>
      </c>
      <c r="V203" s="7">
        <f>(Parameters!$B$19*(F203+Parameters!$B$20)^T203+Parameters!$B$18*G203^T203)^(1/T203)</f>
        <v>0.34665741065274919</v>
      </c>
      <c r="W203" s="7">
        <f>(Parameters!$B$10*H203^Parameters!$B$9+Parameters!$B$11*V203^Parameters!$B$9)^(Parameters!$B$7/Parameters!$B$9)*O203</f>
        <v>1.3494656489400036</v>
      </c>
      <c r="X203" s="7">
        <f>W203 - D203 - E203 - LN(1+EXP(Parameters!$B$21*C203))/Parameters!$B$21 - IF(C203&gt;0, 0,Parameters!$B$6*C203^2/F203)</f>
        <v>1.0302297986902076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-0.1400856112261499</v>
      </c>
      <c r="AC203" s="23">
        <f t="shared" si="65"/>
        <v>4.7830337149977142E-2</v>
      </c>
      <c r="AD203" s="23">
        <f t="shared" si="66"/>
        <v>0.67416971799893077</v>
      </c>
      <c r="AE203" s="23">
        <f t="shared" si="67"/>
        <v>9091.166855038693</v>
      </c>
      <c r="AF203" s="23">
        <f t="shared" si="68"/>
        <v>2337.0592878200346</v>
      </c>
      <c r="AG203" s="23">
        <f t="shared" si="69"/>
        <v>5923.5540233232077</v>
      </c>
      <c r="AH203" s="23">
        <f t="shared" si="70"/>
        <v>9097.6887599512647</v>
      </c>
      <c r="AI203" s="23">
        <f t="shared" si="71"/>
        <v>6945.4973285707247</v>
      </c>
      <c r="AJ203" s="23"/>
      <c r="AK203" s="25">
        <f t="shared" si="63"/>
        <v>9097.6887599512629</v>
      </c>
      <c r="AL203" s="4"/>
      <c r="AM203" s="4"/>
      <c r="AN203" s="4"/>
      <c r="AO203" s="16"/>
      <c r="AP203" s="16"/>
      <c r="AS203" s="21">
        <f>-Y203*W203*X203^(-Parameters!B$52)*Parameters!B$46*Parameters!B$45*N203</f>
        <v>-1.4911507807255591E-6</v>
      </c>
      <c r="AT203" s="7">
        <f>1000*EXP(-(Parameters!$B$54)*'6states'!A203)*AK203*Parameters!B$46*Parameters!B$45*N203</f>
        <v>0.19555089521701488</v>
      </c>
    </row>
    <row r="204" spans="1:46" ht="15.75" thickBot="1" x14ac:dyDescent="0.3">
      <c r="A204">
        <f>A203+Parameters!$B$65</f>
        <v>200</v>
      </c>
      <c r="B204">
        <v>2225</v>
      </c>
      <c r="C204" s="81">
        <v>-4.400547917790389E-7</v>
      </c>
      <c r="D204" s="82">
        <v>9.09499842522348E-2</v>
      </c>
      <c r="E204" s="83">
        <v>0.22597558573341789</v>
      </c>
      <c r="F204" s="7">
        <f>MAX((1-Parameters!$B$4)^Parameters!B$65*F203 + C203*Parameters!B$65 - IF(C203&gt;0,Parameters!$B$5,0)*C203^2/F203*Parameters!B$65, 0.0001)</f>
        <v>1E-4</v>
      </c>
      <c r="G204" s="7">
        <f>(1-Parameters!$B$4)^Parameters!B$65*G203+D203*Parameters!B$65-Parameters!$B$5*D203^2/G203*Parameters!B$65</f>
        <v>1.3484935383916781</v>
      </c>
      <c r="H204" s="7">
        <f>(1-Parameters!$B$4)^Parameters!B$65*H203+E203*Parameters!B$65-Parameters!$B$5*E203^2/H203*Parameters!B$65</f>
        <v>3.350141595446825</v>
      </c>
      <c r="I204" s="9">
        <f>I203 *(1-Parameters!$B$4)-C203*(C203&lt;0)*Parameters!B$65</f>
        <v>7.0885006870179389E-6</v>
      </c>
      <c r="J204" s="23">
        <f>J203*(1+Parameters!$B$51)^Parameters!B$65</f>
        <v>14.561845576758655</v>
      </c>
      <c r="K204" s="23">
        <f>K203*(1+Parameters!$B$53)^Parameters!B$65</f>
        <v>473.59883247591745</v>
      </c>
      <c r="L204" s="23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7.4969907322383261E-2</v>
      </c>
      <c r="M204" s="8">
        <f>M203+L204*Parameters!B$65</f>
        <v>3208.8088638713516</v>
      </c>
      <c r="N204" s="7">
        <f>M204*Parameters!$B$45</f>
        <v>1.9252853183228107</v>
      </c>
      <c r="O204" s="9">
        <f>EXP(-Parameters!$B$46/2*N204^2)</f>
        <v>0.96343276871873862</v>
      </c>
      <c r="P204" s="8">
        <f>MAX((Parameters!$B$62 + Parameters!$B$31*'6states'!A204 - '6states'!M204 + Parameters!$B$47/Parameters!$B$45)/Parameters!B$62,1)</f>
        <v>195.62382272257295</v>
      </c>
      <c r="Q204" s="8"/>
      <c r="R204" s="8"/>
      <c r="S204" s="7">
        <f>Parameters!B$61*EXP(-Parameters!B$60*A204)+(1-Parameters!B$61)*P204^-Parameters!B$63</f>
        <v>0.29726223988632328</v>
      </c>
      <c r="T204" s="7">
        <f>1-S204/Parameters!$B$12</f>
        <v>0.85136888005683842</v>
      </c>
      <c r="U204" s="7">
        <f t="shared" si="64"/>
        <v>6.7280661034002343</v>
      </c>
      <c r="V204" s="7">
        <f>(Parameters!$B$19*(F204+Parameters!$B$20)^T204+Parameters!$B$18*G204^T204)^(1/T204)</f>
        <v>0.34671017479405103</v>
      </c>
      <c r="W204" s="7">
        <f>(Parameters!$B$10*H204^Parameters!$B$9+Parameters!$B$11*V204^Parameters!$B$9)^(Parameters!$B$7/Parameters!$B$9)*O204</f>
        <v>1.3494820220486463</v>
      </c>
      <c r="X204" s="7">
        <f>W204 - D204 - E204 - LN(1+EXP(Parameters!$B$21*C204))/Parameters!$B$21 - IF(C204&gt;0, 0,Parameters!$B$6*C204^2/F204)</f>
        <v>1.0302461717988503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-9.1381086982327968</v>
      </c>
      <c r="AC204" s="23">
        <f t="shared" si="65"/>
        <v>4.8885654051083728E-2</v>
      </c>
      <c r="AD204" s="23">
        <f t="shared" si="66"/>
        <v>0.68964730638475014</v>
      </c>
      <c r="AE204" s="23">
        <f t="shared" si="67"/>
        <v>9299.8493642906142</v>
      </c>
      <c r="AF204" s="23">
        <f t="shared" si="68"/>
        <v>2391.0773814290324</v>
      </c>
      <c r="AG204" s="23">
        <f t="shared" si="69"/>
        <v>6060.469290042136</v>
      </c>
      <c r="AH204" s="23">
        <f t="shared" si="70"/>
        <v>9306.6664152049489</v>
      </c>
      <c r="AI204" s="23">
        <f t="shared" si="71"/>
        <v>7105.0649729427769</v>
      </c>
      <c r="AJ204" s="23"/>
      <c r="AK204" s="25">
        <f t="shared" si="63"/>
        <v>9306.6664152049489</v>
      </c>
      <c r="AL204" s="4"/>
      <c r="AM204" s="4"/>
      <c r="AN204" s="4"/>
      <c r="AO204" s="16"/>
      <c r="AP204" s="16"/>
      <c r="AS204" s="21">
        <f>-Y204*W204*X204^(-Parameters!B$52)*Parameters!B$46*Parameters!B$45*N204</f>
        <v>-1.4688241753273447E-6</v>
      </c>
      <c r="AT204" s="7">
        <f>EXP(-(Parameters!B$55+Parameters!B$53)*'6states'!A204)*AK204*Parameters!B$46*Parameters!B$45*1000*N204/Parameters!$B$54</f>
        <v>5.5027803136492741</v>
      </c>
    </row>
    <row r="205" spans="1:46" x14ac:dyDescent="0.25">
      <c r="C205" s="9"/>
      <c r="D205" s="9"/>
      <c r="E205" s="9"/>
      <c r="F205" s="7"/>
      <c r="G205" s="7"/>
      <c r="H205" s="7"/>
      <c r="I205" s="9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D205" s="23"/>
      <c r="AE205" s="23"/>
      <c r="AF205" s="23"/>
      <c r="AG205" s="23"/>
      <c r="AH205" s="9"/>
      <c r="AI205" s="9"/>
      <c r="AJ205" s="9"/>
      <c r="AK205" s="25"/>
      <c r="AS205" s="21"/>
      <c r="AT205" s="7"/>
    </row>
    <row r="206" spans="1:46" x14ac:dyDescent="0.25">
      <c r="C206" s="9"/>
      <c r="D206" s="9"/>
      <c r="E206" s="9"/>
      <c r="F206" s="7"/>
      <c r="G206" s="7"/>
      <c r="H206" s="7"/>
      <c r="I206" s="9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D206" s="23"/>
      <c r="AE206" s="23"/>
      <c r="AF206" s="23"/>
      <c r="AG206" s="23"/>
      <c r="AH206" s="9"/>
      <c r="AI206" s="9"/>
      <c r="AJ206" s="9"/>
      <c r="AK206" s="25"/>
      <c r="AS206" s="21"/>
      <c r="AT206" s="7"/>
    </row>
    <row r="207" spans="1:46" x14ac:dyDescent="0.25">
      <c r="C207" s="9"/>
      <c r="D207" s="9"/>
      <c r="E207" s="9"/>
      <c r="F207" s="7"/>
      <c r="G207" s="7"/>
      <c r="H207" s="7"/>
      <c r="I207" s="9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D207" s="23"/>
      <c r="AE207" s="23"/>
      <c r="AF207" s="23"/>
      <c r="AG207" s="23"/>
      <c r="AH207" s="9"/>
      <c r="AI207" s="9"/>
      <c r="AJ207" s="9"/>
      <c r="AK207" s="25"/>
      <c r="AS207" s="21"/>
      <c r="AT207" s="7"/>
    </row>
    <row r="208" spans="1:46" x14ac:dyDescent="0.25">
      <c r="C208" s="9"/>
      <c r="D208" s="9"/>
      <c r="E208" s="9"/>
      <c r="F208" s="7"/>
      <c r="G208" s="7"/>
      <c r="H208" s="7"/>
      <c r="I208" s="9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D208" s="23"/>
      <c r="AE208" s="23"/>
      <c r="AF208" s="23"/>
      <c r="AG208" s="23"/>
      <c r="AH208" s="9"/>
      <c r="AI208" s="9"/>
      <c r="AJ208" s="9"/>
      <c r="AK208" s="25"/>
      <c r="AS208" s="21"/>
      <c r="AT208" s="7"/>
    </row>
    <row r="209" spans="3:46" x14ac:dyDescent="0.25">
      <c r="C209" s="9"/>
      <c r="D209" s="9"/>
      <c r="E209" s="9"/>
      <c r="F209" s="7"/>
      <c r="G209" s="7"/>
      <c r="H209" s="7"/>
      <c r="I209" s="9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D209" s="23"/>
      <c r="AE209" s="23"/>
      <c r="AF209" s="23"/>
      <c r="AG209" s="23"/>
      <c r="AH209" s="9"/>
      <c r="AI209" s="9"/>
      <c r="AJ209" s="9"/>
      <c r="AK209" s="25"/>
      <c r="AS209" s="21"/>
      <c r="AT209" s="7"/>
    </row>
    <row r="210" spans="3:46" x14ac:dyDescent="0.25">
      <c r="C210" s="9"/>
      <c r="D210" s="9"/>
      <c r="E210" s="9"/>
      <c r="F210" s="7"/>
      <c r="G210" s="7"/>
      <c r="H210" s="7"/>
      <c r="I210" s="9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D210" s="23"/>
      <c r="AE210" s="23"/>
      <c r="AF210" s="23"/>
      <c r="AG210" s="23"/>
      <c r="AH210" s="9"/>
      <c r="AI210" s="9"/>
      <c r="AJ210" s="9"/>
      <c r="AK210" s="25"/>
      <c r="AS210" s="21"/>
      <c r="AT210" s="7"/>
    </row>
    <row r="211" spans="3:46" x14ac:dyDescent="0.25">
      <c r="C211" s="9"/>
      <c r="D211" s="9"/>
      <c r="E211" s="9"/>
      <c r="F211" s="7"/>
      <c r="G211" s="7"/>
      <c r="H211" s="7"/>
      <c r="I211" s="9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D211" s="23"/>
      <c r="AE211" s="23"/>
      <c r="AF211" s="23"/>
      <c r="AG211" s="23"/>
      <c r="AH211" s="9"/>
      <c r="AI211" s="9"/>
      <c r="AJ211" s="9"/>
      <c r="AK211" s="25"/>
      <c r="AS211" s="21"/>
      <c r="AT211" s="7"/>
    </row>
    <row r="212" spans="3:46" x14ac:dyDescent="0.25">
      <c r="C212" s="9"/>
      <c r="D212" s="9"/>
      <c r="E212" s="9"/>
      <c r="F212" s="7"/>
      <c r="G212" s="7"/>
      <c r="H212" s="7"/>
      <c r="I212" s="9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D212" s="23"/>
      <c r="AE212" s="23"/>
      <c r="AF212" s="23"/>
      <c r="AG212" s="23"/>
      <c r="AH212" s="9"/>
      <c r="AI212" s="9"/>
      <c r="AJ212" s="9"/>
      <c r="AK212" s="25"/>
      <c r="AS212" s="21"/>
      <c r="AT212" s="7"/>
    </row>
    <row r="213" spans="3:46" x14ac:dyDescent="0.25">
      <c r="C213" s="9"/>
      <c r="D213" s="9"/>
      <c r="E213" s="9"/>
      <c r="F213" s="7"/>
      <c r="G213" s="7"/>
      <c r="H213" s="7"/>
      <c r="I213" s="9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D213" s="23"/>
      <c r="AE213" s="23"/>
      <c r="AF213" s="23"/>
      <c r="AG213" s="23"/>
      <c r="AH213" s="9"/>
      <c r="AI213" s="9"/>
      <c r="AJ213" s="9"/>
      <c r="AK213" s="25"/>
      <c r="AS213" s="21"/>
      <c r="AT213" s="7"/>
    </row>
    <row r="214" spans="3:46" x14ac:dyDescent="0.25">
      <c r="C214" s="9"/>
      <c r="D214" s="9"/>
      <c r="E214" s="9"/>
      <c r="F214" s="7"/>
      <c r="G214" s="7"/>
      <c r="H214" s="7"/>
      <c r="I214" s="9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D214" s="23"/>
      <c r="AE214" s="23"/>
      <c r="AF214" s="23"/>
      <c r="AG214" s="23"/>
      <c r="AH214" s="9"/>
      <c r="AI214" s="9"/>
      <c r="AJ214" s="9"/>
      <c r="AK214" s="25"/>
      <c r="AS214" s="21"/>
      <c r="AT214" s="7"/>
    </row>
    <row r="215" spans="3:46" x14ac:dyDescent="0.25">
      <c r="C215" s="9"/>
      <c r="D215" s="9"/>
      <c r="E215" s="9"/>
      <c r="F215" s="7"/>
      <c r="G215" s="7"/>
      <c r="H215" s="7"/>
      <c r="I215" s="9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D215" s="23"/>
      <c r="AE215" s="23"/>
      <c r="AF215" s="23"/>
      <c r="AG215" s="23"/>
      <c r="AH215" s="9"/>
      <c r="AI215" s="9"/>
      <c r="AJ215" s="9"/>
      <c r="AK215" s="25"/>
      <c r="AS215" s="21"/>
      <c r="AT215" s="7"/>
    </row>
    <row r="216" spans="3:46" x14ac:dyDescent="0.25">
      <c r="C216" s="9"/>
      <c r="D216" s="9"/>
      <c r="E216" s="9"/>
      <c r="F216" s="7"/>
      <c r="G216" s="7"/>
      <c r="H216" s="7"/>
      <c r="I216" s="9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D216" s="23"/>
      <c r="AE216" s="23"/>
      <c r="AF216" s="23"/>
      <c r="AG216" s="23"/>
      <c r="AH216" s="9"/>
      <c r="AI216" s="9"/>
      <c r="AJ216" s="9"/>
      <c r="AK216" s="25"/>
      <c r="AS216" s="21"/>
      <c r="AT216" s="7"/>
    </row>
    <row r="217" spans="3:46" x14ac:dyDescent="0.25">
      <c r="C217" s="9"/>
      <c r="D217" s="9"/>
      <c r="E217" s="9"/>
      <c r="F217" s="7"/>
      <c r="G217" s="7"/>
      <c r="H217" s="7"/>
      <c r="I217" s="9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D217" s="23"/>
      <c r="AE217" s="23"/>
      <c r="AF217" s="23"/>
      <c r="AG217" s="23"/>
      <c r="AH217" s="9"/>
      <c r="AI217" s="9"/>
      <c r="AJ217" s="9"/>
      <c r="AK217" s="25"/>
      <c r="AS217" s="21"/>
      <c r="AT217" s="7"/>
    </row>
    <row r="218" spans="3:46" x14ac:dyDescent="0.25">
      <c r="C218" s="9"/>
      <c r="D218" s="9"/>
      <c r="E218" s="9"/>
      <c r="F218" s="7"/>
      <c r="G218" s="7"/>
      <c r="H218" s="7"/>
      <c r="I218" s="9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D218" s="23"/>
      <c r="AE218" s="23"/>
      <c r="AF218" s="23"/>
      <c r="AG218" s="23"/>
      <c r="AH218" s="9"/>
      <c r="AI218" s="9"/>
      <c r="AJ218" s="9"/>
      <c r="AK218" s="25"/>
      <c r="AS218" s="21"/>
      <c r="AT218" s="7"/>
    </row>
    <row r="219" spans="3:46" x14ac:dyDescent="0.25">
      <c r="C219" s="9"/>
      <c r="D219" s="9"/>
      <c r="E219" s="9"/>
      <c r="F219" s="7"/>
      <c r="G219" s="7"/>
      <c r="H219" s="7"/>
      <c r="I219" s="9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D219" s="23"/>
      <c r="AE219" s="23"/>
      <c r="AF219" s="23"/>
      <c r="AG219" s="23"/>
      <c r="AH219" s="9"/>
      <c r="AI219" s="9"/>
      <c r="AJ219" s="9"/>
      <c r="AK219" s="25"/>
      <c r="AS219" s="21"/>
      <c r="AT219" s="7"/>
    </row>
    <row r="220" spans="3:46" x14ac:dyDescent="0.25">
      <c r="C220" s="9"/>
      <c r="D220" s="9"/>
      <c r="E220" s="9"/>
      <c r="F220" s="7"/>
      <c r="G220" s="7"/>
      <c r="H220" s="7"/>
      <c r="I220" s="9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D220" s="23"/>
      <c r="AE220" s="23"/>
      <c r="AF220" s="23"/>
      <c r="AG220" s="23"/>
      <c r="AH220" s="9"/>
      <c r="AI220" s="9"/>
      <c r="AJ220" s="9"/>
      <c r="AK220" s="25"/>
      <c r="AS220" s="21"/>
      <c r="AT220" s="7"/>
    </row>
    <row r="221" spans="3:46" x14ac:dyDescent="0.25">
      <c r="C221" s="9"/>
      <c r="D221" s="9"/>
      <c r="E221" s="9"/>
      <c r="F221" s="7"/>
      <c r="G221" s="7"/>
      <c r="H221" s="7"/>
      <c r="I221" s="9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D221" s="23"/>
      <c r="AE221" s="23"/>
      <c r="AF221" s="23"/>
      <c r="AG221" s="23"/>
      <c r="AH221" s="9"/>
      <c r="AI221" s="9"/>
      <c r="AJ221" s="9"/>
      <c r="AK221" s="25"/>
      <c r="AS221" s="21"/>
      <c r="AT221" s="7"/>
    </row>
    <row r="222" spans="3:46" x14ac:dyDescent="0.25">
      <c r="C222" s="9"/>
      <c r="D222" s="9"/>
      <c r="E222" s="9"/>
      <c r="F222" s="7"/>
      <c r="G222" s="7"/>
      <c r="H222" s="7"/>
      <c r="I222" s="9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D222" s="23"/>
      <c r="AE222" s="23"/>
      <c r="AF222" s="23"/>
      <c r="AG222" s="23"/>
      <c r="AH222" s="9"/>
      <c r="AI222" s="9"/>
      <c r="AJ222" s="9"/>
      <c r="AK222" s="25"/>
      <c r="AS222" s="21"/>
      <c r="AT222" s="7"/>
    </row>
    <row r="223" spans="3:46" x14ac:dyDescent="0.25">
      <c r="C223" s="9"/>
      <c r="D223" s="9"/>
      <c r="E223" s="9"/>
      <c r="F223" s="7"/>
      <c r="G223" s="7"/>
      <c r="H223" s="7"/>
      <c r="I223" s="9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D223" s="23"/>
      <c r="AE223" s="23"/>
      <c r="AF223" s="23"/>
      <c r="AG223" s="23"/>
      <c r="AH223" s="9"/>
      <c r="AI223" s="9"/>
      <c r="AJ223" s="9"/>
      <c r="AK223" s="25"/>
      <c r="AS223" s="21"/>
      <c r="AT223" s="7"/>
    </row>
    <row r="224" spans="3:46" x14ac:dyDescent="0.25">
      <c r="C224" s="9"/>
      <c r="D224" s="9"/>
      <c r="E224" s="9"/>
      <c r="F224" s="7"/>
      <c r="G224" s="7"/>
      <c r="H224" s="7"/>
      <c r="I224" s="9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D224" s="23"/>
      <c r="AE224" s="23"/>
      <c r="AF224" s="23"/>
      <c r="AG224" s="23"/>
      <c r="AH224" s="9"/>
      <c r="AI224" s="9"/>
      <c r="AJ224" s="9"/>
      <c r="AK224" s="25"/>
      <c r="AS224" s="21"/>
      <c r="AT224" s="7"/>
    </row>
    <row r="225" spans="3:46" x14ac:dyDescent="0.25">
      <c r="C225" s="9"/>
      <c r="D225" s="9"/>
      <c r="E225" s="9"/>
      <c r="F225" s="7"/>
      <c r="G225" s="7"/>
      <c r="H225" s="7"/>
      <c r="I225" s="9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D225" s="23"/>
      <c r="AE225" s="23"/>
      <c r="AF225" s="23"/>
      <c r="AG225" s="23"/>
      <c r="AH225" s="9"/>
      <c r="AI225" s="9"/>
      <c r="AJ225" s="9"/>
      <c r="AK225" s="25"/>
      <c r="AS225" s="21"/>
      <c r="AT225" s="7"/>
    </row>
    <row r="226" spans="3:46" x14ac:dyDescent="0.25">
      <c r="C226" s="9"/>
      <c r="D226" s="9"/>
      <c r="E226" s="9"/>
      <c r="F226" s="7"/>
      <c r="G226" s="7"/>
      <c r="H226" s="7"/>
      <c r="I226" s="9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D226" s="23"/>
      <c r="AE226" s="23"/>
      <c r="AF226" s="23"/>
      <c r="AG226" s="23"/>
      <c r="AH226" s="9"/>
      <c r="AI226" s="9"/>
      <c r="AJ226" s="9"/>
      <c r="AK226" s="25"/>
      <c r="AS226" s="21"/>
      <c r="AT226" s="7"/>
    </row>
    <row r="227" spans="3:46" x14ac:dyDescent="0.25">
      <c r="C227" s="9"/>
      <c r="D227" s="9"/>
      <c r="E227" s="9"/>
      <c r="F227" s="7"/>
      <c r="G227" s="7"/>
      <c r="H227" s="7"/>
      <c r="I227" s="9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D227" s="23"/>
      <c r="AE227" s="23"/>
      <c r="AF227" s="23"/>
      <c r="AG227" s="23"/>
      <c r="AH227" s="9"/>
      <c r="AI227" s="9"/>
      <c r="AJ227" s="9"/>
      <c r="AK227" s="25"/>
      <c r="AS227" s="21"/>
      <c r="AT227" s="7"/>
    </row>
    <row r="228" spans="3:46" x14ac:dyDescent="0.25">
      <c r="C228" s="9"/>
      <c r="D228" s="9"/>
      <c r="E228" s="9"/>
      <c r="F228" s="7"/>
      <c r="G228" s="7"/>
      <c r="H228" s="7"/>
      <c r="I228" s="9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D228" s="23"/>
      <c r="AE228" s="23"/>
      <c r="AF228" s="23"/>
      <c r="AG228" s="23"/>
      <c r="AH228" s="9"/>
      <c r="AI228" s="9"/>
      <c r="AJ228" s="9"/>
      <c r="AK228" s="25"/>
      <c r="AS228" s="21"/>
      <c r="AT228" s="7"/>
    </row>
    <row r="229" spans="3:46" x14ac:dyDescent="0.25">
      <c r="C229" s="9"/>
      <c r="D229" s="9"/>
      <c r="E229" s="9"/>
      <c r="F229" s="7"/>
      <c r="G229" s="7"/>
      <c r="H229" s="7"/>
      <c r="I229" s="9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D229" s="23"/>
      <c r="AE229" s="23"/>
      <c r="AF229" s="23"/>
      <c r="AG229" s="23"/>
      <c r="AH229" s="9"/>
      <c r="AI229" s="9"/>
      <c r="AJ229" s="9"/>
      <c r="AK229" s="25"/>
      <c r="AS229" s="21"/>
      <c r="AT229" s="7"/>
    </row>
    <row r="230" spans="3:46" x14ac:dyDescent="0.25">
      <c r="C230" s="9"/>
      <c r="D230" s="9"/>
      <c r="E230" s="9"/>
      <c r="F230" s="7"/>
      <c r="G230" s="7"/>
      <c r="H230" s="7"/>
      <c r="I230" s="9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D230" s="23"/>
      <c r="AE230" s="23"/>
      <c r="AF230" s="23"/>
      <c r="AG230" s="23"/>
      <c r="AH230" s="9"/>
      <c r="AI230" s="9"/>
      <c r="AJ230" s="9"/>
      <c r="AK230" s="25"/>
      <c r="AS230" s="21"/>
      <c r="AT230" s="7"/>
    </row>
    <row r="231" spans="3:46" x14ac:dyDescent="0.25">
      <c r="C231" s="9"/>
      <c r="D231" s="9"/>
      <c r="E231" s="9"/>
      <c r="F231" s="7"/>
      <c r="G231" s="7"/>
      <c r="H231" s="7"/>
      <c r="I231" s="9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D231" s="23"/>
      <c r="AE231" s="23"/>
      <c r="AF231" s="23"/>
      <c r="AG231" s="23"/>
      <c r="AH231" s="9"/>
      <c r="AI231" s="9"/>
      <c r="AJ231" s="9"/>
      <c r="AK231" s="25"/>
      <c r="AS231" s="21"/>
      <c r="AT231" s="7"/>
    </row>
    <row r="232" spans="3:46" x14ac:dyDescent="0.25">
      <c r="C232" s="9"/>
      <c r="D232" s="9"/>
      <c r="E232" s="9"/>
      <c r="F232" s="7"/>
      <c r="G232" s="7"/>
      <c r="H232" s="7"/>
      <c r="I232" s="9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D232" s="23"/>
      <c r="AE232" s="23"/>
      <c r="AF232" s="23"/>
      <c r="AG232" s="23"/>
      <c r="AH232" s="9"/>
      <c r="AI232" s="9"/>
      <c r="AJ232" s="9"/>
      <c r="AK232" s="25"/>
      <c r="AS232" s="21"/>
      <c r="AT232" s="7"/>
    </row>
    <row r="233" spans="3:46" x14ac:dyDescent="0.25">
      <c r="C233" s="9"/>
      <c r="D233" s="9"/>
      <c r="E233" s="9"/>
      <c r="F233" s="7"/>
      <c r="G233" s="7"/>
      <c r="H233" s="7"/>
      <c r="I233" s="9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D233" s="23"/>
      <c r="AE233" s="23"/>
      <c r="AF233" s="23"/>
      <c r="AG233" s="23"/>
      <c r="AH233" s="9"/>
      <c r="AI233" s="9"/>
      <c r="AJ233" s="9"/>
      <c r="AK233" s="25"/>
      <c r="AS233" s="21"/>
      <c r="AT233" s="7"/>
    </row>
    <row r="234" spans="3:46" x14ac:dyDescent="0.25">
      <c r="C234" s="9"/>
      <c r="D234" s="9"/>
      <c r="E234" s="9"/>
      <c r="F234" s="7"/>
      <c r="G234" s="7"/>
      <c r="H234" s="7"/>
      <c r="I234" s="9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D234" s="23"/>
      <c r="AE234" s="23"/>
      <c r="AF234" s="23"/>
      <c r="AG234" s="23"/>
      <c r="AH234" s="9"/>
      <c r="AI234" s="9"/>
      <c r="AJ234" s="9"/>
      <c r="AK234" s="25"/>
      <c r="AS234" s="21"/>
      <c r="AT234" s="7"/>
    </row>
    <row r="235" spans="3:46" x14ac:dyDescent="0.25">
      <c r="C235" s="9"/>
      <c r="D235" s="9"/>
      <c r="E235" s="9"/>
      <c r="F235" s="7"/>
      <c r="G235" s="7"/>
      <c r="H235" s="7"/>
      <c r="I235" s="9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D235" s="23"/>
      <c r="AE235" s="23"/>
      <c r="AF235" s="23"/>
      <c r="AG235" s="23"/>
      <c r="AH235" s="9"/>
      <c r="AI235" s="9"/>
      <c r="AJ235" s="9"/>
      <c r="AK235" s="25"/>
      <c r="AS235" s="21"/>
      <c r="AT235" s="7"/>
    </row>
    <row r="236" spans="3:46" x14ac:dyDescent="0.25">
      <c r="C236" s="9"/>
      <c r="D236" s="9"/>
      <c r="E236" s="9"/>
      <c r="F236" s="7"/>
      <c r="G236" s="7"/>
      <c r="H236" s="7"/>
      <c r="I236" s="9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D236" s="23"/>
      <c r="AE236" s="23"/>
      <c r="AF236" s="23"/>
      <c r="AG236" s="23"/>
      <c r="AH236" s="9"/>
      <c r="AI236" s="9"/>
      <c r="AJ236" s="9"/>
      <c r="AK236" s="25"/>
      <c r="AS236" s="21"/>
      <c r="AT236" s="7"/>
    </row>
    <row r="237" spans="3:46" x14ac:dyDescent="0.25">
      <c r="C237" s="9"/>
      <c r="D237" s="9"/>
      <c r="E237" s="9"/>
      <c r="F237" s="7"/>
      <c r="G237" s="7"/>
      <c r="H237" s="7"/>
      <c r="I237" s="9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D237" s="23"/>
      <c r="AE237" s="23"/>
      <c r="AF237" s="23"/>
      <c r="AG237" s="23"/>
      <c r="AH237" s="9"/>
      <c r="AI237" s="9"/>
      <c r="AJ237" s="9"/>
      <c r="AK237" s="25"/>
      <c r="AS237" s="21"/>
      <c r="AT237" s="7"/>
    </row>
    <row r="238" spans="3:46" x14ac:dyDescent="0.25">
      <c r="C238" s="9"/>
      <c r="D238" s="9"/>
      <c r="E238" s="9"/>
      <c r="F238" s="7"/>
      <c r="G238" s="7"/>
      <c r="H238" s="7"/>
      <c r="I238" s="9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D238" s="23"/>
      <c r="AE238" s="23"/>
      <c r="AF238" s="23"/>
      <c r="AG238" s="23"/>
      <c r="AH238" s="9"/>
      <c r="AI238" s="9"/>
      <c r="AJ238" s="9"/>
      <c r="AK238" s="25"/>
      <c r="AS238" s="21"/>
      <c r="AT238" s="7"/>
    </row>
    <row r="239" spans="3:46" x14ac:dyDescent="0.25">
      <c r="C239" s="9"/>
      <c r="D239" s="9"/>
      <c r="E239" s="9"/>
      <c r="F239" s="7"/>
      <c r="G239" s="7"/>
      <c r="H239" s="7"/>
      <c r="I239" s="9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D239" s="23"/>
      <c r="AE239" s="23"/>
      <c r="AF239" s="23"/>
      <c r="AG239" s="23"/>
      <c r="AH239" s="9"/>
      <c r="AI239" s="9"/>
      <c r="AJ239" s="9"/>
      <c r="AK239" s="25"/>
      <c r="AS239" s="21"/>
      <c r="AT239" s="7"/>
    </row>
    <row r="240" spans="3:46" x14ac:dyDescent="0.25">
      <c r="C240" s="9"/>
      <c r="D240" s="9"/>
      <c r="E240" s="9"/>
      <c r="F240" s="7"/>
      <c r="G240" s="7"/>
      <c r="H240" s="7"/>
      <c r="I240" s="9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D240" s="23"/>
      <c r="AE240" s="23"/>
      <c r="AF240" s="23"/>
      <c r="AG240" s="23"/>
      <c r="AH240" s="9"/>
      <c r="AI240" s="9"/>
      <c r="AJ240" s="9"/>
      <c r="AK240" s="25"/>
      <c r="AS240" s="21"/>
      <c r="AT240" s="7"/>
    </row>
    <row r="241" spans="3:46" x14ac:dyDescent="0.25">
      <c r="C241" s="9"/>
      <c r="D241" s="9"/>
      <c r="E241" s="9"/>
      <c r="F241" s="7"/>
      <c r="G241" s="7"/>
      <c r="H241" s="7"/>
      <c r="I241" s="9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D241" s="23"/>
      <c r="AE241" s="23"/>
      <c r="AF241" s="23"/>
      <c r="AG241" s="23"/>
      <c r="AH241" s="9"/>
      <c r="AI241" s="9"/>
      <c r="AJ241" s="9"/>
      <c r="AK241" s="25"/>
      <c r="AS241" s="21"/>
      <c r="AT241" s="7"/>
    </row>
    <row r="242" spans="3:46" x14ac:dyDescent="0.25">
      <c r="C242" s="9"/>
      <c r="D242" s="9"/>
      <c r="E242" s="9"/>
      <c r="F242" s="7"/>
      <c r="G242" s="7"/>
      <c r="H242" s="7"/>
      <c r="I242" s="9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D242" s="23"/>
      <c r="AE242" s="23"/>
      <c r="AF242" s="23"/>
      <c r="AG242" s="23"/>
      <c r="AH242" s="9"/>
      <c r="AI242" s="9"/>
      <c r="AJ242" s="9"/>
      <c r="AK242" s="25"/>
      <c r="AS242" s="21"/>
      <c r="AT242" s="7"/>
    </row>
    <row r="243" spans="3:46" x14ac:dyDescent="0.25">
      <c r="C243" s="9"/>
      <c r="D243" s="9"/>
      <c r="E243" s="9"/>
      <c r="F243" s="7"/>
      <c r="G243" s="7"/>
      <c r="H243" s="7"/>
      <c r="I243" s="9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D243" s="23"/>
      <c r="AE243" s="23"/>
      <c r="AF243" s="23"/>
      <c r="AG243" s="23"/>
      <c r="AH243" s="9"/>
      <c r="AI243" s="9"/>
      <c r="AJ243" s="9"/>
      <c r="AK243" s="25"/>
      <c r="AS243" s="21"/>
      <c r="AT243" s="7"/>
    </row>
    <row r="244" spans="3:46" x14ac:dyDescent="0.25">
      <c r="C244" s="9"/>
      <c r="D244" s="9"/>
      <c r="E244" s="9"/>
      <c r="F244" s="7"/>
      <c r="G244" s="7"/>
      <c r="H244" s="7"/>
      <c r="I244" s="9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D244" s="23"/>
      <c r="AE244" s="23"/>
      <c r="AF244" s="23"/>
      <c r="AG244" s="23"/>
      <c r="AH244" s="9"/>
      <c r="AI244" s="9"/>
      <c r="AJ244" s="9"/>
      <c r="AK244" s="25"/>
      <c r="AS244" s="21"/>
      <c r="AT244" s="7"/>
    </row>
    <row r="245" spans="3:46" x14ac:dyDescent="0.25">
      <c r="C245" s="9"/>
      <c r="D245" s="9"/>
      <c r="E245" s="9"/>
      <c r="F245" s="7"/>
      <c r="G245" s="7"/>
      <c r="H245" s="7"/>
      <c r="I245" s="9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D245" s="23"/>
      <c r="AE245" s="23"/>
      <c r="AF245" s="23"/>
      <c r="AG245" s="23"/>
      <c r="AH245" s="9"/>
      <c r="AI245" s="9"/>
      <c r="AJ245" s="9"/>
      <c r="AK245" s="25"/>
      <c r="AS245" s="21"/>
      <c r="AT245" s="7"/>
    </row>
    <row r="246" spans="3:46" x14ac:dyDescent="0.25">
      <c r="C246" s="9"/>
      <c r="D246" s="9"/>
      <c r="E246" s="9"/>
      <c r="F246" s="7"/>
      <c r="G246" s="7"/>
      <c r="H246" s="7"/>
      <c r="I246" s="9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D246" s="23"/>
      <c r="AE246" s="23"/>
      <c r="AF246" s="23"/>
      <c r="AG246" s="23"/>
      <c r="AH246" s="9"/>
      <c r="AI246" s="9"/>
      <c r="AJ246" s="9"/>
      <c r="AK246" s="25"/>
      <c r="AS246" s="21"/>
      <c r="AT246" s="7"/>
    </row>
    <row r="247" spans="3:46" x14ac:dyDescent="0.25">
      <c r="C247" s="9"/>
      <c r="D247" s="9"/>
      <c r="E247" s="9"/>
      <c r="F247" s="7"/>
      <c r="G247" s="7"/>
      <c r="H247" s="7"/>
      <c r="I247" s="9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D247" s="23"/>
      <c r="AE247" s="23"/>
      <c r="AF247" s="23"/>
      <c r="AG247" s="23"/>
      <c r="AH247" s="9"/>
      <c r="AI247" s="9"/>
      <c r="AJ247" s="9"/>
      <c r="AK247" s="25"/>
      <c r="AS247" s="21"/>
      <c r="AT247" s="7"/>
    </row>
    <row r="248" spans="3:46" x14ac:dyDescent="0.25">
      <c r="C248" s="9"/>
      <c r="D248" s="9"/>
      <c r="E248" s="9"/>
      <c r="F248" s="7"/>
      <c r="G248" s="7"/>
      <c r="H248" s="7"/>
      <c r="I248" s="9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D248" s="23"/>
      <c r="AE248" s="23"/>
      <c r="AF248" s="23"/>
      <c r="AG248" s="23"/>
      <c r="AH248" s="9"/>
      <c r="AI248" s="9"/>
      <c r="AJ248" s="9"/>
      <c r="AK248" s="25"/>
      <c r="AS248" s="21"/>
      <c r="AT248" s="7"/>
    </row>
    <row r="249" spans="3:46" x14ac:dyDescent="0.25">
      <c r="C249" s="9"/>
      <c r="D249" s="9"/>
      <c r="E249" s="9"/>
      <c r="F249" s="7"/>
      <c r="G249" s="7"/>
      <c r="H249" s="7"/>
      <c r="I249" s="9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D249" s="23"/>
      <c r="AE249" s="23"/>
      <c r="AF249" s="23"/>
      <c r="AG249" s="23"/>
      <c r="AH249" s="9"/>
      <c r="AI249" s="9"/>
      <c r="AJ249" s="9"/>
      <c r="AK249" s="25"/>
      <c r="AS249" s="21"/>
      <c r="AT249" s="7"/>
    </row>
    <row r="250" spans="3:46" x14ac:dyDescent="0.25">
      <c r="C250" s="9"/>
      <c r="D250" s="9"/>
      <c r="E250" s="9"/>
      <c r="F250" s="7"/>
      <c r="G250" s="7"/>
      <c r="H250" s="7"/>
      <c r="I250" s="9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D250" s="23"/>
      <c r="AE250" s="23"/>
      <c r="AF250" s="23"/>
      <c r="AG250" s="23"/>
      <c r="AH250" s="9"/>
      <c r="AI250" s="9"/>
      <c r="AJ250" s="9"/>
      <c r="AK250" s="25"/>
      <c r="AS250" s="21"/>
      <c r="AT250" s="7"/>
    </row>
    <row r="251" spans="3:46" x14ac:dyDescent="0.25">
      <c r="C251" s="9"/>
      <c r="D251" s="9"/>
      <c r="E251" s="9"/>
      <c r="F251" s="7"/>
      <c r="G251" s="7"/>
      <c r="H251" s="7"/>
      <c r="I251" s="9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D251" s="23"/>
      <c r="AE251" s="23"/>
      <c r="AF251" s="23"/>
      <c r="AG251" s="23"/>
      <c r="AH251" s="9"/>
      <c r="AI251" s="9"/>
      <c r="AJ251" s="9"/>
      <c r="AK251" s="25"/>
      <c r="AS251" s="21"/>
      <c r="AT251" s="7"/>
    </row>
    <row r="252" spans="3:46" x14ac:dyDescent="0.25">
      <c r="C252" s="9"/>
      <c r="D252" s="9"/>
      <c r="E252" s="9"/>
      <c r="F252" s="7"/>
      <c r="G252" s="7"/>
      <c r="H252" s="7"/>
      <c r="I252" s="9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D252" s="23"/>
      <c r="AE252" s="23"/>
      <c r="AF252" s="23"/>
      <c r="AG252" s="23"/>
      <c r="AH252" s="9"/>
      <c r="AI252" s="9"/>
      <c r="AJ252" s="9"/>
      <c r="AK252" s="25"/>
      <c r="AS252" s="21"/>
      <c r="AT252" s="7"/>
    </row>
    <row r="253" spans="3:46" x14ac:dyDescent="0.25">
      <c r="C253" s="9"/>
      <c r="D253" s="9"/>
      <c r="E253" s="9"/>
      <c r="F253" s="7"/>
      <c r="G253" s="7"/>
      <c r="H253" s="7"/>
      <c r="I253" s="9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D253" s="23"/>
      <c r="AE253" s="23"/>
      <c r="AF253" s="23"/>
      <c r="AG253" s="23"/>
      <c r="AH253" s="9"/>
      <c r="AI253" s="9"/>
      <c r="AJ253" s="9"/>
      <c r="AK253" s="25"/>
      <c r="AS253" s="21"/>
      <c r="AT253" s="7"/>
    </row>
    <row r="254" spans="3:46" x14ac:dyDescent="0.25">
      <c r="C254" s="9"/>
      <c r="D254" s="9"/>
      <c r="E254" s="9"/>
      <c r="F254" s="7"/>
      <c r="G254" s="7"/>
      <c r="H254" s="7"/>
      <c r="I254" s="9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D254" s="23"/>
      <c r="AE254" s="23"/>
      <c r="AF254" s="23"/>
      <c r="AG254" s="23"/>
      <c r="AH254" s="9"/>
      <c r="AI254" s="9"/>
      <c r="AJ254" s="9"/>
      <c r="AK254" s="25"/>
      <c r="AS254" s="21"/>
      <c r="AT254" s="7"/>
    </row>
    <row r="255" spans="3:46" x14ac:dyDescent="0.25">
      <c r="C255" s="9"/>
      <c r="D255" s="9"/>
      <c r="E255" s="9"/>
      <c r="F255" s="7"/>
      <c r="G255" s="7"/>
      <c r="H255" s="7"/>
      <c r="I255" s="9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D255" s="23"/>
      <c r="AE255" s="23"/>
      <c r="AF255" s="23"/>
      <c r="AG255" s="23"/>
      <c r="AH255" s="9"/>
      <c r="AI255" s="9"/>
      <c r="AJ255" s="9"/>
      <c r="AK255" s="25"/>
      <c r="AS255" s="21"/>
      <c r="AT255" s="7"/>
    </row>
    <row r="256" spans="3:46" x14ac:dyDescent="0.25">
      <c r="C256" s="9"/>
      <c r="D256" s="9"/>
      <c r="E256" s="9"/>
      <c r="F256" s="7"/>
      <c r="G256" s="7"/>
      <c r="H256" s="7"/>
      <c r="I256" s="9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D256" s="23"/>
      <c r="AE256" s="23"/>
      <c r="AF256" s="23"/>
      <c r="AG256" s="23"/>
      <c r="AH256" s="9"/>
      <c r="AI256" s="9"/>
      <c r="AJ256" s="9"/>
      <c r="AK256" s="25"/>
      <c r="AS256" s="21"/>
      <c r="AT256" s="7"/>
    </row>
    <row r="257" spans="3:46" x14ac:dyDescent="0.25">
      <c r="C257" s="9"/>
      <c r="D257" s="9"/>
      <c r="E257" s="9"/>
      <c r="F257" s="7"/>
      <c r="G257" s="7"/>
      <c r="H257" s="7"/>
      <c r="I257" s="9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D257" s="23"/>
      <c r="AE257" s="23"/>
      <c r="AF257" s="23"/>
      <c r="AG257" s="23"/>
      <c r="AH257" s="9"/>
      <c r="AI257" s="9"/>
      <c r="AJ257" s="9"/>
      <c r="AK257" s="25"/>
      <c r="AS257" s="21"/>
      <c r="AT257" s="7"/>
    </row>
    <row r="258" spans="3:46" x14ac:dyDescent="0.25">
      <c r="C258" s="9"/>
      <c r="D258" s="9"/>
      <c r="E258" s="9"/>
      <c r="F258" s="7"/>
      <c r="G258" s="7"/>
      <c r="H258" s="7"/>
      <c r="I258" s="9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D258" s="23"/>
      <c r="AE258" s="23"/>
      <c r="AF258" s="23"/>
      <c r="AG258" s="23"/>
      <c r="AH258" s="9"/>
      <c r="AI258" s="9"/>
      <c r="AJ258" s="9"/>
      <c r="AK258" s="25"/>
      <c r="AS258" s="21"/>
      <c r="AT258" s="7"/>
    </row>
    <row r="259" spans="3:46" x14ac:dyDescent="0.25">
      <c r="C259" s="9"/>
      <c r="D259" s="9"/>
      <c r="E259" s="9"/>
      <c r="F259" s="7"/>
      <c r="G259" s="7"/>
      <c r="H259" s="7"/>
      <c r="I259" s="9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D259" s="23"/>
      <c r="AE259" s="23"/>
      <c r="AF259" s="23"/>
      <c r="AG259" s="23"/>
      <c r="AH259" s="9"/>
      <c r="AI259" s="9"/>
      <c r="AJ259" s="9"/>
      <c r="AK259" s="25"/>
      <c r="AS259" s="21"/>
      <c r="AT259" s="7"/>
    </row>
    <row r="260" spans="3:46" x14ac:dyDescent="0.25">
      <c r="C260" s="9"/>
      <c r="D260" s="9"/>
      <c r="E260" s="9"/>
      <c r="F260" s="7"/>
      <c r="G260" s="7"/>
      <c r="H260" s="7"/>
      <c r="I260" s="9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D260" s="23"/>
      <c r="AE260" s="23"/>
      <c r="AF260" s="23"/>
      <c r="AG260" s="23"/>
      <c r="AH260" s="9"/>
      <c r="AI260" s="9"/>
      <c r="AJ260" s="9"/>
      <c r="AK260" s="25"/>
      <c r="AS260" s="21"/>
      <c r="AT260" s="7"/>
    </row>
    <row r="261" spans="3:46" x14ac:dyDescent="0.25">
      <c r="C261" s="9"/>
      <c r="D261" s="9"/>
      <c r="E261" s="9"/>
      <c r="F261" s="7"/>
      <c r="G261" s="7"/>
      <c r="H261" s="7"/>
      <c r="I261" s="9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D261" s="23"/>
      <c r="AE261" s="23"/>
      <c r="AF261" s="23"/>
      <c r="AG261" s="23"/>
      <c r="AH261" s="9"/>
      <c r="AI261" s="9"/>
      <c r="AJ261" s="9"/>
      <c r="AK261" s="25"/>
      <c r="AS261" s="21"/>
      <c r="AT261" s="7"/>
    </row>
    <row r="262" spans="3:46" x14ac:dyDescent="0.25">
      <c r="C262" s="9"/>
      <c r="D262" s="9"/>
      <c r="E262" s="9"/>
      <c r="F262" s="7"/>
      <c r="G262" s="7"/>
      <c r="H262" s="7"/>
      <c r="I262" s="9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D262" s="23"/>
      <c r="AE262" s="23"/>
      <c r="AF262" s="23"/>
      <c r="AG262" s="23"/>
      <c r="AH262" s="9"/>
      <c r="AI262" s="9"/>
      <c r="AJ262" s="9"/>
      <c r="AK262" s="25"/>
      <c r="AS262" s="21"/>
      <c r="AT262" s="7"/>
    </row>
    <row r="263" spans="3:46" x14ac:dyDescent="0.25">
      <c r="C263" s="9"/>
      <c r="D263" s="9"/>
      <c r="E263" s="9"/>
      <c r="F263" s="7"/>
      <c r="G263" s="7"/>
      <c r="H263" s="7"/>
      <c r="I263" s="9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D263" s="23"/>
      <c r="AE263" s="23"/>
      <c r="AF263" s="23"/>
      <c r="AG263" s="23"/>
      <c r="AH263" s="9"/>
      <c r="AI263" s="9"/>
      <c r="AJ263" s="9"/>
      <c r="AK263" s="25"/>
      <c r="AS263" s="21"/>
      <c r="AT263" s="7"/>
    </row>
    <row r="264" spans="3:46" x14ac:dyDescent="0.25">
      <c r="C264" s="9"/>
      <c r="D264" s="9"/>
      <c r="E264" s="9"/>
      <c r="F264" s="7"/>
      <c r="G264" s="7"/>
      <c r="H264" s="7"/>
      <c r="I264" s="9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D264" s="23"/>
      <c r="AE264" s="23"/>
      <c r="AF264" s="23"/>
      <c r="AG264" s="23"/>
      <c r="AH264" s="9"/>
      <c r="AI264" s="9"/>
      <c r="AJ264" s="9"/>
      <c r="AK264" s="25"/>
      <c r="AS264" s="21"/>
      <c r="AT264" s="7"/>
    </row>
    <row r="265" spans="3:46" x14ac:dyDescent="0.25">
      <c r="C265" s="9"/>
      <c r="D265" s="9"/>
      <c r="E265" s="9"/>
      <c r="F265" s="7"/>
      <c r="G265" s="7"/>
      <c r="H265" s="7"/>
      <c r="I265" s="9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D265" s="23"/>
      <c r="AE265" s="23"/>
      <c r="AF265" s="23"/>
      <c r="AG265" s="23"/>
      <c r="AH265" s="9"/>
      <c r="AI265" s="9"/>
      <c r="AJ265" s="9"/>
      <c r="AK265" s="25"/>
      <c r="AS265" s="21"/>
      <c r="AT265" s="7"/>
    </row>
    <row r="266" spans="3:46" x14ac:dyDescent="0.25">
      <c r="C266" s="9"/>
      <c r="D266" s="9"/>
      <c r="E266" s="9"/>
      <c r="F266" s="7"/>
      <c r="G266" s="7"/>
      <c r="H266" s="7"/>
      <c r="I266" s="9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D266" s="23"/>
      <c r="AE266" s="23"/>
      <c r="AF266" s="23"/>
      <c r="AG266" s="23"/>
      <c r="AH266" s="9"/>
      <c r="AI266" s="9"/>
      <c r="AJ266" s="9"/>
      <c r="AK266" s="25"/>
      <c r="AS266" s="21"/>
      <c r="AT266" s="7"/>
    </row>
    <row r="267" spans="3:46" x14ac:dyDescent="0.25">
      <c r="C267" s="9"/>
      <c r="D267" s="9"/>
      <c r="E267" s="9"/>
      <c r="F267" s="7"/>
      <c r="G267" s="7"/>
      <c r="H267" s="7"/>
      <c r="I267" s="9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D267" s="23"/>
      <c r="AE267" s="23"/>
      <c r="AF267" s="23"/>
      <c r="AG267" s="23"/>
      <c r="AH267" s="9"/>
      <c r="AI267" s="9"/>
      <c r="AJ267" s="9"/>
      <c r="AK267" s="25"/>
      <c r="AS267" s="21"/>
      <c r="AT267" s="7"/>
    </row>
    <row r="268" spans="3:46" x14ac:dyDescent="0.25">
      <c r="C268" s="9"/>
      <c r="D268" s="9"/>
      <c r="E268" s="9"/>
      <c r="F268" s="7"/>
      <c r="G268" s="7"/>
      <c r="H268" s="7"/>
      <c r="I268" s="9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D268" s="23"/>
      <c r="AE268" s="23"/>
      <c r="AF268" s="23"/>
      <c r="AG268" s="23"/>
      <c r="AH268" s="9"/>
      <c r="AI268" s="9"/>
      <c r="AJ268" s="9"/>
      <c r="AK268" s="25"/>
      <c r="AS268" s="21"/>
      <c r="AT268" s="7"/>
    </row>
    <row r="269" spans="3:46" x14ac:dyDescent="0.25">
      <c r="C269" s="9"/>
      <c r="D269" s="9"/>
      <c r="E269" s="9"/>
      <c r="F269" s="7"/>
      <c r="G269" s="7"/>
      <c r="H269" s="7"/>
      <c r="I269" s="9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D269" s="23"/>
      <c r="AE269" s="23"/>
      <c r="AF269" s="23"/>
      <c r="AG269" s="23"/>
      <c r="AH269" s="9"/>
      <c r="AI269" s="9"/>
      <c r="AJ269" s="9"/>
      <c r="AK269" s="25"/>
      <c r="AS269" s="21"/>
      <c r="AT269" s="7"/>
    </row>
    <row r="270" spans="3:46" x14ac:dyDescent="0.25">
      <c r="C270" s="9"/>
      <c r="D270" s="9"/>
      <c r="E270" s="9"/>
      <c r="F270" s="7"/>
      <c r="G270" s="7"/>
      <c r="H270" s="7"/>
      <c r="I270" s="9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D270" s="23"/>
      <c r="AE270" s="23"/>
      <c r="AF270" s="23"/>
      <c r="AG270" s="23"/>
      <c r="AH270" s="9"/>
      <c r="AI270" s="9"/>
      <c r="AJ270" s="9"/>
      <c r="AK270" s="25"/>
      <c r="AS270" s="21"/>
      <c r="AT270" s="7"/>
    </row>
    <row r="271" spans="3:46" x14ac:dyDescent="0.25">
      <c r="C271" s="9"/>
      <c r="D271" s="9"/>
      <c r="E271" s="9"/>
      <c r="F271" s="7"/>
      <c r="G271" s="7"/>
      <c r="H271" s="7"/>
      <c r="I271" s="9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D271" s="23"/>
      <c r="AE271" s="23"/>
      <c r="AF271" s="23"/>
      <c r="AG271" s="23"/>
      <c r="AH271" s="9"/>
      <c r="AI271" s="9"/>
      <c r="AJ271" s="9"/>
      <c r="AK271" s="25"/>
      <c r="AS271" s="21"/>
      <c r="AT271" s="7"/>
    </row>
    <row r="272" spans="3:46" x14ac:dyDescent="0.25">
      <c r="C272" s="9"/>
      <c r="D272" s="9"/>
      <c r="E272" s="9"/>
      <c r="F272" s="7"/>
      <c r="G272" s="7"/>
      <c r="H272" s="7"/>
      <c r="I272" s="9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D272" s="23"/>
      <c r="AE272" s="23"/>
      <c r="AF272" s="23"/>
      <c r="AG272" s="23"/>
      <c r="AH272" s="9"/>
      <c r="AI272" s="9"/>
      <c r="AJ272" s="9"/>
      <c r="AK272" s="25"/>
      <c r="AS272" s="21"/>
      <c r="AT272" s="7"/>
    </row>
    <row r="273" spans="3:46" x14ac:dyDescent="0.25">
      <c r="C273" s="9"/>
      <c r="D273" s="9"/>
      <c r="E273" s="9"/>
      <c r="F273" s="7"/>
      <c r="G273" s="7"/>
      <c r="H273" s="7"/>
      <c r="I273" s="9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D273" s="23"/>
      <c r="AE273" s="23"/>
      <c r="AF273" s="23"/>
      <c r="AG273" s="23"/>
      <c r="AH273" s="9"/>
      <c r="AI273" s="9"/>
      <c r="AJ273" s="9"/>
      <c r="AK273" s="25"/>
      <c r="AS273" s="21"/>
      <c r="AT273" s="7"/>
    </row>
    <row r="274" spans="3:46" x14ac:dyDescent="0.25">
      <c r="C274" s="9"/>
      <c r="D274" s="9"/>
      <c r="E274" s="9"/>
      <c r="F274" s="7"/>
      <c r="G274" s="7"/>
      <c r="H274" s="7"/>
      <c r="I274" s="9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D274" s="23"/>
      <c r="AE274" s="23"/>
      <c r="AF274" s="23"/>
      <c r="AG274" s="23"/>
      <c r="AH274" s="9"/>
      <c r="AI274" s="9"/>
      <c r="AJ274" s="9"/>
      <c r="AK274" s="25"/>
      <c r="AS274" s="21"/>
      <c r="AT274" s="7"/>
    </row>
    <row r="275" spans="3:46" x14ac:dyDescent="0.25">
      <c r="C275" s="9"/>
      <c r="D275" s="9"/>
      <c r="E275" s="9"/>
      <c r="F275" s="7"/>
      <c r="G275" s="7"/>
      <c r="H275" s="7"/>
      <c r="I275" s="9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D275" s="23"/>
      <c r="AE275" s="23"/>
      <c r="AF275" s="23"/>
      <c r="AG275" s="23"/>
      <c r="AH275" s="9"/>
      <c r="AI275" s="9"/>
      <c r="AJ275" s="9"/>
      <c r="AK275" s="25"/>
      <c r="AS275" s="21"/>
      <c r="AT275" s="7"/>
    </row>
    <row r="276" spans="3:46" x14ac:dyDescent="0.25">
      <c r="C276" s="9"/>
      <c r="D276" s="9"/>
      <c r="E276" s="9"/>
      <c r="F276" s="7"/>
      <c r="G276" s="7"/>
      <c r="H276" s="7"/>
      <c r="I276" s="9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D276" s="23"/>
      <c r="AE276" s="23"/>
      <c r="AF276" s="23"/>
      <c r="AG276" s="23"/>
      <c r="AH276" s="9"/>
      <c r="AI276" s="9"/>
      <c r="AJ276" s="9"/>
      <c r="AK276" s="25"/>
      <c r="AS276" s="21"/>
      <c r="AT276" s="7"/>
    </row>
    <row r="277" spans="3:46" x14ac:dyDescent="0.25">
      <c r="C277" s="9"/>
      <c r="D277" s="9"/>
      <c r="E277" s="9"/>
      <c r="F277" s="7"/>
      <c r="G277" s="7"/>
      <c r="H277" s="7"/>
      <c r="I277" s="9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D277" s="23"/>
      <c r="AE277" s="23"/>
      <c r="AF277" s="23"/>
      <c r="AG277" s="23"/>
      <c r="AH277" s="9"/>
      <c r="AI277" s="9"/>
      <c r="AJ277" s="9"/>
      <c r="AK277" s="25"/>
      <c r="AS277" s="21"/>
      <c r="AT277" s="7"/>
    </row>
    <row r="278" spans="3:46" x14ac:dyDescent="0.25">
      <c r="C278" s="9"/>
      <c r="D278" s="9"/>
      <c r="E278" s="9"/>
      <c r="F278" s="7"/>
      <c r="G278" s="7"/>
      <c r="H278" s="7"/>
      <c r="I278" s="9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D278" s="23"/>
      <c r="AE278" s="23"/>
      <c r="AF278" s="23"/>
      <c r="AG278" s="23"/>
      <c r="AH278" s="9"/>
      <c r="AI278" s="9"/>
      <c r="AJ278" s="9"/>
      <c r="AK278" s="25"/>
      <c r="AS278" s="21"/>
      <c r="AT278" s="7"/>
    </row>
    <row r="279" spans="3:46" x14ac:dyDescent="0.25">
      <c r="C279" s="9"/>
      <c r="D279" s="9"/>
      <c r="E279" s="9"/>
      <c r="F279" s="7"/>
      <c r="G279" s="7"/>
      <c r="H279" s="7"/>
      <c r="I279" s="9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D279" s="23"/>
      <c r="AE279" s="23"/>
      <c r="AF279" s="23"/>
      <c r="AG279" s="23"/>
      <c r="AH279" s="9"/>
      <c r="AI279" s="9"/>
      <c r="AJ279" s="9"/>
      <c r="AK279" s="25"/>
      <c r="AS279" s="21"/>
      <c r="AT279" s="7"/>
    </row>
    <row r="280" spans="3:46" x14ac:dyDescent="0.25">
      <c r="C280" s="9"/>
      <c r="D280" s="9"/>
      <c r="E280" s="9"/>
      <c r="F280" s="7"/>
      <c r="G280" s="7"/>
      <c r="H280" s="7"/>
      <c r="I280" s="9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D280" s="23"/>
      <c r="AE280" s="23"/>
      <c r="AF280" s="23"/>
      <c r="AG280" s="23"/>
      <c r="AH280" s="9"/>
      <c r="AI280" s="9"/>
      <c r="AJ280" s="9"/>
      <c r="AK280" s="25"/>
      <c r="AS280" s="21"/>
      <c r="AT280" s="7"/>
    </row>
    <row r="281" spans="3:46" x14ac:dyDescent="0.25">
      <c r="C281" s="9"/>
      <c r="D281" s="9"/>
      <c r="E281" s="9"/>
      <c r="F281" s="7"/>
      <c r="G281" s="7"/>
      <c r="H281" s="7"/>
      <c r="I281" s="9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D281" s="23"/>
      <c r="AE281" s="23"/>
      <c r="AF281" s="23"/>
      <c r="AG281" s="23"/>
      <c r="AH281" s="9"/>
      <c r="AI281" s="9"/>
      <c r="AJ281" s="9"/>
      <c r="AK281" s="25"/>
      <c r="AS281" s="21"/>
      <c r="AT281" s="7"/>
    </row>
    <row r="282" spans="3:46" x14ac:dyDescent="0.25">
      <c r="C282" s="9"/>
      <c r="D282" s="9"/>
      <c r="E282" s="9"/>
      <c r="F282" s="7"/>
      <c r="G282" s="7"/>
      <c r="H282" s="7"/>
      <c r="I282" s="9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D282" s="23"/>
      <c r="AE282" s="23"/>
      <c r="AF282" s="23"/>
      <c r="AG282" s="23"/>
      <c r="AH282" s="9"/>
      <c r="AI282" s="9"/>
      <c r="AJ282" s="9"/>
      <c r="AK282" s="25"/>
      <c r="AS282" s="21"/>
      <c r="AT282" s="7"/>
    </row>
    <row r="283" spans="3:46" x14ac:dyDescent="0.25">
      <c r="C283" s="9"/>
      <c r="D283" s="9"/>
      <c r="E283" s="9"/>
      <c r="F283" s="7"/>
      <c r="G283" s="7"/>
      <c r="H283" s="7"/>
      <c r="I283" s="9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D283" s="23"/>
      <c r="AE283" s="23"/>
      <c r="AF283" s="23"/>
      <c r="AG283" s="23"/>
      <c r="AH283" s="9"/>
      <c r="AI283" s="9"/>
      <c r="AJ283" s="9"/>
      <c r="AK283" s="25"/>
      <c r="AS283" s="21"/>
      <c r="AT283" s="7"/>
    </row>
    <row r="284" spans="3:46" x14ac:dyDescent="0.25">
      <c r="C284" s="9"/>
      <c r="D284" s="9"/>
      <c r="E284" s="9"/>
      <c r="F284" s="7"/>
      <c r="G284" s="7"/>
      <c r="H284" s="7"/>
      <c r="I284" s="9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D284" s="23"/>
      <c r="AE284" s="23"/>
      <c r="AF284" s="23"/>
      <c r="AG284" s="23"/>
      <c r="AH284" s="9"/>
      <c r="AI284" s="9"/>
      <c r="AJ284" s="9"/>
      <c r="AK284" s="25"/>
      <c r="AS284" s="21"/>
      <c r="AT284" s="7"/>
    </row>
    <row r="285" spans="3:46" x14ac:dyDescent="0.25">
      <c r="C285" s="9"/>
      <c r="D285" s="9"/>
      <c r="E285" s="9"/>
      <c r="F285" s="7"/>
      <c r="G285" s="7"/>
      <c r="H285" s="7"/>
      <c r="I285" s="9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D285" s="23"/>
      <c r="AE285" s="23"/>
      <c r="AF285" s="23"/>
      <c r="AG285" s="23"/>
      <c r="AH285" s="9"/>
      <c r="AI285" s="9"/>
      <c r="AJ285" s="9"/>
      <c r="AK285" s="25"/>
      <c r="AS285" s="21"/>
      <c r="AT285" s="7"/>
    </row>
    <row r="286" spans="3:46" x14ac:dyDescent="0.25">
      <c r="C286" s="9"/>
      <c r="D286" s="9"/>
      <c r="E286" s="9"/>
      <c r="F286" s="7"/>
      <c r="G286" s="7"/>
      <c r="H286" s="7"/>
      <c r="I286" s="9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D286" s="23"/>
      <c r="AE286" s="23"/>
      <c r="AF286" s="23"/>
      <c r="AG286" s="23"/>
      <c r="AH286" s="9"/>
      <c r="AI286" s="9"/>
      <c r="AJ286" s="9"/>
      <c r="AK286" s="25"/>
      <c r="AS286" s="21"/>
      <c r="AT286" s="7"/>
    </row>
    <row r="287" spans="3:46" x14ac:dyDescent="0.25">
      <c r="C287" s="9"/>
      <c r="D287" s="9"/>
      <c r="E287" s="9"/>
      <c r="F287" s="7"/>
      <c r="G287" s="7"/>
      <c r="H287" s="7"/>
      <c r="I287" s="9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D287" s="23"/>
      <c r="AE287" s="23"/>
      <c r="AF287" s="23"/>
      <c r="AG287" s="23"/>
      <c r="AH287" s="9"/>
      <c r="AI287" s="9"/>
      <c r="AJ287" s="9"/>
      <c r="AK287" s="25"/>
      <c r="AS287" s="21"/>
      <c r="AT287" s="7"/>
    </row>
    <row r="288" spans="3:46" x14ac:dyDescent="0.25">
      <c r="C288" s="9"/>
      <c r="D288" s="9"/>
      <c r="E288" s="9"/>
      <c r="F288" s="7"/>
      <c r="G288" s="7"/>
      <c r="H288" s="7"/>
      <c r="I288" s="9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D288" s="23"/>
      <c r="AE288" s="23"/>
      <c r="AF288" s="23"/>
      <c r="AG288" s="23"/>
      <c r="AH288" s="9"/>
      <c r="AI288" s="9"/>
      <c r="AJ288" s="9"/>
      <c r="AK288" s="25"/>
      <c r="AS288" s="21"/>
      <c r="AT288" s="7"/>
    </row>
    <row r="289" spans="3:46" x14ac:dyDescent="0.25">
      <c r="C289" s="9"/>
      <c r="D289" s="9"/>
      <c r="E289" s="9"/>
      <c r="F289" s="7"/>
      <c r="G289" s="7"/>
      <c r="H289" s="7"/>
      <c r="I289" s="9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D289" s="23"/>
      <c r="AE289" s="23"/>
      <c r="AF289" s="23"/>
      <c r="AG289" s="23"/>
      <c r="AH289" s="9"/>
      <c r="AI289" s="9"/>
      <c r="AJ289" s="9"/>
      <c r="AK289" s="25"/>
      <c r="AS289" s="21"/>
      <c r="AT289" s="7"/>
    </row>
    <row r="290" spans="3:46" x14ac:dyDescent="0.25">
      <c r="C290" s="9"/>
      <c r="D290" s="9"/>
      <c r="E290" s="9"/>
      <c r="F290" s="7"/>
      <c r="G290" s="7"/>
      <c r="H290" s="7"/>
      <c r="I290" s="9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D290" s="23"/>
      <c r="AE290" s="23"/>
      <c r="AF290" s="23"/>
      <c r="AG290" s="23"/>
      <c r="AH290" s="9"/>
      <c r="AI290" s="9"/>
      <c r="AJ290" s="9"/>
      <c r="AK290" s="25"/>
      <c r="AS290" s="21"/>
      <c r="AT290" s="7"/>
    </row>
    <row r="291" spans="3:46" x14ac:dyDescent="0.25">
      <c r="C291" s="9"/>
      <c r="D291" s="9"/>
      <c r="E291" s="9"/>
      <c r="F291" s="7"/>
      <c r="G291" s="7"/>
      <c r="H291" s="7"/>
      <c r="I291" s="9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D291" s="23"/>
      <c r="AE291" s="23"/>
      <c r="AF291" s="23"/>
      <c r="AG291" s="23"/>
      <c r="AH291" s="9"/>
      <c r="AI291" s="9"/>
      <c r="AJ291" s="9"/>
      <c r="AK291" s="25"/>
      <c r="AS291" s="21"/>
      <c r="AT291" s="7"/>
    </row>
    <row r="292" spans="3:46" x14ac:dyDescent="0.25">
      <c r="C292" s="9"/>
      <c r="D292" s="9"/>
      <c r="E292" s="9"/>
      <c r="F292" s="7"/>
      <c r="G292" s="7"/>
      <c r="H292" s="7"/>
      <c r="I292" s="9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D292" s="23"/>
      <c r="AE292" s="23"/>
      <c r="AF292" s="23"/>
      <c r="AG292" s="23"/>
      <c r="AH292" s="9"/>
      <c r="AI292" s="9"/>
      <c r="AJ292" s="9"/>
      <c r="AK292" s="25"/>
      <c r="AS292" s="21"/>
      <c r="AT292" s="7"/>
    </row>
    <row r="293" spans="3:46" x14ac:dyDescent="0.25">
      <c r="C293" s="9"/>
      <c r="D293" s="9"/>
      <c r="E293" s="9"/>
      <c r="F293" s="7"/>
      <c r="G293" s="7"/>
      <c r="H293" s="7"/>
      <c r="I293" s="9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D293" s="23"/>
      <c r="AE293" s="23"/>
      <c r="AF293" s="23"/>
      <c r="AG293" s="23"/>
      <c r="AH293" s="9"/>
      <c r="AI293" s="9"/>
      <c r="AJ293" s="9"/>
      <c r="AK293" s="25"/>
      <c r="AS293" s="21"/>
      <c r="AT293" s="7"/>
    </row>
    <row r="294" spans="3:46" x14ac:dyDescent="0.25">
      <c r="C294" s="9"/>
      <c r="D294" s="9"/>
      <c r="E294" s="9"/>
      <c r="F294" s="7"/>
      <c r="G294" s="7"/>
      <c r="H294" s="7"/>
      <c r="I294" s="9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D294" s="23"/>
      <c r="AE294" s="23"/>
      <c r="AF294" s="23"/>
      <c r="AG294" s="23"/>
      <c r="AH294" s="9"/>
      <c r="AI294" s="9"/>
      <c r="AJ294" s="9"/>
      <c r="AK294" s="25"/>
      <c r="AS294" s="21"/>
      <c r="AT294" s="7"/>
    </row>
    <row r="295" spans="3:46" x14ac:dyDescent="0.25">
      <c r="C295" s="9"/>
      <c r="D295" s="9"/>
      <c r="E295" s="9"/>
      <c r="F295" s="7"/>
      <c r="G295" s="7"/>
      <c r="H295" s="7"/>
      <c r="I295" s="9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D295" s="23"/>
      <c r="AE295" s="23"/>
      <c r="AF295" s="23"/>
      <c r="AG295" s="23"/>
      <c r="AH295" s="9"/>
      <c r="AI295" s="9"/>
      <c r="AJ295" s="9"/>
      <c r="AK295" s="25"/>
      <c r="AS295" s="21"/>
      <c r="AT295" s="7"/>
    </row>
    <row r="296" spans="3:46" x14ac:dyDescent="0.25">
      <c r="C296" s="9"/>
      <c r="D296" s="9"/>
      <c r="E296" s="9"/>
      <c r="F296" s="7"/>
      <c r="G296" s="7"/>
      <c r="H296" s="7"/>
      <c r="I296" s="9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D296" s="23"/>
      <c r="AE296" s="23"/>
      <c r="AF296" s="23"/>
      <c r="AG296" s="23"/>
      <c r="AH296" s="9"/>
      <c r="AI296" s="9"/>
      <c r="AJ296" s="9"/>
      <c r="AK296" s="25"/>
      <c r="AS296" s="21"/>
      <c r="AT296" s="7"/>
    </row>
    <row r="297" spans="3:46" x14ac:dyDescent="0.25">
      <c r="C297" s="9"/>
      <c r="D297" s="9"/>
      <c r="E297" s="9"/>
      <c r="F297" s="7"/>
      <c r="G297" s="7"/>
      <c r="H297" s="7"/>
      <c r="I297" s="9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D297" s="23"/>
      <c r="AE297" s="23"/>
      <c r="AF297" s="23"/>
      <c r="AG297" s="23"/>
      <c r="AH297" s="9"/>
      <c r="AI297" s="9"/>
      <c r="AJ297" s="9"/>
      <c r="AK297" s="25"/>
      <c r="AS297" s="21"/>
      <c r="AT297" s="7"/>
    </row>
    <row r="298" spans="3:46" x14ac:dyDescent="0.25">
      <c r="C298" s="9"/>
      <c r="D298" s="9"/>
      <c r="E298" s="9"/>
      <c r="F298" s="7"/>
      <c r="G298" s="7"/>
      <c r="H298" s="7"/>
      <c r="I298" s="9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D298" s="23"/>
      <c r="AE298" s="23"/>
      <c r="AF298" s="23"/>
      <c r="AG298" s="23"/>
      <c r="AH298" s="9"/>
      <c r="AI298" s="9"/>
      <c r="AJ298" s="9"/>
      <c r="AK298" s="25"/>
      <c r="AS298" s="21"/>
      <c r="AT298" s="7"/>
    </row>
    <row r="299" spans="3:46" x14ac:dyDescent="0.25">
      <c r="C299" s="9"/>
      <c r="D299" s="9"/>
      <c r="E299" s="9"/>
      <c r="F299" s="7"/>
      <c r="G299" s="7"/>
      <c r="H299" s="7"/>
      <c r="I299" s="9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D299" s="23"/>
      <c r="AE299" s="23"/>
      <c r="AF299" s="23"/>
      <c r="AG299" s="23"/>
      <c r="AH299" s="9"/>
      <c r="AI299" s="9"/>
      <c r="AJ299" s="9"/>
      <c r="AK299" s="25"/>
      <c r="AS299" s="21"/>
      <c r="AT299" s="7"/>
    </row>
    <row r="300" spans="3:46" x14ac:dyDescent="0.25">
      <c r="C300" s="9"/>
      <c r="D300" s="9"/>
      <c r="E300" s="9"/>
      <c r="F300" s="7"/>
      <c r="G300" s="7"/>
      <c r="H300" s="7"/>
      <c r="I300" s="9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D300" s="23"/>
      <c r="AE300" s="23"/>
      <c r="AF300" s="23"/>
      <c r="AG300" s="23"/>
      <c r="AH300" s="9"/>
      <c r="AI300" s="9"/>
      <c r="AJ300" s="9"/>
      <c r="AK300" s="25"/>
      <c r="AS300" s="21"/>
      <c r="AT300" s="7"/>
    </row>
    <row r="301" spans="3:46" x14ac:dyDescent="0.25">
      <c r="C301" s="9"/>
      <c r="D301" s="9"/>
      <c r="E301" s="9"/>
      <c r="F301" s="7"/>
      <c r="G301" s="7"/>
      <c r="H301" s="7"/>
      <c r="I301" s="9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D301" s="23"/>
      <c r="AE301" s="23"/>
      <c r="AF301" s="23"/>
      <c r="AG301" s="23"/>
      <c r="AH301" s="9"/>
      <c r="AI301" s="9"/>
      <c r="AJ301" s="9"/>
      <c r="AK301" s="25"/>
      <c r="AS301" s="21"/>
      <c r="AT301" s="7"/>
    </row>
    <row r="302" spans="3:46" x14ac:dyDescent="0.25">
      <c r="C302" s="9"/>
      <c r="D302" s="9"/>
      <c r="E302" s="9"/>
      <c r="F302" s="7"/>
      <c r="G302" s="7"/>
      <c r="H302" s="7"/>
      <c r="I302" s="9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D302" s="23"/>
      <c r="AE302" s="23"/>
      <c r="AF302" s="23"/>
      <c r="AG302" s="23"/>
      <c r="AH302" s="9"/>
      <c r="AI302" s="9"/>
      <c r="AJ302" s="9"/>
      <c r="AK302" s="25"/>
      <c r="AS302" s="21"/>
      <c r="AT302" s="7"/>
    </row>
    <row r="303" spans="3:46" x14ac:dyDescent="0.25">
      <c r="C303" s="9"/>
      <c r="D303" s="9"/>
      <c r="E303" s="9"/>
      <c r="F303" s="7"/>
      <c r="G303" s="7"/>
      <c r="H303" s="7"/>
      <c r="I303" s="9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D303" s="23"/>
      <c r="AE303" s="23"/>
      <c r="AF303" s="23"/>
      <c r="AG303" s="23"/>
      <c r="AH303" s="9"/>
      <c r="AI303" s="9"/>
      <c r="AJ303" s="9"/>
      <c r="AK303" s="25"/>
      <c r="AS303" s="21"/>
      <c r="AT303" s="7"/>
    </row>
    <row r="304" spans="3:46" x14ac:dyDescent="0.25">
      <c r="C304" s="9"/>
      <c r="D304" s="9"/>
      <c r="E304" s="9"/>
      <c r="F304" s="7"/>
      <c r="G304" s="7"/>
      <c r="H304" s="7"/>
      <c r="I304" s="9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D304" s="23"/>
      <c r="AE304" s="23"/>
      <c r="AF304" s="23"/>
      <c r="AG304" s="23"/>
      <c r="AH304" s="9"/>
      <c r="AI304" s="9"/>
      <c r="AJ304" s="9"/>
      <c r="AK304" s="25"/>
      <c r="AS304" s="21"/>
      <c r="AT304" s="7"/>
    </row>
    <row r="305" spans="6:6" x14ac:dyDescent="0.25">
      <c r="F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zoomScaleNormal="100"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10.28515625" bestFit="1" customWidth="1"/>
    <col min="12" max="12" width="13.42578125" bestFit="1" customWidth="1"/>
    <col min="13" max="14" width="9.28515625" bestFit="1" customWidth="1"/>
    <col min="15" max="15" width="12.28515625" bestFit="1" customWidth="1"/>
    <col min="16" max="16" width="9.28515625" bestFit="1" customWidth="1"/>
    <col min="17" max="17" width="9.28515625" customWidth="1"/>
    <col min="18" max="18" width="9.28515625" style="23" customWidth="1"/>
    <col min="19" max="20" width="9.28515625" bestFit="1" customWidth="1"/>
    <col min="21" max="21" width="10.140625" bestFit="1" customWidth="1"/>
    <col min="22" max="22" width="9.28515625" bestFit="1" customWidth="1"/>
    <col min="23" max="23" width="10" bestFit="1" customWidth="1"/>
    <col min="24" max="24" width="13.28515625" customWidth="1"/>
    <col min="25" max="25" width="9.28515625" bestFit="1" customWidth="1"/>
    <col min="26" max="26" width="11.140625" bestFit="1" customWidth="1"/>
    <col min="27" max="27" width="9.28515625" bestFit="1" customWidth="1"/>
  </cols>
  <sheetData>
    <row r="1" spans="1:28" x14ac:dyDescent="0.25">
      <c r="A1" s="1" t="s">
        <v>202</v>
      </c>
      <c r="R1"/>
    </row>
    <row r="2" spans="1:28" s="2" customFormat="1" x14ac:dyDescent="0.25">
      <c r="B2" s="14"/>
      <c r="C2" s="14"/>
      <c r="D2" s="14"/>
      <c r="E2" s="27"/>
      <c r="F2" s="27"/>
      <c r="G2" s="27"/>
      <c r="H2" s="15"/>
    </row>
    <row r="3" spans="1:28" x14ac:dyDescent="0.25">
      <c r="A3" t="s">
        <v>6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t="s">
        <v>173</v>
      </c>
      <c r="L3" t="s">
        <v>174</v>
      </c>
      <c r="M3" t="s">
        <v>175</v>
      </c>
      <c r="N3" s="67" t="s">
        <v>176</v>
      </c>
      <c r="O3" t="s">
        <v>177</v>
      </c>
      <c r="P3" t="s">
        <v>180</v>
      </c>
      <c r="Q3" s="67" t="s">
        <v>181</v>
      </c>
      <c r="R3" s="67" t="s">
        <v>182</v>
      </c>
      <c r="S3" t="s">
        <v>183</v>
      </c>
      <c r="T3" t="s">
        <v>184</v>
      </c>
      <c r="U3" s="7" t="s">
        <v>185</v>
      </c>
      <c r="V3" s="67" t="s">
        <v>186</v>
      </c>
      <c r="W3" t="s">
        <v>187</v>
      </c>
      <c r="X3" t="s">
        <v>188</v>
      </c>
      <c r="Y3" t="s">
        <v>199</v>
      </c>
      <c r="Z3" t="s">
        <v>200</v>
      </c>
      <c r="AA3" t="s">
        <v>201</v>
      </c>
      <c r="AB3" t="s">
        <v>196</v>
      </c>
    </row>
    <row r="4" spans="1:28" x14ac:dyDescent="0.25">
      <c r="A4">
        <v>0</v>
      </c>
      <c r="B4" s="19">
        <v>5.1149915150295849E-2</v>
      </c>
      <c r="C4" s="45">
        <v>8.1950705841287927E-3</v>
      </c>
      <c r="D4" s="18">
        <v>0.29987339521323852</v>
      </c>
      <c r="E4" s="7">
        <f>Parameters!B25</f>
        <v>0.77010299999999987</v>
      </c>
      <c r="F4" s="9">
        <f>Parameters!B26</f>
        <v>0.14859104761904762</v>
      </c>
      <c r="G4" s="29">
        <f>Parameters!B27</f>
        <v>4.3899999999999997</v>
      </c>
      <c r="H4" s="7">
        <v>0</v>
      </c>
      <c r="I4" s="7">
        <f>Parameters!B28</f>
        <v>8.16</v>
      </c>
      <c r="J4" s="7">
        <f>Parameters!B29</f>
        <v>9.0235259308716671</v>
      </c>
      <c r="K4" s="23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</v>
      </c>
      <c r="L4" s="8">
        <f xml:space="preserve"> M4/Parameters!$B$45</f>
        <v>2300</v>
      </c>
      <c r="M4" s="7">
        <f>Parameters!B47</f>
        <v>1.38</v>
      </c>
      <c r="N4" s="7">
        <f>'6states'!O4</f>
        <v>0.98104277196026479</v>
      </c>
      <c r="O4" s="7">
        <f>Parameters!B62+(Parameters!B31-K4)*Parameters!B65</f>
        <v>50</v>
      </c>
      <c r="P4" s="7">
        <f>Parameters!B$61*EXP(-Parameters!B$60*A4)+(1-Parameters!B$61)*(O4/Parameters!B$62)^-Parameters!B$63</f>
        <v>1</v>
      </c>
      <c r="Q4" s="9">
        <f>1-P4/Parameters!$B$12</f>
        <v>0.5</v>
      </c>
      <c r="R4" s="23">
        <f>1/(1-Q4)</f>
        <v>2</v>
      </c>
      <c r="S4" s="7">
        <f>(Parameters!$B$19*(E4+Parameters!$B$20)^Q4+Parameters!$B$18*F4^Q4)^(1/Q4)</f>
        <v>0.53582250067468473</v>
      </c>
      <c r="T4" s="7">
        <f>(Parameters!$B$10*G4^Parameters!$B$9 + Parameters!$B$11*S4^Parameters!$B$9) ^ (Parameters!$B$7/Parameters!$B$9) * N4</f>
        <v>1.5072257009366883</v>
      </c>
      <c r="U4" s="7">
        <f>T4-B4-C4-D4</f>
        <v>1.1480073199890253</v>
      </c>
      <c r="V4" s="7">
        <f>EXP(-Parameters!$B$55*A4)</f>
        <v>1</v>
      </c>
      <c r="W4" s="7">
        <f>IF(U4&gt;0,U4^(1-Parameters!$B$52)/(1-Parameters!$B$52)*V4,-10+U4*1000)</f>
        <v>-2.7223961732153428</v>
      </c>
      <c r="X4" s="28">
        <f>SUM(W4:W353)*Parameters!$B$65</f>
        <v>-182.44365735715212</v>
      </c>
      <c r="Y4" s="7"/>
      <c r="Z4" s="7"/>
      <c r="AA4" s="7"/>
      <c r="AB4" s="13">
        <f>(B4+C4+D4)/T4</f>
        <v>0.23833084900583998</v>
      </c>
    </row>
    <row r="5" spans="1:28" x14ac:dyDescent="0.25">
      <c r="A5">
        <f>A4+Parameters!$B$65</f>
        <v>1</v>
      </c>
      <c r="B5" s="19">
        <v>5.2043239799206033E-2</v>
      </c>
      <c r="C5" s="45">
        <v>8.0002242542222459E-3</v>
      </c>
      <c r="D5" s="18">
        <v>0.29894404522721502</v>
      </c>
      <c r="E5" s="7">
        <f>MAX((1-Parameters!$B$4)^Parameters!B$65*E4+B4*Parameters!B$65-Parameters!$B$5*B4^2/E4*Parameters!B$65,0.0001)</f>
        <v>0.76941608074608159</v>
      </c>
      <c r="F5" s="9">
        <f>(1-Parameters!$B$4)^Parameters!B$65*F4+C4*Parameters!B$65-Parameters!$B$5*C4^2/F4*Parameters!B$65</f>
        <v>0.14698776803663444</v>
      </c>
      <c r="G5" s="7">
        <f>(1-Parameters!$B$4)^Parameters!B$65*G4+D4*Parameters!B$65-Parameters!$B$5*D4^2/G4*Parameters!B$65</f>
        <v>4.3932585562253772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9.2039964494891002</v>
      </c>
      <c r="K5" s="23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53.656216527664789</v>
      </c>
      <c r="L5" s="8">
        <f>L4+K5*Parameters!B$65</f>
        <v>2353.6562165276646</v>
      </c>
      <c r="M5" s="7">
        <f>L5*Parameters!$B$45</f>
        <v>1.4121937299165985</v>
      </c>
      <c r="N5" s="7">
        <f>'6states'!O5</f>
        <v>0.9802922863510819</v>
      </c>
      <c r="O5" s="7">
        <f>MAX(O4+(Parameters!B$31-K5)*Parameters!B$65,30)</f>
        <v>49.543783472335214</v>
      </c>
      <c r="P5" s="7">
        <f>Parameters!B$61*EXP(-Parameters!B$60*A5)+(1-Parameters!B$61)*(O5/Parameters!B$62)^-Parameters!B$63</f>
        <v>0.98713914148564652</v>
      </c>
      <c r="Q5" s="9">
        <f>1-P5/Parameters!$B$12</f>
        <v>0.50643042925717674</v>
      </c>
      <c r="R5" s="23">
        <f t="shared" ref="R5:R68" si="0">1/(1-Q5)</f>
        <v>2.0260568302357007</v>
      </c>
      <c r="S5" s="7">
        <f>(Parameters!$B$19*(E5+Parameters!$B$20)^Q5+Parameters!$B$18*F5^Q5)^(1/Q5)</f>
        <v>0.53526420258176122</v>
      </c>
      <c r="T5" s="7">
        <f>(Parameters!$B$10*G5^Parameters!$B$9 + Parameters!$B$11*S5^Parameters!$B$9) ^ (Parameters!$B$7/Parameters!$B$9) * N5</f>
        <v>1.5062667555179436</v>
      </c>
      <c r="U5" s="7">
        <f t="shared" ref="U5:U68" si="1">T5-B5-C5-D5</f>
        <v>1.1472792462373003</v>
      </c>
      <c r="V5" s="7">
        <f>EXP(-Parameters!$B$55*A5)</f>
        <v>0.98501343333449787</v>
      </c>
      <c r="W5" s="7">
        <f>IF(U5&gt;0,U5^(1-Parameters!$B$52)/(1-Parameters!$B$52)*V5,-10+U5*1000)</f>
        <v>-2.6821922965995819</v>
      </c>
      <c r="X5" s="7"/>
      <c r="Y5" s="9">
        <f t="shared" ref="Y5:Y36" si="2">SUM(B4:B6)/3</f>
        <v>5.1982376285555042E-2</v>
      </c>
      <c r="Z5" s="9">
        <f t="shared" ref="Z5:Z36" si="3">SUM(C4:C6)/3</f>
        <v>7.9990837201913481E-3</v>
      </c>
      <c r="AA5" s="7">
        <f t="shared" ref="AA5:AA36" si="4">SUM(D4:D6)/3</f>
        <v>0.29901691067238795</v>
      </c>
      <c r="AB5" s="13">
        <f t="shared" ref="AB5:AB64" si="5">(B5+C5+D5)/T5</f>
        <v>0.23832930519481732</v>
      </c>
    </row>
    <row r="6" spans="1:28" x14ac:dyDescent="0.25">
      <c r="A6">
        <f>A5+Parameters!$B$65</f>
        <v>2</v>
      </c>
      <c r="B6" s="19">
        <v>5.2753973907163257E-2</v>
      </c>
      <c r="C6" s="45">
        <v>7.801956322223004E-3</v>
      </c>
      <c r="D6" s="18">
        <v>0.29823329157671025</v>
      </c>
      <c r="E6" s="7">
        <f>MAX((1-Parameters!$B$4)^Parameters!B$65*E5+B5*Parameters!B$65-Parameters!$B$5*B5^2/E5*Parameters!B$65,0.0001)</f>
        <v>0.76954284864869782</v>
      </c>
      <c r="F6" s="9">
        <f>(1-Parameters!$B$4)^Parameters!B$65*F5+C5*Parameters!B$65-Parameters!$B$5*C5^2/F5*Parameters!B$65</f>
        <v>0.14530702688992203</v>
      </c>
      <c r="G6" s="7">
        <f>(1-Parameters!$B$4)^Parameters!B$65*G5+D5*Parameters!B$65-Parameters!$B$5*D5^2/G5*Parameters!B$65</f>
        <v>4.3955246663485719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9.3880763784788819</v>
      </c>
      <c r="K6" s="23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54.17720580826991</v>
      </c>
      <c r="L6" s="8">
        <f>L5+K6*Parameters!B$65</f>
        <v>2407.8334223359343</v>
      </c>
      <c r="M6" s="7">
        <f>M5+Parameters!$B$45*K6</f>
        <v>1.4447000534015604</v>
      </c>
      <c r="N6" s="7">
        <f>'6states'!O6</f>
        <v>0.97960407218090528</v>
      </c>
      <c r="O6" s="7">
        <f>MAX(O5+(Parameters!B$31-K6)*Parameters!B$65,30)</f>
        <v>48.566577664065306</v>
      </c>
      <c r="P6" s="7">
        <f>Parameters!B$61*EXP(-Parameters!B$60*A6)+(1-Parameters!B$61)*(O6/Parameters!B$62)^-Parameters!B$63</f>
        <v>0.97517254117144703</v>
      </c>
      <c r="Q6" s="9">
        <f>1-P6/Parameters!$B$12</f>
        <v>0.51241372941427654</v>
      </c>
      <c r="R6" s="23">
        <f t="shared" si="0"/>
        <v>2.0509191097582149</v>
      </c>
      <c r="S6" s="7">
        <f>(Parameters!$B$19*(E6+Parameters!$B$20)^Q6+Parameters!$B$18*F6^Q6)^(1/Q6)</f>
        <v>0.53508553268706005</v>
      </c>
      <c r="T6" s="7">
        <f>(Parameters!$B$10*G6^Parameters!$B$9 + Parameters!$B$11*S6^Parameters!$B$9) ^ (Parameters!$B$7/Parameters!$B$9) * N6</f>
        <v>1.5053746795983165</v>
      </c>
      <c r="U6" s="7">
        <f t="shared" si="1"/>
        <v>1.1465854577922201</v>
      </c>
      <c r="V6" s="7">
        <f>EXP(-Parameters!$B$55*A6)</f>
        <v>0.9702514638494153</v>
      </c>
      <c r="W6" s="7">
        <f>IF(U6&gt;0,U6^(1-Parameters!$B$52)/(1-Parameters!$B$52)*V6,-10+U6*1000)</f>
        <v>-2.6425548595450943</v>
      </c>
      <c r="X6" s="7"/>
      <c r="Y6" s="9">
        <f t="shared" si="2"/>
        <v>5.2708298895472037E-2</v>
      </c>
      <c r="Z6" s="9">
        <f t="shared" si="3"/>
        <v>7.8032078963224567E-3</v>
      </c>
      <c r="AA6" s="7">
        <f t="shared" si="4"/>
        <v>0.29827971647118612</v>
      </c>
      <c r="AB6" s="13">
        <f t="shared" si="5"/>
        <v>0.23833881801561407</v>
      </c>
    </row>
    <row r="7" spans="1:28" x14ac:dyDescent="0.25">
      <c r="A7">
        <f>A6+Parameters!$B$65</f>
        <v>3</v>
      </c>
      <c r="B7" s="19">
        <v>5.3327682980046809E-2</v>
      </c>
      <c r="C7" s="45">
        <v>7.6074431125221194E-3</v>
      </c>
      <c r="D7" s="18">
        <v>0.29766181260963304</v>
      </c>
      <c r="E7" s="7">
        <f>MAX((1-Parameters!$B$4)^Parameters!B$65*E6+B6*Parameters!B$65-Parameters!$B$5*B6^2/E6*Parameters!B$65,0.0001)</f>
        <v>0.77027616827286327</v>
      </c>
      <c r="F7" s="9">
        <f>(1-Parameters!$B$4)^Parameters!B$65*F6+C6*Parameters!B$65-Parameters!$B$5*C6^2/F6*Parameters!B$65</f>
        <v>0.14355026152481881</v>
      </c>
      <c r="G7" s="7">
        <f>(1-Parameters!$B$4)^Parameters!B$65*G6+D6*Parameters!B$65-Parameters!$B$5*D6^2/G6*Parameters!B$65</f>
        <v>4.3970445349961782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9.5758379060484593</v>
      </c>
      <c r="K7" s="23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54.749964386754677</v>
      </c>
      <c r="L7" s="8">
        <f>L6+K7*Parameters!B$65</f>
        <v>2462.5833867226888</v>
      </c>
      <c r="M7" s="7">
        <f>M6+Parameters!$B$45*K7</f>
        <v>1.4775500320336132</v>
      </c>
      <c r="N7" s="7">
        <f>'6states'!O7</f>
        <v>0.97895849568420434</v>
      </c>
      <c r="O7" s="7">
        <f>MAX(O6+(Parameters!B$31-K7)*Parameters!B$65,30)</f>
        <v>47.016613277310633</v>
      </c>
      <c r="P7" s="7">
        <f>Parameters!B$61*EXP(-Parameters!B$60*A7)+(1-Parameters!B$61)*(O7/Parameters!B$62)^-Parameters!B$63</f>
        <v>0.96418242715532598</v>
      </c>
      <c r="Q7" s="9">
        <f>1-P7/Parameters!$B$12</f>
        <v>0.51790878642233706</v>
      </c>
      <c r="R7" s="23">
        <f t="shared" si="0"/>
        <v>2.0742962572971764</v>
      </c>
      <c r="S7" s="7">
        <f>(Parameters!$B$19*(E7+Parameters!$B$20)^Q7+Parameters!$B$18*F7^Q7)^(1/Q7)</f>
        <v>0.53516415854500221</v>
      </c>
      <c r="T7" s="7">
        <f>(Parameters!$B$10*G7^Parameters!$B$9 + Parameters!$B$11*S7^Parameters!$B$9) ^ (Parameters!$B$7/Parameters!$B$9) * N7</f>
        <v>1.5045228374604054</v>
      </c>
      <c r="U7" s="7">
        <f t="shared" si="1"/>
        <v>1.1459258987582033</v>
      </c>
      <c r="V7" s="7">
        <f>EXP(-Parameters!$B$55*A7)</f>
        <v>0.95571072560413495</v>
      </c>
      <c r="W7" s="7">
        <f>IF(U7&gt;0,U7^(1-Parameters!$B$52)/(1-Parameters!$B$52)*V7,-10+U7*1000)</f>
        <v>-2.6034762990844169</v>
      </c>
      <c r="X7" s="7"/>
      <c r="Y7" s="9">
        <f t="shared" si="2"/>
        <v>5.3290662960875201E-2</v>
      </c>
      <c r="Z7" s="9">
        <f t="shared" si="3"/>
        <v>7.6100195261165132E-3</v>
      </c>
      <c r="AA7" s="7">
        <f t="shared" si="4"/>
        <v>0.29769335578211747</v>
      </c>
      <c r="AB7" s="13">
        <f t="shared" si="5"/>
        <v>0.2383459591131924</v>
      </c>
    </row>
    <row r="8" spans="1:28" x14ac:dyDescent="0.25">
      <c r="A8">
        <f>A7+Parameters!$B$65</f>
        <v>4</v>
      </c>
      <c r="B8" s="19">
        <v>5.3790331995415532E-2</v>
      </c>
      <c r="C8" s="45">
        <v>7.420659143604417E-3</v>
      </c>
      <c r="D8" s="18">
        <v>0.29718496316000909</v>
      </c>
      <c r="E8" s="7">
        <f>MAX((1-Parameters!$B$4)^Parameters!B$65*E7+B7*Parameters!B$65-Parameters!$B$5*B7^2/E7*Parameters!B$65,0.0001)</f>
        <v>0.77146150343068509</v>
      </c>
      <c r="F8" s="9">
        <f>(1-Parameters!$B$4)^Parameters!B$65*F7+C7*Parameters!B$65-Parameters!$B$5*C7^2/F7*Parameters!B$65</f>
        <v>0.14172523689850691</v>
      </c>
      <c r="G8" s="7">
        <f>(1-Parameters!$B$4)^Parameters!B$65*G7+D7*Parameters!B$65-Parameters!$B$5*D7^2/G7*Parameters!B$65</f>
        <v>4.3979817670994832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9.767354664169428</v>
      </c>
      <c r="K8" s="23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55.36474931623809</v>
      </c>
      <c r="L8" s="8">
        <f>L7+K8*Parameters!B$65</f>
        <v>2517.9481360389268</v>
      </c>
      <c r="M8" s="7">
        <f>M7+Parameters!$B$45*K8</f>
        <v>1.510768881623356</v>
      </c>
      <c r="N8" s="7">
        <f>'6states'!O8</f>
        <v>0.9783451712153487</v>
      </c>
      <c r="O8" s="7">
        <f>MAX(O7+(Parameters!B$31-K8)*Parameters!B$65,30)</f>
        <v>44.851863961072546</v>
      </c>
      <c r="P8" s="7">
        <f>Parameters!B$61*EXP(-Parameters!B$60*A8)+(1-Parameters!B$61)*(O8/Parameters!B$62)^-Parameters!B$63</f>
        <v>0.95427631463232299</v>
      </c>
      <c r="Q8" s="9">
        <f>1-P8/Parameters!$B$12</f>
        <v>0.52286184268383851</v>
      </c>
      <c r="R8" s="23">
        <f t="shared" si="0"/>
        <v>2.0958290270157112</v>
      </c>
      <c r="S8" s="7">
        <f>(Parameters!$B$19*(E8+Parameters!$B$20)^Q8+Parameters!$B$18*F8^Q8)^(1/Q8)</f>
        <v>0.5354085244205764</v>
      </c>
      <c r="T8" s="7">
        <f>(Parameters!$B$10*G8^Parameters!$B$9 + Parameters!$B$11*S8^Parameters!$B$9) ^ (Parameters!$B$7/Parameters!$B$9) * N8</f>
        <v>1.5036957257780399</v>
      </c>
      <c r="U8" s="7">
        <f t="shared" si="1"/>
        <v>1.145299771479011</v>
      </c>
      <c r="V8" s="7">
        <f>EXP(-Parameters!$B$55*A8)</f>
        <v>0.94138790310193321</v>
      </c>
      <c r="W8" s="7">
        <f>IF(U8&gt;0,U8^(1-Parameters!$B$52)/(1-Parameters!$B$52)*V8,-10+U8*1000)</f>
        <v>-2.5649497308882232</v>
      </c>
      <c r="X8" s="7"/>
      <c r="Y8" s="9">
        <f t="shared" si="2"/>
        <v>5.3755839743633571E-2</v>
      </c>
      <c r="Z8" s="9">
        <f t="shared" si="3"/>
        <v>7.4235038845327575E-3</v>
      </c>
      <c r="AA8" s="7">
        <f t="shared" si="4"/>
        <v>0.29720949973368299</v>
      </c>
      <c r="AB8" s="13">
        <f t="shared" si="5"/>
        <v>0.23834340163039858</v>
      </c>
    </row>
    <row r="9" spans="1:28" x14ac:dyDescent="0.25">
      <c r="A9">
        <f>A8+Parameters!$B$65</f>
        <v>5</v>
      </c>
      <c r="B9" s="19">
        <v>5.4149504255438366E-2</v>
      </c>
      <c r="C9" s="45">
        <v>7.2424093974717378E-3</v>
      </c>
      <c r="D9" s="18">
        <v>0.29678172343140685</v>
      </c>
      <c r="E9" s="7">
        <f>MAX((1-Parameters!$B$4)^Parameters!B$65*E8+B8*Parameters!B$65-Parameters!$B$5*B8^2/E8*Parameters!B$65,0.0001)</f>
        <v>0.77297636350421295</v>
      </c>
      <c r="F9" s="9">
        <f>(1-Parameters!$B$4)^Parameters!B$65*F8+C8*Parameters!B$65-Parameters!$B$5*C8^2/F8*Parameters!B$65</f>
        <v>0.13984283681667184</v>
      </c>
      <c r="G9" s="7">
        <f>(1-Parameters!$B$4)^Parameters!B$65*G8+D8*Parameters!B$65-Parameters!$B$5*D8^2/G8*Parameters!B$65</f>
        <v>4.3984519880512147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9.9627017574528161</v>
      </c>
      <c r="K9" s="23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56.01375021595257</v>
      </c>
      <c r="L9" s="8">
        <f>L8+K9*Parameters!B$65</f>
        <v>2573.9618862548796</v>
      </c>
      <c r="M9" s="7">
        <f>M8+Parameters!$B$45*K9</f>
        <v>1.5443771317529276</v>
      </c>
      <c r="N9" s="7">
        <f>'6states'!O9</f>
        <v>0.97775761756045976</v>
      </c>
      <c r="O9" s="7">
        <f>MAX(O8+(Parameters!B$31-K9)*Parameters!B$65,30)</f>
        <v>42.038113745119979</v>
      </c>
      <c r="P9" s="7">
        <f>Parameters!B$61*EXP(-Parameters!B$60*A9)+(1-Parameters!B$61)*(O9/Parameters!B$62)^-Parameters!B$63</f>
        <v>0.94560591805907102</v>
      </c>
      <c r="Q9" s="9">
        <f>1-P9/Parameters!$B$12</f>
        <v>0.52719704097046449</v>
      </c>
      <c r="R9" s="23">
        <f t="shared" si="0"/>
        <v>2.1150459845948872</v>
      </c>
      <c r="S9" s="7">
        <f>(Parameters!$B$19*(E9+Parameters!$B$20)^Q9+Parameters!$B$18*F9^Q9)^(1/Q9)</f>
        <v>0.53574324937696216</v>
      </c>
      <c r="T9" s="7">
        <f>(Parameters!$B$10*G9^Parameters!$B$9 + Parameters!$B$11*S9^Parameters!$B$9) ^ (Parameters!$B$7/Parameters!$B$9) * N9</f>
        <v>1.5028819682542263</v>
      </c>
      <c r="U9" s="7">
        <f t="shared" si="1"/>
        <v>1.1447083311699093</v>
      </c>
      <c r="V9" s="7">
        <f>EXP(-Parameters!$B$55*A9)</f>
        <v>0.92727973053399881</v>
      </c>
      <c r="W9" s="7">
        <f>IF(U9&gt;0,U9^(1-Parameters!$B$52)/(1-Parameters!$B$52)*V9,-10+U9*1000)</f>
        <v>-2.5269667471954405</v>
      </c>
      <c r="X9" s="7"/>
      <c r="Y9" s="9">
        <f t="shared" si="2"/>
        <v>5.4110893733099276E-2</v>
      </c>
      <c r="Z9" s="9">
        <f t="shared" si="3"/>
        <v>7.2444321271830777E-3</v>
      </c>
      <c r="AA9" s="7">
        <f t="shared" si="4"/>
        <v>0.29680616341449362</v>
      </c>
      <c r="AB9" s="13">
        <f t="shared" si="5"/>
        <v>0.23832452890520581</v>
      </c>
    </row>
    <row r="10" spans="1:28" x14ac:dyDescent="0.25">
      <c r="A10">
        <f>A9+Parameters!$B$65</f>
        <v>6</v>
      </c>
      <c r="B10" s="19">
        <v>5.439284494844393E-2</v>
      </c>
      <c r="C10" s="45">
        <v>7.0702278404730784E-3</v>
      </c>
      <c r="D10" s="18">
        <v>0.29645180365206492</v>
      </c>
      <c r="E10" s="7">
        <f>MAX((1-Parameters!$B$4)^Parameters!B$65*E9+B9*Parameters!B$65-Parameters!$B$5*B9^2/E9*Parameters!B$65,0.0001)</f>
        <v>0.77471230588905515</v>
      </c>
      <c r="F10" s="9">
        <f>(1-Parameters!$B$4)^Parameters!B$65*F9+C9*Parameters!B$65-Parameters!$B$5*C9^2/F9*Parameters!B$65</f>
        <v>0.1379140500432314</v>
      </c>
      <c r="G10" s="7">
        <f>(1-Parameters!$B$4)^Parameters!B$65*G9+D9*Parameters!B$65-Parameters!$B$5*D9^2/G9*Parameters!B$65</f>
        <v>4.3985459926979376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10.161955792601873</v>
      </c>
      <c r="K10" s="23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56.68986927173345</v>
      </c>
      <c r="L10" s="8">
        <f>L9+K10*Parameters!B$65</f>
        <v>2630.6517555266132</v>
      </c>
      <c r="M10" s="7">
        <f>M9+Parameters!$B$45*K10</f>
        <v>1.5783910533159677</v>
      </c>
      <c r="N10" s="7">
        <f>'6states'!O10</f>
        <v>0.97719343386627211</v>
      </c>
      <c r="O10" s="7">
        <f>MAX(O9+(Parameters!B$31-K10)*Parameters!B$65,30)</f>
        <v>38.548244473386532</v>
      </c>
      <c r="P10" s="7">
        <f>Parameters!B$61*EXP(-Parameters!B$60*A10)+(1-Parameters!B$61)*(O10/Parameters!B$62)^-Parameters!B$63</f>
        <v>0.93839684690562009</v>
      </c>
      <c r="Q10" s="9">
        <f>1-P10/Parameters!$B$12</f>
        <v>0.53080157654718996</v>
      </c>
      <c r="R10" s="23">
        <f t="shared" si="0"/>
        <v>2.1312944588369351</v>
      </c>
      <c r="S10" s="7">
        <f>(Parameters!$B$19*(E10+Parameters!$B$20)^Q10+Parameters!$B$18*F10^Q10)^(1/Q10)</f>
        <v>0.53609517398812823</v>
      </c>
      <c r="T10" s="7">
        <f>(Parameters!$B$10*G10^Parameters!$B$9 + Parameters!$B$11*S10^Parameters!$B$9) ^ (Parameters!$B$7/Parameters!$B$9) * N10</f>
        <v>1.5020746854514169</v>
      </c>
      <c r="U10" s="7">
        <f t="shared" si="1"/>
        <v>1.144159809010435</v>
      </c>
      <c r="V10" s="7">
        <f>EXP(-Parameters!$B$55*A10)</f>
        <v>0.91338299103478215</v>
      </c>
      <c r="W10" s="7">
        <f>IF(U10&gt;0,U10^(1-Parameters!$B$52)/(1-Parameters!$B$52)*V10,-10+U10*1000)</f>
        <v>-2.4895137810668269</v>
      </c>
      <c r="X10" s="7"/>
      <c r="Y10" s="9">
        <f t="shared" si="2"/>
        <v>5.4341572794550548E-2</v>
      </c>
      <c r="Z10" s="9">
        <f t="shared" si="3"/>
        <v>7.0700177079082924E-3</v>
      </c>
      <c r="AA10" s="7">
        <f t="shared" si="4"/>
        <v>0.29648539185810896</v>
      </c>
      <c r="AB10" s="13">
        <f t="shared" si="5"/>
        <v>0.23828034644856433</v>
      </c>
    </row>
    <row r="11" spans="1:28" x14ac:dyDescent="0.25">
      <c r="A11">
        <f>A10+Parameters!$B$65</f>
        <v>7</v>
      </c>
      <c r="B11" s="19">
        <v>5.4482369179769355E-2</v>
      </c>
      <c r="C11" s="45">
        <v>6.8974158857800592E-3</v>
      </c>
      <c r="D11" s="18">
        <v>0.29622264849085511</v>
      </c>
      <c r="E11" s="7">
        <f>MAX((1-Parameters!$B$4)^Parameters!B$65*E10+B10*Parameters!B$65-Parameters!$B$5*B10^2/E10*Parameters!B$65,0.0001)</f>
        <v>0.77655680451476772</v>
      </c>
      <c r="F11" s="9">
        <f>(1-Parameters!$B$4)^Parameters!B$65*F10+C10*Parameters!B$65-Parameters!$B$5*C10^2/F10*Parameters!B$65</f>
        <v>0.13594702562142102</v>
      </c>
      <c r="G11" s="7">
        <f>(1-Parameters!$B$4)^Parameters!B$65*G10+D10*Parameters!B$65-Parameters!$B$5*D10^2/G10*Parameters!B$65</f>
        <v>4.3983490890471568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10.36519490845391</v>
      </c>
      <c r="K11" s="23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57.385418554736752</v>
      </c>
      <c r="L11" s="8">
        <f>L10+K11*Parameters!B$65</f>
        <v>2688.0371740813498</v>
      </c>
      <c r="M11" s="7">
        <f>M10+Parameters!$B$45*K11</f>
        <v>1.6128223044488097</v>
      </c>
      <c r="N11" s="7">
        <f>'6states'!O11</f>
        <v>0.97665195916410963</v>
      </c>
      <c r="O11" s="7">
        <f>MAX(O10+(Parameters!B$31-K11)*Parameters!B$65,30)</f>
        <v>34.362825918649783</v>
      </c>
      <c r="P11" s="7">
        <f>Parameters!B$61*EXP(-Parameters!B$60*A11)+(1-Parameters!B$61)*(O11/Parameters!B$62)^-Parameters!B$63</f>
        <v>0.93300172633039058</v>
      </c>
      <c r="Q11" s="9">
        <f>1-P11/Parameters!$B$12</f>
        <v>0.53349913683480477</v>
      </c>
      <c r="R11" s="23">
        <f t="shared" si="0"/>
        <v>2.1436187560619464</v>
      </c>
      <c r="S11" s="7">
        <f>(Parameters!$B$19*(E11+Parameters!$B$20)^Q11+Parameters!$B$18*F11^Q11)^(1/Q11)</f>
        <v>0.53637758413110648</v>
      </c>
      <c r="T11" s="7">
        <f>(Parameters!$B$10*G11^Parameters!$B$9 + Parameters!$B$11*S11^Parameters!$B$9) ^ (Parameters!$B$7/Parameters!$B$9) * N11</f>
        <v>1.5012673131598704</v>
      </c>
      <c r="U11" s="7">
        <f t="shared" si="1"/>
        <v>1.1436648796034659</v>
      </c>
      <c r="V11" s="7">
        <f>EXP(-Parameters!$B$55*A11)</f>
        <v>0.89969451594850369</v>
      </c>
      <c r="W11" s="7">
        <f>IF(U11&gt;0,U11^(1-Parameters!$B$52)/(1-Parameters!$B$52)*V11,-10+U11*1000)</f>
        <v>-2.4525758879485751</v>
      </c>
      <c r="X11" s="7"/>
      <c r="Y11" s="9">
        <f t="shared" si="2"/>
        <v>5.4408164753638612E-2</v>
      </c>
      <c r="Z11" s="9">
        <f t="shared" si="3"/>
        <v>6.8946649773232518E-3</v>
      </c>
      <c r="AA11" s="7">
        <f t="shared" si="4"/>
        <v>0.2962754641138341</v>
      </c>
      <c r="AB11" s="13">
        <f t="shared" si="5"/>
        <v>0.2382003727262417</v>
      </c>
    </row>
    <row r="12" spans="1:28" x14ac:dyDescent="0.25">
      <c r="A12">
        <f>A11+Parameters!$B$65</f>
        <v>8</v>
      </c>
      <c r="B12" s="19">
        <v>5.4349280132702564E-2</v>
      </c>
      <c r="C12" s="45">
        <v>6.716351205716618E-3</v>
      </c>
      <c r="D12" s="18">
        <v>0.29615194019858232</v>
      </c>
      <c r="E12" s="7">
        <f>MAX((1-Parameters!$B$4)^Parameters!B$65*E11+B11*Parameters!B$65-Parameters!$B$5*B11^2/E11*Parameters!B$65,0.0001)</f>
        <v>0.77837132774070661</v>
      </c>
      <c r="F12" s="9">
        <f>(1-Parameters!$B$4)^Parameters!B$65*F11+C11*Parameters!B$65-Parameters!$B$5*C11^2/F11*Parameters!B$65</f>
        <v>0.13394342591795066</v>
      </c>
      <c r="G12" s="7">
        <f>(1-Parameters!$B$4)^Parameters!B$65*G11+D11*Parameters!B$65-Parameters!$B$5*D11^2/G11*Parameters!B$65</f>
        <v>4.397965399507366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10.572498806622988</v>
      </c>
      <c r="K12" s="23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58.090456800140153</v>
      </c>
      <c r="L12" s="8">
        <f>L11+K12*Parameters!B$65</f>
        <v>2746.1276308814899</v>
      </c>
      <c r="M12" s="7">
        <f>M11+Parameters!$B$45*K12</f>
        <v>1.6476765785288938</v>
      </c>
      <c r="N12" s="7">
        <f>'6states'!O12</f>
        <v>0.97613163426297045</v>
      </c>
      <c r="O12" s="7">
        <f>MAX(O11+(Parameters!B$31-K12)*Parameters!B$65,30)</f>
        <v>30</v>
      </c>
      <c r="P12" s="7">
        <f>Parameters!B$61*EXP(-Parameters!B$60*A12)+(1-Parameters!B$61)*(O12/Parameters!B$62)^-Parameters!B$63</f>
        <v>0.92907254051120247</v>
      </c>
      <c r="Q12" s="9">
        <f>1-P12/Parameters!$B$12</f>
        <v>0.53546372974439871</v>
      </c>
      <c r="R12" s="23">
        <f t="shared" si="0"/>
        <v>2.1526844382889005</v>
      </c>
      <c r="S12" s="7">
        <f>(Parameters!$B$19*(E12+Parameters!$B$20)^Q12+Parameters!$B$18*F12^Q12)^(1/Q12)</f>
        <v>0.53652821176272503</v>
      </c>
      <c r="T12" s="7">
        <f>(Parameters!$B$10*G12^Parameters!$B$9 + Parameters!$B$11*S12^Parameters!$B$9) ^ (Parameters!$B$7/Parameters!$B$9) * N12</f>
        <v>1.5004572137322554</v>
      </c>
      <c r="U12" s="7">
        <f t="shared" si="1"/>
        <v>1.1432396421952538</v>
      </c>
      <c r="V12" s="7">
        <f>EXP(-Parameters!$B$55*A12)</f>
        <v>0.88621118410665478</v>
      </c>
      <c r="W12" s="7">
        <f>IF(U12&gt;0,U12^(1-Parameters!$B$52)/(1-Parameters!$B$52)*V12,-10+U12*1000)</f>
        <v>-2.416134662372182</v>
      </c>
      <c r="X12" s="7"/>
      <c r="Y12" s="9">
        <f t="shared" si="2"/>
        <v>5.4369526977032658E-2</v>
      </c>
      <c r="Z12" s="9">
        <f t="shared" si="3"/>
        <v>6.7220944343966771E-3</v>
      </c>
      <c r="AA12" s="7">
        <f t="shared" si="4"/>
        <v>0.29614779742645703</v>
      </c>
      <c r="AB12" s="13">
        <f t="shared" si="5"/>
        <v>0.23807248101960482</v>
      </c>
    </row>
    <row r="13" spans="1:28" x14ac:dyDescent="0.25">
      <c r="A13">
        <f>A12+Parameters!$B$65</f>
        <v>9</v>
      </c>
      <c r="B13" s="19">
        <v>5.4276931618626081E-2</v>
      </c>
      <c r="C13" s="45">
        <v>6.5525162116933551E-3</v>
      </c>
      <c r="D13" s="18">
        <v>0.2960688035899337</v>
      </c>
      <c r="E13" s="7">
        <f>MAX((1-Parameters!$B$4)^Parameters!B$65*E12+B12*Parameters!B$65-Parameters!$B$5*B12^2/E12*Parameters!B$65,0.0001)</f>
        <v>0.77996614763369021</v>
      </c>
      <c r="F13" s="9">
        <f>(1-Parameters!$B$4)^Parameters!B$65*F12+C12*Parameters!B$65-Parameters!$B$5*C12^2/F12*Parameters!B$65</f>
        <v>0.13189795633120127</v>
      </c>
      <c r="G13" s="7">
        <f>(1-Parameters!$B$4)^Parameters!B$65*G12+D12*Parameters!B$65-Parameters!$B$5*D12^2/G12*Parameters!B$65</f>
        <v>4.3975429191464803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10.783948782755449</v>
      </c>
      <c r="K13" s="23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58.790780789981639</v>
      </c>
      <c r="L13" s="8">
        <f>L12+K13*Parameters!B$65</f>
        <v>2804.9184116714714</v>
      </c>
      <c r="M13" s="7">
        <f>M12+Parameters!$B$45*K13</f>
        <v>1.6829510470028828</v>
      </c>
      <c r="N13" s="7">
        <f>'6states'!O13</f>
        <v>0.97563111242690481</v>
      </c>
      <c r="O13" s="7">
        <f>MAX(O12+(Parameters!B$31-K13)*Parameters!B$65,30)</f>
        <v>30</v>
      </c>
      <c r="P13" s="7">
        <f>Parameters!B$61*EXP(-Parameters!B$60*A13)+(1-Parameters!B$61)*(O13/Parameters!B$62)^-Parameters!B$63</f>
        <v>0.91834064646024083</v>
      </c>
      <c r="Q13" s="9">
        <f>1-P13/Parameters!$B$12</f>
        <v>0.54082967676987959</v>
      </c>
      <c r="R13" s="23">
        <f t="shared" si="0"/>
        <v>2.177841096012719</v>
      </c>
      <c r="S13" s="7">
        <f>(Parameters!$B$19*(E13+Parameters!$B$20)^Q13+Parameters!$B$18*F13^Q13)^(1/Q13)</f>
        <v>0.53696960187875376</v>
      </c>
      <c r="T13" s="7">
        <f>(Parameters!$B$10*G13^Parameters!$B$9 + Parameters!$B$11*S13^Parameters!$B$9) ^ (Parameters!$B$7/Parameters!$B$9) * N13</f>
        <v>1.4997167744637963</v>
      </c>
      <c r="U13" s="7">
        <f t="shared" si="1"/>
        <v>1.1428185230435433</v>
      </c>
      <c r="V13" s="7">
        <f>EXP(-Parameters!$B$55*A13)</f>
        <v>0.87292992111632683</v>
      </c>
      <c r="W13" s="7">
        <f>IF(U13&gt;0,U13^(1-Parameters!$B$52)/(1-Parameters!$B$52)*V13,-10+U13*1000)</f>
        <v>-2.3802320063638795</v>
      </c>
      <c r="X13" s="7"/>
      <c r="Y13" s="9">
        <f t="shared" si="2"/>
        <v>5.4289155085419705E-2</v>
      </c>
      <c r="Z13" s="9">
        <f t="shared" si="3"/>
        <v>6.5567234542599105E-3</v>
      </c>
      <c r="AA13" s="7">
        <f t="shared" si="4"/>
        <v>0.29605803630298261</v>
      </c>
      <c r="AB13" s="13">
        <f t="shared" si="5"/>
        <v>0.23797710174166539</v>
      </c>
    </row>
    <row r="14" spans="1:28" x14ac:dyDescent="0.25">
      <c r="A14">
        <f>A13+Parameters!$B$65</f>
        <v>10</v>
      </c>
      <c r="B14" s="19">
        <v>5.4241253504930489E-2</v>
      </c>
      <c r="C14" s="45">
        <v>6.4013029453697566E-3</v>
      </c>
      <c r="D14" s="18">
        <v>0.29595336512043185</v>
      </c>
      <c r="E14" s="7">
        <f>MAX((1-Parameters!$B$4)^Parameters!B$65*E13+B13*Parameters!B$65-Parameters!$B$5*B13^2/E13*Parameters!B$65,0.0001)</f>
        <v>0.78140614040124934</v>
      </c>
      <c r="F14" s="9">
        <f>(1-Parameters!$B$4)^Parameters!B$65*F13+C13*Parameters!B$65-Parameters!$B$5*C13^2/F13*Parameters!B$65</f>
        <v>0.12982857074121415</v>
      </c>
      <c r="G14" s="7">
        <f>(1-Parameters!$B$4)^Parameters!B$65*G13+D13*Parameters!B$65-Parameters!$B$5*D13^2/G13*Parameters!B$65</f>
        <v>4.3970731563633016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10.999627758410558</v>
      </c>
      <c r="K14" s="23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59.490996796530112</v>
      </c>
      <c r="L14" s="8">
        <f>L13+K14*Parameters!B$65</f>
        <v>2864.4094084680014</v>
      </c>
      <c r="M14" s="7">
        <f>M13+Parameters!$B$45*K14</f>
        <v>1.7186456450808008</v>
      </c>
      <c r="N14" s="7">
        <f>'6states'!O14</f>
        <v>0.97514927419473751</v>
      </c>
      <c r="O14" s="7">
        <f>MAX(O13+(Parameters!B$31-K14)*Parameters!B$65,30)</f>
        <v>30</v>
      </c>
      <c r="P14" s="7">
        <f>Parameters!B$61*EXP(-Parameters!B$60*A14)+(1-Parameters!B$61)*(O14/Parameters!B$62)^-Parameters!B$63</f>
        <v>0.90789463674288928</v>
      </c>
      <c r="Q14" s="9">
        <f>1-P14/Parameters!$B$12</f>
        <v>0.54605268162855536</v>
      </c>
      <c r="R14" s="23">
        <f t="shared" si="0"/>
        <v>2.2028987936035014</v>
      </c>
      <c r="S14" s="7">
        <f>(Parameters!$B$19*(E14+Parameters!$B$20)^Q14+Parameters!$B$18*F14^Q14)^(1/Q14)</f>
        <v>0.53729816379726159</v>
      </c>
      <c r="T14" s="7">
        <f>(Parameters!$B$10*G14^Parameters!$B$9 + Parameters!$B$11*S14^Parameters!$B$9) ^ (Parameters!$B$7/Parameters!$B$9) * N14</f>
        <v>1.49898433740835</v>
      </c>
      <c r="U14" s="7">
        <f t="shared" si="1"/>
        <v>1.1423884158376179</v>
      </c>
      <c r="V14" s="7">
        <f>EXP(-Parameters!$B$55*A14)</f>
        <v>0.85984769865920552</v>
      </c>
      <c r="W14" s="7">
        <f>IF(U14&gt;0,U14^(1-Parameters!$B$52)/(1-Parameters!$B$52)*V14,-10+U14*1000)</f>
        <v>-2.3448694159247951</v>
      </c>
      <c r="X14" s="7"/>
      <c r="Y14" s="9">
        <f t="shared" si="2"/>
        <v>5.4248911651725788E-2</v>
      </c>
      <c r="Z14" s="9">
        <f t="shared" si="3"/>
        <v>6.4047732048393771E-3</v>
      </c>
      <c r="AA14" s="7">
        <f t="shared" si="4"/>
        <v>0.29594746654925408</v>
      </c>
      <c r="AB14" s="13">
        <f t="shared" si="5"/>
        <v>0.2378916928426778</v>
      </c>
    </row>
    <row r="15" spans="1:28" x14ac:dyDescent="0.25">
      <c r="A15">
        <f>A14+Parameters!$B$65</f>
        <v>11</v>
      </c>
      <c r="B15" s="19">
        <v>5.4228549831620794E-2</v>
      </c>
      <c r="C15" s="45">
        <v>6.2605004574550196E-3</v>
      </c>
      <c r="D15" s="18">
        <v>0.29582023093739679</v>
      </c>
      <c r="E15" s="7">
        <f>MAX((1-Parameters!$B$4)^Parameters!B$65*E14+B14*Parameters!B$65-Parameters!$B$5*B14^2/E14*Parameters!B$65,0.0001)</f>
        <v>0.78273179479263177</v>
      </c>
      <c r="F15" s="9">
        <f>(1-Parameters!$B$4)^Parameters!B$65*F14+C14*Parameters!B$65-Parameters!$B$5*C14^2/F14*Parameters!B$65</f>
        <v>0.12774803515506516</v>
      </c>
      <c r="G15" s="7">
        <f>(1-Parameters!$B$4)^Parameters!B$65*G14+D14*Parameters!B$65-Parameters!$B$5*D14^2/G14*Parameters!B$65</f>
        <v>4.3965309162702857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11.219620313578769</v>
      </c>
      <c r="K15" s="23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60.19402183898903</v>
      </c>
      <c r="L15" s="8">
        <f>L14+K15*Parameters!B$65</f>
        <v>2924.6034303069905</v>
      </c>
      <c r="M15" s="7">
        <f>M14+Parameters!$B$45*K15</f>
        <v>1.7547620581841941</v>
      </c>
      <c r="N15" s="7">
        <f>'6states'!O15</f>
        <v>0.97468523027839027</v>
      </c>
      <c r="O15" s="7">
        <f>MAX(O14+(Parameters!B$31-K15)*Parameters!B$65,30)</f>
        <v>30</v>
      </c>
      <c r="P15" s="7">
        <f>Parameters!B$61*EXP(-Parameters!B$60*A15)+(1-Parameters!B$61)*(O15/Parameters!B$62)^-Parameters!B$63</f>
        <v>0.89772689575543252</v>
      </c>
      <c r="Q15" s="9">
        <f>1-P15/Parameters!$B$12</f>
        <v>0.55113655212228374</v>
      </c>
      <c r="R15" s="23">
        <f t="shared" si="0"/>
        <v>2.227849036779733</v>
      </c>
      <c r="S15" s="7">
        <f>(Parameters!$B$19*(E15+Parameters!$B$20)^Q15+Parameters!$B$18*F15^Q15)^(1/Q15)</f>
        <v>0.53754451276116599</v>
      </c>
      <c r="T15" s="7">
        <f>(Parameters!$B$10*G15^Parameters!$B$9 + Parameters!$B$11*S15^Parameters!$B$9) ^ (Parameters!$B$7/Parameters!$B$9) * N15</f>
        <v>1.498261023535703</v>
      </c>
      <c r="U15" s="7">
        <f t="shared" si="1"/>
        <v>1.1419517423092305</v>
      </c>
      <c r="V15" s="7">
        <f>EXP(-Parameters!$B$55*A15)</f>
        <v>0.84696153380107075</v>
      </c>
      <c r="W15" s="7">
        <f>IF(U15&gt;0,U15^(1-Parameters!$B$52)/(1-Parameters!$B$52)*V15,-10+U15*1000)</f>
        <v>-2.3100369634279661</v>
      </c>
      <c r="X15" s="7"/>
      <c r="Y15" s="9">
        <f t="shared" si="2"/>
        <v>5.4233195343926288E-2</v>
      </c>
      <c r="Z15" s="9">
        <f t="shared" si="3"/>
        <v>6.2634548201380745E-3</v>
      </c>
      <c r="AA15" s="7">
        <f t="shared" si="4"/>
        <v>0.29581783196178241</v>
      </c>
      <c r="AB15" s="13">
        <f t="shared" si="5"/>
        <v>0.23781522420280854</v>
      </c>
    </row>
    <row r="16" spans="1:28" x14ac:dyDescent="0.25">
      <c r="A16">
        <f>A15+Parameters!$B$65</f>
        <v>12</v>
      </c>
      <c r="B16" s="19">
        <v>5.4229782695227588E-2</v>
      </c>
      <c r="C16" s="45">
        <v>6.1285610575894482E-3</v>
      </c>
      <c r="D16" s="18">
        <v>0.29567989982751852</v>
      </c>
      <c r="E16" s="7">
        <f>MAX((1-Parameters!$B$4)^Parameters!B$65*E15+B15*Parameters!B$65-Parameters!$B$5*B15^2/E15*Parameters!B$65,0.0001)</f>
        <v>0.7839694990638435</v>
      </c>
      <c r="F16" s="9">
        <f>(1-Parameters!$B$4)^Parameters!B$65*F15+C15*Parameters!B$65-Parameters!$B$5*C15^2/F15*Parameters!B$65</f>
        <v>0.12566637818323101</v>
      </c>
      <c r="G16" s="7">
        <f>(1-Parameters!$B$4)^Parameters!B$65*G15+D15*Parameters!B$65-Parameters!$B$5*D15^2/G15*Parameters!B$65</f>
        <v>4.395905112004062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11.444012719850345</v>
      </c>
      <c r="K16" s="23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60.901795168366178</v>
      </c>
      <c r="L16" s="8">
        <f>L15+K16*Parameters!B$65</f>
        <v>2985.5052254753568</v>
      </c>
      <c r="M16" s="7">
        <f>M15+Parameters!$B$45*K16</f>
        <v>1.7913031352852138</v>
      </c>
      <c r="N16" s="7">
        <f>'6states'!O16</f>
        <v>0.97423832687861012</v>
      </c>
      <c r="O16" s="7">
        <f>MAX(O15+(Parameters!B$31-K16)*Parameters!B$65,30)</f>
        <v>30</v>
      </c>
      <c r="P16" s="7">
        <f>Parameters!B$61*EXP(-Parameters!B$60*A16)+(1-Parameters!B$61)*(O16/Parameters!B$62)^-Parameters!B$63</f>
        <v>0.88783001076438384</v>
      </c>
      <c r="Q16" s="9">
        <f>1-P16/Parameters!$B$12</f>
        <v>0.55608499461780814</v>
      </c>
      <c r="R16" s="23">
        <f t="shared" si="0"/>
        <v>2.2526834819179915</v>
      </c>
      <c r="S16" s="7">
        <f>(Parameters!$B$19*(E16+Parameters!$B$20)^Q16+Parameters!$B$18*F16^Q16)^(1/Q16)</f>
        <v>0.53772957365960405</v>
      </c>
      <c r="T16" s="7">
        <f>(Parameters!$B$10*G16^Parameters!$B$9 + Parameters!$B$11*S16^Parameters!$B$9) ^ (Parameters!$B$7/Parameters!$B$9) * N16</f>
        <v>1.4975480235903194</v>
      </c>
      <c r="U16" s="7">
        <f t="shared" si="1"/>
        <v>1.1415097800099838</v>
      </c>
      <c r="V16" s="7">
        <f>EXP(-Parameters!$B$55*A16)</f>
        <v>0.83426848831164502</v>
      </c>
      <c r="W16" s="7">
        <f>IF(U16&gt;0,U16^(1-Parameters!$B$52)/(1-Parameters!$B$52)*V16,-10+U16*1000)</f>
        <v>-2.2757257451255879</v>
      </c>
      <c r="X16" s="7"/>
      <c r="Y16" s="9">
        <f t="shared" si="2"/>
        <v>5.4232928455253231E-2</v>
      </c>
      <c r="Z16" s="9">
        <f t="shared" si="3"/>
        <v>6.1311927099935619E-3</v>
      </c>
      <c r="AA16" s="7">
        <f t="shared" si="4"/>
        <v>0.29567951463184389</v>
      </c>
      <c r="AB16" s="13">
        <f t="shared" si="5"/>
        <v>0.23774746316765602</v>
      </c>
    </row>
    <row r="17" spans="1:28" x14ac:dyDescent="0.25">
      <c r="A17">
        <f>A16+Parameters!$B$65</f>
        <v>13</v>
      </c>
      <c r="B17" s="19">
        <v>5.4240452838911296E-2</v>
      </c>
      <c r="C17" s="45">
        <v>6.0045166149362188E-3</v>
      </c>
      <c r="D17" s="18">
        <v>0.29553841313061635</v>
      </c>
      <c r="E17" s="7">
        <f>MAX((1-Parameters!$B$4)^Parameters!B$65*E16+B16*Parameters!B$65-Parameters!$B$5*B16^2/E16*Parameters!B$65,0.0001)</f>
        <v>0.78513634548740152</v>
      </c>
      <c r="F17" s="9">
        <f>(1-Parameters!$B$4)^Parameters!B$65*F16+C16*Parameters!B$65-Parameters!$B$5*C16^2/F16*Parameters!B$65</f>
        <v>0.12359164330886119</v>
      </c>
      <c r="G17" s="7">
        <f>(1-Parameters!$B$4)^Parameters!B$65*G16+D16*Parameters!B$65-Parameters!$B$5*D16^2/G16*Parameters!B$65</f>
        <v>4.3951943886776403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11.672892974247352</v>
      </c>
      <c r="K17" s="23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61.615604160640416</v>
      </c>
      <c r="L17" s="8">
        <f>L16+K17*Parameters!B$65</f>
        <v>3047.1208296359973</v>
      </c>
      <c r="M17" s="7">
        <f>M16+Parameters!$B$45*K17</f>
        <v>1.8282724977815981</v>
      </c>
      <c r="N17" s="7">
        <f>'6states'!O17</f>
        <v>0.97380812553618334</v>
      </c>
      <c r="O17" s="7">
        <f>MAX(O16+(Parameters!B$31-K17)*Parameters!B$65,30)</f>
        <v>30</v>
      </c>
      <c r="P17" s="7">
        <f>Parameters!B$61*EXP(-Parameters!B$60*A17)+(1-Parameters!B$61)*(O17/Parameters!B$62)^-Parameters!B$63</f>
        <v>0.87819676650227319</v>
      </c>
      <c r="Q17" s="9">
        <f>1-P17/Parameters!$B$12</f>
        <v>0.56090161674886341</v>
      </c>
      <c r="R17" s="23">
        <f t="shared" si="0"/>
        <v>2.2773939466501361</v>
      </c>
      <c r="S17" s="7">
        <f>(Parameters!$B$19*(E17+Parameters!$B$20)^Q17+Parameters!$B$18*F17^Q17)^(1/Q17)</f>
        <v>0.53786777289680432</v>
      </c>
      <c r="T17" s="7">
        <f>(Parameters!$B$10*G17^Parameters!$B$9 + Parameters!$B$11*S17^Parameters!$B$9) ^ (Parameters!$B$7/Parameters!$B$9) * N17</f>
        <v>1.4968466976733803</v>
      </c>
      <c r="U17" s="7">
        <f t="shared" si="1"/>
        <v>1.1410633150889162</v>
      </c>
      <c r="V17" s="7">
        <f>EXP(-Parameters!$B$55*A17)</f>
        <v>0.82176566799463491</v>
      </c>
      <c r="W17" s="7">
        <f>IF(U17&gt;0,U17^(1-Parameters!$B$52)/(1-Parameters!$B$52)*V17,-10+U17*1000)</f>
        <v>-2.2419273688359218</v>
      </c>
      <c r="X17" s="7"/>
      <c r="Y17" s="9">
        <f t="shared" si="2"/>
        <v>5.4239239024583191E-2</v>
      </c>
      <c r="Z17" s="9">
        <f t="shared" si="3"/>
        <v>5.9924093126929217E-3</v>
      </c>
      <c r="AA17" s="7">
        <f t="shared" si="4"/>
        <v>0.29550550282878624</v>
      </c>
      <c r="AB17" s="13">
        <f t="shared" si="5"/>
        <v>0.23768859104775045</v>
      </c>
    </row>
    <row r="18" spans="1:28" x14ac:dyDescent="0.25">
      <c r="A18">
        <f>A17+Parameters!$B$65</f>
        <v>14</v>
      </c>
      <c r="B18" s="19">
        <v>5.424748153961069E-2</v>
      </c>
      <c r="C18" s="45">
        <v>5.8441502655530988E-3</v>
      </c>
      <c r="D18" s="18">
        <v>0.29529819552822373</v>
      </c>
      <c r="E18" s="7">
        <f>MAX((1-Parameters!$B$4)^Parameters!B$65*E17+B17*Parameters!B$65-Parameters!$B$5*B17^2/E17*Parameters!B$65,0.0001)</f>
        <v>0.78624456828860201</v>
      </c>
      <c r="F18" s="9">
        <f>(1-Parameters!$B$4)^Parameters!B$65*F17+C17*Parameters!B$65-Parameters!$B$5*C17^2/F17*Parameters!B$65</f>
        <v>0.12153052502894658</v>
      </c>
      <c r="G18" s="7">
        <f>(1-Parameters!$B$4)^Parameters!B$65*G17+D17*Parameters!B$65-Parameters!$B$5*D17^2/G17*Parameters!B$65</f>
        <v>4.3944026991811498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11.906350833732299</v>
      </c>
      <c r="K18" s="23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62.336401861344406</v>
      </c>
      <c r="L18" s="8">
        <f>L17+K18*Parameters!B$65</f>
        <v>3109.4572314973416</v>
      </c>
      <c r="M18" s="7">
        <f>M17+Parameters!$B$45*K18</f>
        <v>1.8656743388984047</v>
      </c>
      <c r="N18" s="7">
        <f>'6states'!O18</f>
        <v>0.97339434645326273</v>
      </c>
      <c r="O18" s="7">
        <f>MAX(O17+(Parameters!B$31-K18)*Parameters!B$65,30)</f>
        <v>30</v>
      </c>
      <c r="P18" s="7">
        <f>Parameters!B$61*EXP(-Parameters!B$60*A18)+(1-Parameters!B$61)*(O18/Parameters!B$62)^-Parameters!B$63</f>
        <v>0.86882013990739781</v>
      </c>
      <c r="Q18" s="9">
        <f>1-P18/Parameters!$B$12</f>
        <v>0.56558993004630109</v>
      </c>
      <c r="R18" s="23">
        <f t="shared" si="0"/>
        <v>2.3019724199915159</v>
      </c>
      <c r="S18" s="7">
        <f>(Parameters!$B$19*(E18+Parameters!$B$20)^Q18+Parameters!$B$18*F18^Q18)^(1/Q18)</f>
        <v>0.53796997345268405</v>
      </c>
      <c r="T18" s="7">
        <f>(Parameters!$B$10*G18^Parameters!$B$9 + Parameters!$B$11*S18^Parameters!$B$9) ^ (Parameters!$B$7/Parameters!$B$9) * N18</f>
        <v>1.496158558043615</v>
      </c>
      <c r="U18" s="7">
        <f t="shared" si="1"/>
        <v>1.1407687307102274</v>
      </c>
      <c r="V18" s="7">
        <f>EXP(-Parameters!$B$55*A18)</f>
        <v>0.80945022202781236</v>
      </c>
      <c r="W18" s="7">
        <f>IF(U18&gt;0,U18^(1-Parameters!$B$52)/(1-Parameters!$B$52)*V18,-10+U18*1000)</f>
        <v>-2.2085281504419747</v>
      </c>
      <c r="X18" s="7"/>
      <c r="Y18" s="9">
        <f t="shared" si="2"/>
        <v>5.4245138639377556E-2</v>
      </c>
      <c r="Z18" s="9">
        <f t="shared" si="3"/>
        <v>5.8976057153474724E-3</v>
      </c>
      <c r="AA18" s="7">
        <f t="shared" si="4"/>
        <v>0.29537826806235462</v>
      </c>
      <c r="AB18" s="13">
        <f t="shared" si="5"/>
        <v>0.23753486916393218</v>
      </c>
    </row>
    <row r="19" spans="1:28" x14ac:dyDescent="0.25">
      <c r="A19">
        <f>A18+Parameters!$B$65</f>
        <v>15</v>
      </c>
      <c r="B19" s="46">
        <f>B18</f>
        <v>5.424748153961069E-2</v>
      </c>
      <c r="C19" s="46">
        <f t="shared" ref="C19" si="6">C18</f>
        <v>5.8441502655530988E-3</v>
      </c>
      <c r="D19" s="46">
        <f t="shared" ref="D19" si="7">D18</f>
        <v>0.29529819552822373</v>
      </c>
      <c r="E19" s="7">
        <f>MAX((1-Parameters!$B$4)^Parameters!B$65*E18+B18*Parameters!B$65-Parameters!$B$5*B18^2/E18*Parameters!B$65,0.0001)</f>
        <v>0.78729442440536723</v>
      </c>
      <c r="F19" s="9">
        <f>(1-Parameters!$B$4)^Parameters!B$65*F18+C18*Parameters!B$65-Parameters!$B$5*C18^2/F18*Parameters!B$65</f>
        <v>0.11944937223491288</v>
      </c>
      <c r="G19" s="7">
        <f>(1-Parameters!$B$4)^Parameters!B$65*G18+D18*Parameters!B$65-Parameters!$B$5*D18^2/G18*Parameters!B$65</f>
        <v>4.393449306929651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12.144477850406945</v>
      </c>
      <c r="K19" s="23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63.064218889067902</v>
      </c>
      <c r="L19" s="8">
        <f>L18+K19*Parameters!B$65</f>
        <v>3172.5214503864095</v>
      </c>
      <c r="M19" s="7">
        <f>M18+Parameters!$B$45*K19</f>
        <v>1.9035128702318456</v>
      </c>
      <c r="N19" s="7">
        <f>'6states'!O19</f>
        <v>0.97299683078607102</v>
      </c>
      <c r="O19" s="7">
        <f>MAX(O18+(Parameters!B$31-K19)*Parameters!B$65,30)</f>
        <v>30</v>
      </c>
      <c r="P19" s="7">
        <f>Parameters!B$61*EXP(-Parameters!B$60*A19)+(1-Parameters!B$61)*(O19/Parameters!B$62)^-Parameters!B$63</f>
        <v>0.85969329500369984</v>
      </c>
      <c r="Q19" s="9">
        <f>1-P19/Parameters!$B$12</f>
        <v>0.57015335249815013</v>
      </c>
      <c r="R19" s="23">
        <f t="shared" si="0"/>
        <v>2.3264110719758411</v>
      </c>
      <c r="S19" s="7">
        <f>(Parameters!$B$19*(E19+Parameters!$B$20)^Q19+Parameters!$B$18*F19^Q19)^(1/Q19)</f>
        <v>0.53801664409683048</v>
      </c>
      <c r="T19" s="7">
        <f>(Parameters!$B$10*G19^Parameters!$B$9 + Parameters!$B$11*S19^Parameters!$B$9) ^ (Parameters!$B$7/Parameters!$B$9) * N19</f>
        <v>1.4954737543379581</v>
      </c>
      <c r="U19" s="7">
        <f t="shared" si="1"/>
        <v>1.1400839270045706</v>
      </c>
      <c r="V19" s="7">
        <f>EXP(-Parameters!$B$55*A19)</f>
        <v>0.79731934231298707</v>
      </c>
      <c r="W19" s="7">
        <f>IF(U19&gt;0,U19^(1-Parameters!$B$52)/(1-Parameters!$B$52)*V19,-10+U19*1000)</f>
        <v>-2.1758871502316204</v>
      </c>
      <c r="X19" s="7"/>
      <c r="Y19" s="9">
        <f t="shared" si="2"/>
        <v>5.4261023015006703E-2</v>
      </c>
      <c r="Z19" s="9">
        <f t="shared" si="3"/>
        <v>5.7729033851812396E-3</v>
      </c>
      <c r="AA19" s="7">
        <f t="shared" si="4"/>
        <v>0.29520496924828787</v>
      </c>
      <c r="AB19" s="13">
        <f t="shared" si="5"/>
        <v>0.23764364055370371</v>
      </c>
    </row>
    <row r="20" spans="1:28" x14ac:dyDescent="0.25">
      <c r="A20">
        <f>A19+Parameters!$B$65</f>
        <v>16</v>
      </c>
      <c r="B20" s="19">
        <v>5.4288105965798729E-2</v>
      </c>
      <c r="C20" s="45">
        <v>5.6304096244375219E-3</v>
      </c>
      <c r="D20" s="18">
        <v>0.29501851668841617</v>
      </c>
      <c r="E20" s="7">
        <f>MAX((1-Parameters!$B$4)^Parameters!B$65*E19+B19*Parameters!B$65-Parameters!$B$5*B19^2/E19*Parameters!B$65,0.0001)</f>
        <v>0.78828323564755287</v>
      </c>
      <c r="F20" s="9">
        <f>(1-Parameters!$B$4)^Parameters!B$65*F19+C19*Parameters!B$65-Parameters!$B$5*C19^2/F19*Parameters!B$65</f>
        <v>0.11749422754509101</v>
      </c>
      <c r="G20" s="7">
        <f>(1-Parameters!$B$4)^Parameters!B$65*G19+D19*Parameters!B$65-Parameters!$B$5*D19^2/G19*Parameters!B$65</f>
        <v>4.3925515769148724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12.387367407415084</v>
      </c>
      <c r="K20" s="23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63.798846947361241</v>
      </c>
      <c r="L20" s="8">
        <f>L19+K20*Parameters!B$65</f>
        <v>3236.3202973337707</v>
      </c>
      <c r="M20" s="7">
        <f>M19+Parameters!$B$45*K20</f>
        <v>1.9417921784002623</v>
      </c>
      <c r="N20" s="7">
        <f>'6states'!O20</f>
        <v>0.9726154664774781</v>
      </c>
      <c r="O20" s="7">
        <f>MAX(O19+(Parameters!B$31-K20)*Parameters!B$65,30)</f>
        <v>30</v>
      </c>
      <c r="P20" s="7">
        <f>Parameters!B$61*EXP(-Parameters!B$60*A20)+(1-Parameters!B$61)*(O20/Parameters!B$62)^-Parameters!B$63</f>
        <v>0.85080957791703637</v>
      </c>
      <c r="Q20" s="9">
        <f>1-P20/Parameters!$B$12</f>
        <v>0.57459521104148181</v>
      </c>
      <c r="R20" s="23">
        <f t="shared" si="0"/>
        <v>2.3507022627747411</v>
      </c>
      <c r="S20" s="7">
        <f>(Parameters!$B$19*(E20+Parameters!$B$20)^Q20+Parameters!$B$18*F20^Q20)^(1/Q20)</f>
        <v>0.53809080441742863</v>
      </c>
      <c r="T20" s="7">
        <f>(Parameters!$B$10*G20^Parameters!$B$9 + Parameters!$B$11*S20^Parameters!$B$9) ^ (Parameters!$B$7/Parameters!$B$9) * N20</f>
        <v>1.4948224509464543</v>
      </c>
      <c r="U20" s="7">
        <f t="shared" si="1"/>
        <v>1.1398854186678018</v>
      </c>
      <c r="V20" s="7">
        <f>EXP(-Parameters!$B$55*A20)</f>
        <v>0.7853702628357192</v>
      </c>
      <c r="W20" s="7">
        <f>IF(U20&gt;0,U20^(1-Parameters!$B$52)/(1-Parameters!$B$52)*V20,-10+U20*1000)</f>
        <v>-2.1434087013790317</v>
      </c>
      <c r="X20" s="7"/>
      <c r="Y20" s="9">
        <f t="shared" si="2"/>
        <v>5.4274564490402716E-2</v>
      </c>
      <c r="Z20" s="9">
        <f t="shared" si="3"/>
        <v>5.7016565048093812E-3</v>
      </c>
      <c r="AA20" s="7">
        <f t="shared" si="4"/>
        <v>0.29511174296835202</v>
      </c>
      <c r="AB20" s="13">
        <f t="shared" si="5"/>
        <v>0.2374442744380259</v>
      </c>
    </row>
    <row r="21" spans="1:28" x14ac:dyDescent="0.25">
      <c r="A21">
        <f>A20+Parameters!$B$65</f>
        <v>17</v>
      </c>
      <c r="B21" s="46">
        <f>B20</f>
        <v>5.4288105965798729E-2</v>
      </c>
      <c r="C21" s="46">
        <f t="shared" ref="C21" si="8">C20</f>
        <v>5.6304096244375219E-3</v>
      </c>
      <c r="D21" s="46">
        <f t="shared" ref="D21" si="9">D20</f>
        <v>0.29501851668841617</v>
      </c>
      <c r="E21" s="7">
        <f>MAX((1-Parameters!$B$4)^Parameters!B$65*E20+B20*Parameters!B$65-Parameters!$B$5*B20^2/E20*Parameters!B$65,0.0001)</f>
        <v>0.78924957037987831</v>
      </c>
      <c r="F21" s="9">
        <f>(1-Parameters!$B$4)^Parameters!B$65*F20+C20*Parameters!B$65-Parameters!$B$5*C20^2/F20*Parameters!B$65</f>
        <v>0.11546443689503232</v>
      </c>
      <c r="G21" s="7">
        <f>(1-Parameters!$B$4)^Parameters!B$65*G20+D20*Parameters!B$65-Parameters!$B$5*D20^2/G20*Parameters!B$65</f>
        <v>4.3914641649881068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12.635114755563386</v>
      </c>
      <c r="K21" s="23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64.543439513399193</v>
      </c>
      <c r="L21" s="8">
        <f>L20+K21*Parameters!B$65</f>
        <v>3300.86373684717</v>
      </c>
      <c r="M21" s="7">
        <f>M20+Parameters!$B$45*K21</f>
        <v>1.9805182421083019</v>
      </c>
      <c r="N21" s="7">
        <f>'6states'!O21</f>
        <v>0.97224962322267749</v>
      </c>
      <c r="O21" s="7">
        <f>MAX(O20+(Parameters!B$31-K21)*Parameters!B$65,30)</f>
        <v>30</v>
      </c>
      <c r="P21" s="7">
        <f>Parameters!B$61*EXP(-Parameters!B$60*A21)+(1-Parameters!B$61)*(O21/Parameters!B$62)^-Parameters!B$63</f>
        <v>0.84216251202421066</v>
      </c>
      <c r="Q21" s="9">
        <f>1-P21/Parameters!$B$12</f>
        <v>0.57891874398789467</v>
      </c>
      <c r="R21" s="23">
        <f t="shared" si="0"/>
        <v>2.3748385512824912</v>
      </c>
      <c r="S21" s="7">
        <f>(Parameters!$B$19*(E21+Parameters!$B$20)^Q21+Parameters!$B$18*F21^Q21)^(1/Q21)</f>
        <v>0.53809860777189866</v>
      </c>
      <c r="T21" s="7">
        <f>(Parameters!$B$10*G21^Parameters!$B$9 + Parameters!$B$11*S21^Parameters!$B$9) ^ (Parameters!$B$7/Parameters!$B$9) * N21</f>
        <v>1.4941694572977522</v>
      </c>
      <c r="U21" s="7">
        <f t="shared" si="1"/>
        <v>1.1392324250190997</v>
      </c>
      <c r="V21" s="7">
        <f>EXP(-Parameters!$B$55*A21)</f>
        <v>0.7736002590346287</v>
      </c>
      <c r="W21" s="7">
        <f>IF(U21&gt;0,U21^(1-Parameters!$B$52)/(1-Parameters!$B$52)*V21,-10+U21*1000)</f>
        <v>-2.111709842051233</v>
      </c>
      <c r="X21" s="7"/>
      <c r="Y21" s="9">
        <f t="shared" si="2"/>
        <v>5.4302675671624619E-2</v>
      </c>
      <c r="Z21" s="9">
        <f t="shared" si="3"/>
        <v>5.5634821801764421E-3</v>
      </c>
      <c r="AA21" s="7">
        <f t="shared" si="4"/>
        <v>0.29493869426018543</v>
      </c>
      <c r="AB21" s="13">
        <f t="shared" si="5"/>
        <v>0.23754804419611555</v>
      </c>
    </row>
    <row r="22" spans="1:28" x14ac:dyDescent="0.25">
      <c r="A22">
        <f>A21+Parameters!$B$65</f>
        <v>18</v>
      </c>
      <c r="B22" s="19">
        <v>5.4331815083276412E-2</v>
      </c>
      <c r="C22" s="45">
        <v>5.4296272916542834E-3</v>
      </c>
      <c r="D22" s="18">
        <v>0.29477904940372396</v>
      </c>
      <c r="E22" s="7">
        <f>MAX((1-Parameters!$B$4)^Parameters!B$65*E21+B21*Parameters!B$65-Parameters!$B$5*B21^2/E21*Parameters!B$65,0.0001)</f>
        <v>0.79015970028372495</v>
      </c>
      <c r="F22" s="9">
        <f>(1-Parameters!$B$4)^Parameters!B$65*F21+C21*Parameters!B$65-Parameters!$B$5*C21^2/F21*Parameters!B$65</f>
        <v>0.11355757693123243</v>
      </c>
      <c r="G22" s="7">
        <f>(1-Parameters!$B$4)^Parameters!B$65*G21+D21*Parameters!B$65-Parameters!$B$5*D21^2/G21*Parameters!B$65</f>
        <v>4.390440244832245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12.887817050674654</v>
      </c>
      <c r="K22" s="23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65.295305535397205</v>
      </c>
      <c r="L22" s="8">
        <f>L21+K22*Parameters!B$65</f>
        <v>3366.1590423825673</v>
      </c>
      <c r="M22" s="7">
        <f>M21+Parameters!$B$45*K22</f>
        <v>2.0196954254295401</v>
      </c>
      <c r="N22" s="7">
        <f>'6states'!O22</f>
        <v>0.97189872460827387</v>
      </c>
      <c r="O22" s="7">
        <f>MAX(O21+(Parameters!B$31-K22)*Parameters!B$65,30)</f>
        <v>30</v>
      </c>
      <c r="P22" s="7">
        <f>Parameters!B$61*EXP(-Parameters!B$60*A22)+(1-Parameters!B$61)*(O22/Parameters!B$62)^-Parameters!B$63</f>
        <v>0.83374579323122699</v>
      </c>
      <c r="Q22" s="9">
        <f>1-P22/Parameters!$B$12</f>
        <v>0.58312710338438656</v>
      </c>
      <c r="R22" s="23">
        <f t="shared" si="0"/>
        <v>2.398812703148872</v>
      </c>
      <c r="S22" s="7">
        <f>(Parameters!$B$19*(E22+Parameters!$B$20)^Q22+Parameters!$B$18*F22^Q22)^(1/Q22)</f>
        <v>0.53813484062581229</v>
      </c>
      <c r="T22" s="7">
        <f>(Parameters!$B$10*G22^Parameters!$B$9 + Parameters!$B$11*S22^Parameters!$B$9) ^ (Parameters!$B$7/Parameters!$B$9) * N22</f>
        <v>1.4935489031639066</v>
      </c>
      <c r="U22" s="7">
        <f t="shared" si="1"/>
        <v>1.1390084113852521</v>
      </c>
      <c r="V22" s="7">
        <f>EXP(-Parameters!$B$55*A22)</f>
        <v>0.76200664718015654</v>
      </c>
      <c r="W22" s="7">
        <f>IF(U22&gt;0,U22^(1-Parameters!$B$52)/(1-Parameters!$B$52)*V22,-10+U22*1000)</f>
        <v>-2.0802057357401007</v>
      </c>
      <c r="X22" s="7"/>
      <c r="Y22" s="9">
        <f t="shared" si="2"/>
        <v>5.4317245377450522E-2</v>
      </c>
      <c r="Z22" s="9">
        <f t="shared" si="3"/>
        <v>5.4965547359153632E-3</v>
      </c>
      <c r="AA22" s="7">
        <f t="shared" si="4"/>
        <v>0.29485887183195469</v>
      </c>
      <c r="AB22" s="13">
        <f t="shared" si="5"/>
        <v>0.23738124076660802</v>
      </c>
    </row>
    <row r="23" spans="1:28" x14ac:dyDescent="0.25">
      <c r="A23">
        <f>A22+Parameters!$B$65</f>
        <v>19</v>
      </c>
      <c r="B23" s="46">
        <f>B22</f>
        <v>5.4331815083276412E-2</v>
      </c>
      <c r="C23" s="46">
        <f t="shared" ref="C23" si="10">C22</f>
        <v>5.4296272916542834E-3</v>
      </c>
      <c r="D23" s="46">
        <f t="shared" ref="D23" si="11">D22</f>
        <v>0.29477904940372396</v>
      </c>
      <c r="E23" s="7">
        <f>MAX((1-Parameters!$B$4)^Parameters!B$65*E22+B22*Parameters!B$65-Parameters!$B$5*B22^2/E22*Parameters!B$65,0.0001)</f>
        <v>0.79105458476564072</v>
      </c>
      <c r="F23" s="9">
        <f>(1-Parameters!$B$4)^Parameters!B$65*F22+C22*Parameters!B$65-Parameters!$B$5*C22^2/F22*Parameters!B$65</f>
        <v>0.11158482113705778</v>
      </c>
      <c r="G23" s="7">
        <f>(1-Parameters!$B$4)^Parameters!B$65*G22+D22*Parameters!B$65-Parameters!$B$5*D22^2/G22*Parameters!B$65</f>
        <v>4.389268809047314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13.145573391688147</v>
      </c>
      <c r="K23" s="23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66.057873869226356</v>
      </c>
      <c r="L23" s="8">
        <f>L22+K23*Parameters!B$65</f>
        <v>3432.2169162517939</v>
      </c>
      <c r="M23" s="7">
        <f>M22+Parameters!$B$45*K23</f>
        <v>2.0593301497510756</v>
      </c>
      <c r="N23" s="7">
        <f>'6states'!O23</f>
        <v>0.9715621030557996</v>
      </c>
      <c r="O23" s="7">
        <f>MAX(O22+(Parameters!B$31-K23)*Parameters!B$65,30)</f>
        <v>30</v>
      </c>
      <c r="P23" s="7">
        <f>Parameters!B$61*EXP(-Parameters!B$60*A23)+(1-Parameters!B$61)*(O23/Parameters!B$62)^-Parameters!B$63</f>
        <v>0.82555328537732731</v>
      </c>
      <c r="Q23" s="9">
        <f>1-P23/Parameters!$B$12</f>
        <v>0.58722335731133635</v>
      </c>
      <c r="R23" s="23">
        <f t="shared" si="0"/>
        <v>2.4226176982457046</v>
      </c>
      <c r="S23" s="7">
        <f>(Parameters!$B$19*(E23+Parameters!$B$20)^Q23+Parameters!$B$18*F23^Q23)^(1/Q23)</f>
        <v>0.53811388785341707</v>
      </c>
      <c r="T23" s="7">
        <f>(Parameters!$B$10*G23^Parameters!$B$9 + Parameters!$B$11*S23^Parameters!$B$9) ^ (Parameters!$B$7/Parameters!$B$9) * N23</f>
        <v>1.4929296563914478</v>
      </c>
      <c r="U23" s="7">
        <f t="shared" si="1"/>
        <v>1.1383891646127933</v>
      </c>
      <c r="V23" s="7">
        <f>EXP(-Parameters!$B$55*A23)</f>
        <v>0.75058678376263543</v>
      </c>
      <c r="W23" s="7">
        <f>IF(U23&gt;0,U23^(1-Parameters!$B$52)/(1-Parameters!$B$52)*V23,-10+U23*1000)</f>
        <v>-2.0494206370143893</v>
      </c>
      <c r="X23" s="7"/>
      <c r="Y23" s="9">
        <f t="shared" si="2"/>
        <v>5.435536365467878E-2</v>
      </c>
      <c r="Z23" s="9">
        <f t="shared" si="3"/>
        <v>5.3297619292667865E-3</v>
      </c>
      <c r="AA23" s="7">
        <f t="shared" si="4"/>
        <v>0.2946653682416101</v>
      </c>
      <c r="AB23" s="13">
        <f t="shared" si="5"/>
        <v>0.23747970325381074</v>
      </c>
    </row>
    <row r="24" spans="1:28" x14ac:dyDescent="0.25">
      <c r="A24">
        <f>A23+Parameters!$B$65</f>
        <v>20</v>
      </c>
      <c r="B24" s="19">
        <v>5.440246079748353E-2</v>
      </c>
      <c r="C24" s="45">
        <v>5.1300312044917935E-3</v>
      </c>
      <c r="D24" s="18">
        <v>0.29443800591738234</v>
      </c>
      <c r="E24" s="7">
        <f>MAX((1-Parameters!$B$4)^Parameters!B$65*E23+B23*Parameters!B$65-Parameters!$B$5*B23^2/E23*Parameters!B$65,0.0001)</f>
        <v>0.79189740725287305</v>
      </c>
      <c r="F24" s="9">
        <f>(1-Parameters!$B$4)^Parameters!B$65*F23+C23*Parameters!B$65-Parameters!$B$5*C23^2/F23*Parameters!B$65</f>
        <v>0.10973156189960968</v>
      </c>
      <c r="G24" s="7">
        <f>(1-Parameters!$B$4)^Parameters!B$65*G23+D23*Parameters!B$65-Parameters!$B$5*D23^2/G23*Parameters!B$65</f>
        <v>4.3881657744143112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13.408484859521911</v>
      </c>
      <c r="K24" s="23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66.828152439040366</v>
      </c>
      <c r="L24" s="8">
        <f>L23+K24*Parameters!B$65</f>
        <v>3499.0450686908343</v>
      </c>
      <c r="M24" s="7">
        <f>M23+Parameters!$B$45*K24</f>
        <v>2.0994270412144997</v>
      </c>
      <c r="N24" s="7">
        <f>'6states'!O24</f>
        <v>0.97123925715304782</v>
      </c>
      <c r="O24" s="7">
        <f>MAX(O23+(Parameters!B$31-K24)*Parameters!B$65,30)</f>
        <v>30</v>
      </c>
      <c r="P24" s="7">
        <f>Parameters!B$61*EXP(-Parameters!B$60*A24)+(1-Parameters!B$61)*(O24/Parameters!B$62)^-Parameters!B$63</f>
        <v>0.81757901576145753</v>
      </c>
      <c r="Q24" s="9">
        <f>1-P24/Parameters!$B$12</f>
        <v>0.59121049211927124</v>
      </c>
      <c r="R24" s="23">
        <f t="shared" si="0"/>
        <v>2.4462467375551302</v>
      </c>
      <c r="S24" s="7">
        <f>(Parameters!$B$19*(E24+Parameters!$B$20)^Q24+Parameters!$B$18*F24^Q24)^(1/Q24)</f>
        <v>0.53812176206025764</v>
      </c>
      <c r="T24" s="7">
        <f>(Parameters!$B$10*G24^Parameters!$B$9 + Parameters!$B$11*S24^Parameters!$B$9) ^ (Parameters!$B$7/Parameters!$B$9) * N24</f>
        <v>1.4923415163634675</v>
      </c>
      <c r="U24" s="7">
        <f t="shared" si="1"/>
        <v>1.1383710184441098</v>
      </c>
      <c r="V24" s="7">
        <f>EXP(-Parameters!$B$55*A24)</f>
        <v>0.7393380648895318</v>
      </c>
      <c r="W24" s="7">
        <f>IF(U24&gt;0,U24^(1-Parameters!$B$52)/(1-Parameters!$B$52)*V24,-10+U24*1000)</f>
        <v>-2.0187181206511688</v>
      </c>
      <c r="X24" s="7"/>
      <c r="Y24" s="9">
        <f t="shared" si="2"/>
        <v>5.4378912226081155E-2</v>
      </c>
      <c r="Z24" s="9">
        <f t="shared" si="3"/>
        <v>5.2298965668792904E-3</v>
      </c>
      <c r="AA24" s="7">
        <f t="shared" si="4"/>
        <v>0.29455168707949619</v>
      </c>
      <c r="AB24" s="13">
        <f t="shared" si="5"/>
        <v>0.23719134932459141</v>
      </c>
    </row>
    <row r="25" spans="1:28" x14ac:dyDescent="0.25">
      <c r="A25">
        <f>A24+Parameters!$B$65</f>
        <v>21</v>
      </c>
      <c r="B25" s="46">
        <f>B24</f>
        <v>5.440246079748353E-2</v>
      </c>
      <c r="C25" s="46">
        <f t="shared" ref="C25:C28" si="12">C24</f>
        <v>5.1300312044917935E-3</v>
      </c>
      <c r="D25" s="46">
        <f t="shared" ref="D25:D28" si="13">D24</f>
        <v>0.29443800591738234</v>
      </c>
      <c r="E25" s="7">
        <f>MAX((1-Parameters!$B$4)^Parameters!B$65*E24+B24*Parameters!B$65-Parameters!$B$5*B24^2/E24*Parameters!B$65,0.0001)</f>
        <v>0.79275213329361138</v>
      </c>
      <c r="F25" s="9">
        <f>(1-Parameters!$B$4)^Parameters!B$65*F24+C24*Parameters!B$65-Parameters!$B$5*C24^2/F24*Parameters!B$65</f>
        <v>0.10771964512969094</v>
      </c>
      <c r="G25" s="7">
        <f>(1-Parameters!$B$4)^Parameters!B$65*G24+D24*Parameters!B$65-Parameters!$B$5*D24^2/G24*Parameters!B$65</f>
        <v>4.3868318941770159</v>
      </c>
      <c r="H25" s="7">
        <f>H24 *(1-Parameters!$B$4)-B24*(B24&lt;0)*Parameters!B$65</f>
        <v>0</v>
      </c>
      <c r="I25" s="7">
        <f>I24*(1+Parameters!$B$51)^Parameters!B$65</f>
        <v>8.6716235534531894</v>
      </c>
      <c r="J25" s="7">
        <f>J24*(1+Parameters!$B$53)^Parameters!B$65</f>
        <v>13.67665455671235</v>
      </c>
      <c r="K25" s="23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67.611613480967279</v>
      </c>
      <c r="L25" s="8">
        <f>L24+K25*Parameters!B$65</f>
        <v>3566.6566821718015</v>
      </c>
      <c r="M25" s="7">
        <f>M24+Parameters!$B$45*K25</f>
        <v>2.1399940093030803</v>
      </c>
      <c r="N25" s="7">
        <f>'6states'!O25</f>
        <v>0.97092947044341682</v>
      </c>
      <c r="O25" s="7">
        <f>MAX(O24+(Parameters!B$31-K25)*Parameters!B$65,30)</f>
        <v>30</v>
      </c>
      <c r="P25" s="7">
        <f>Parameters!B$61*EXP(-Parameters!B$60*A25)+(1-Parameters!B$61)*(O25/Parameters!B$62)^-Parameters!B$63</f>
        <v>0.80981717078790472</v>
      </c>
      <c r="Q25" s="9">
        <f>1-P25/Parameters!$B$12</f>
        <v>0.59509141460604764</v>
      </c>
      <c r="R25" s="23">
        <f t="shared" si="0"/>
        <v>2.4696932494702688</v>
      </c>
      <c r="S25" s="7">
        <f>(Parameters!$B$19*(E25+Parameters!$B$20)^Q25+Parameters!$B$18*F25^Q25)^(1/Q25)</f>
        <v>0.53803434852673393</v>
      </c>
      <c r="T25" s="7">
        <f>(Parameters!$B$10*G25^Parameters!$B$9 + Parameters!$B$11*S25^Parameters!$B$9) ^ (Parameters!$B$7/Parameters!$B$9) * N25</f>
        <v>1.4917403473831448</v>
      </c>
      <c r="U25" s="7">
        <f t="shared" si="1"/>
        <v>1.1377698494637871</v>
      </c>
      <c r="V25" s="7">
        <f>EXP(-Parameters!$B$55*A25)</f>
        <v>0.72825792569172154</v>
      </c>
      <c r="W25" s="7">
        <f>IF(U25&gt;0,U25^(1-Parameters!$B$52)/(1-Parameters!$B$52)*V25,-10+U25*1000)</f>
        <v>-1.9888321329476073</v>
      </c>
      <c r="X25" s="7"/>
      <c r="Y25" s="9">
        <f t="shared" si="2"/>
        <v>5.440246079748353E-2</v>
      </c>
      <c r="Z25" s="9">
        <f t="shared" si="3"/>
        <v>5.1300312044917935E-3</v>
      </c>
      <c r="AA25" s="7">
        <f t="shared" si="4"/>
        <v>0.29443800591738234</v>
      </c>
      <c r="AB25" s="13">
        <f t="shared" si="5"/>
        <v>0.23728693705999385</v>
      </c>
    </row>
    <row r="26" spans="1:28" x14ac:dyDescent="0.25">
      <c r="A26">
        <f>A25+Parameters!$B$65</f>
        <v>22</v>
      </c>
      <c r="B26" s="46">
        <f t="shared" ref="B26:B28" si="14">B25</f>
        <v>5.440246079748353E-2</v>
      </c>
      <c r="C26" s="46">
        <f t="shared" si="12"/>
        <v>5.1300312044917935E-3</v>
      </c>
      <c r="D26" s="46">
        <f t="shared" si="13"/>
        <v>0.29443800591738234</v>
      </c>
      <c r="E26" s="7">
        <f>MAX((1-Parameters!$B$4)^Parameters!B$65*E25+B25*Parameters!B$65-Parameters!$B$5*B25^2/E25*Parameters!B$65,0.0001)</f>
        <v>0.79355712662692379</v>
      </c>
      <c r="F26" s="9">
        <f>(1-Parameters!$B$4)^Parameters!B$65*F25+C25*Parameters!B$65-Parameters!$B$5*C25^2/F25*Parameters!B$65</f>
        <v>0.10582979848639971</v>
      </c>
      <c r="G26" s="7">
        <f>(1-Parameters!$B$4)^Parameters!B$65*G25+D25*Parameters!B$65-Parameters!$B$5*D25^2/G25*Parameters!B$65</f>
        <v>4.3855759078278886</v>
      </c>
      <c r="H26" s="7">
        <f>H25 *(1-Parameters!$B$4)-B25*(B25&lt;0)*Parameters!B$65</f>
        <v>0</v>
      </c>
      <c r="I26" s="7">
        <f>I25*(1+Parameters!$B$51)^Parameters!B$65</f>
        <v>8.6967712617582027</v>
      </c>
      <c r="J26" s="7">
        <f>J25*(1+Parameters!$B$53)^Parameters!B$65</f>
        <v>13.950187647846597</v>
      </c>
      <c r="K26" s="23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68.403133685172492</v>
      </c>
      <c r="L26" s="8">
        <f>L25+K26*Parameters!B$65</f>
        <v>3635.0598158569742</v>
      </c>
      <c r="M26" s="7">
        <f>M25+Parameters!$B$45*K26</f>
        <v>2.1810358895141837</v>
      </c>
      <c r="N26" s="7">
        <f>'6states'!O26</f>
        <v>0.9706321907977673</v>
      </c>
      <c r="O26" s="7">
        <f>MAX(O25+(Parameters!B$31-K26)*Parameters!B$65,30)</f>
        <v>30</v>
      </c>
      <c r="P26" s="7">
        <f>Parameters!B$61*EXP(-Parameters!B$60*A26)+(1-Parameters!B$61)*(O26/Parameters!B$62)^-Parameters!B$63</f>
        <v>0.80226209172792795</v>
      </c>
      <c r="Q26" s="9">
        <f>1-P26/Parameters!$B$12</f>
        <v>0.59886895413603602</v>
      </c>
      <c r="R26" s="23">
        <f t="shared" si="0"/>
        <v>2.4929508955014446</v>
      </c>
      <c r="S26" s="7">
        <f>(Parameters!$B$19*(E26+Parameters!$B$20)^Q26+Parameters!$B$18*F26^Q26)^(1/Q26)</f>
        <v>0.53797858510757035</v>
      </c>
      <c r="T26" s="7">
        <f>(Parameters!$B$10*G26^Parameters!$B$9 + Parameters!$B$11*S26^Parameters!$B$9) ^ (Parameters!$B$7/Parameters!$B$9) * N26</f>
        <v>1.4911695428139216</v>
      </c>
      <c r="U26" s="7">
        <f t="shared" si="1"/>
        <v>1.1371990448945639</v>
      </c>
      <c r="V26" s="7">
        <f>EXP(-Parameters!$B$55*A26)</f>
        <v>0.71734383973866223</v>
      </c>
      <c r="W26" s="7">
        <f>IF(U26&gt;0,U26^(1-Parameters!$B$52)/(1-Parameters!$B$52)*V26,-10+U26*1000)</f>
        <v>-1.9593704705917738</v>
      </c>
      <c r="X26" s="7"/>
      <c r="Y26" s="9">
        <f t="shared" si="2"/>
        <v>5.440246079748353E-2</v>
      </c>
      <c r="Z26" s="9">
        <f t="shared" si="3"/>
        <v>5.1300312044917935E-3</v>
      </c>
      <c r="AA26" s="7">
        <f t="shared" si="4"/>
        <v>0.29443800591738234</v>
      </c>
      <c r="AB26" s="13">
        <f t="shared" si="5"/>
        <v>0.23737776809161165</v>
      </c>
    </row>
    <row r="27" spans="1:28" x14ac:dyDescent="0.25">
      <c r="A27">
        <f>A26+Parameters!$B$65</f>
        <v>23</v>
      </c>
      <c r="B27" s="46">
        <f t="shared" si="14"/>
        <v>5.440246079748353E-2</v>
      </c>
      <c r="C27" s="46">
        <f t="shared" si="12"/>
        <v>5.1300312044917935E-3</v>
      </c>
      <c r="D27" s="46">
        <f t="shared" si="13"/>
        <v>0.29443800591738234</v>
      </c>
      <c r="E27" s="7">
        <f>MAX((1-Parameters!$B$4)^Parameters!B$65*E26+B26*Parameters!B$65-Parameters!$B$5*B26^2/E26*Parameters!B$65,0.0001)</f>
        <v>0.79431527304047644</v>
      </c>
      <c r="F27" s="9">
        <f>(1-Parameters!$B$4)^Parameters!B$65*F26+C26*Parameters!B$65-Parameters!$B$5*C26^2/F26*Parameters!B$65</f>
        <v>0.10405446041314936</v>
      </c>
      <c r="G27" s="7">
        <f>(1-Parameters!$B$4)^Parameters!B$65*G26+D26*Parameters!B$65-Parameters!$B$5*D26^2/G26*Parameters!B$65</f>
        <v>4.3843932632990272</v>
      </c>
      <c r="H27" s="7">
        <f>H26 *(1-Parameters!$B$4)-B26*(B26&lt;0)*Parameters!B$65</f>
        <v>0</v>
      </c>
      <c r="I27" s="7">
        <f>I26*(1+Parameters!$B$51)^Parameters!B$65</f>
        <v>8.7219918984173006</v>
      </c>
      <c r="J27" s="7">
        <f>J26*(1+Parameters!$B$53)^Parameters!B$65</f>
        <v>14.229191400803529</v>
      </c>
      <c r="K27" s="23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69.20298636777899</v>
      </c>
      <c r="L27" s="8">
        <f>L26+K27*Parameters!B$65</f>
        <v>3704.2628022247532</v>
      </c>
      <c r="M27" s="7">
        <f>M26+Parameters!$B$45*K27</f>
        <v>2.2225576813348509</v>
      </c>
      <c r="N27" s="7">
        <f>'6states'!O27</f>
        <v>0.97034703303018799</v>
      </c>
      <c r="O27" s="7">
        <f>MAX(O26+(Parameters!B$31-K27)*Parameters!B$65,30)</f>
        <v>30</v>
      </c>
      <c r="P27" s="7">
        <f>Parameters!B$61*EXP(-Parameters!B$60*A27)+(1-Parameters!B$61)*(O27/Parameters!B$62)^-Parameters!B$63</f>
        <v>0.79490827059429447</v>
      </c>
      <c r="Q27" s="9">
        <f>1-P27/Parameters!$B$12</f>
        <v>0.60254586470285276</v>
      </c>
      <c r="R27" s="23">
        <f t="shared" si="0"/>
        <v>2.5160135753836692</v>
      </c>
      <c r="S27" s="7">
        <f>(Parameters!$B$19*(E27+Parameters!$B$20)^Q27+Parameters!$B$18*F27^Q27)^(1/Q27)</f>
        <v>0.53795187993745841</v>
      </c>
      <c r="T27" s="7">
        <f>(Parameters!$B$10*G27^Parameters!$B$9 + Parameters!$B$11*S27^Parameters!$B$9) ^ (Parameters!$B$7/Parameters!$B$9) * N27</f>
        <v>1.4906277407751809</v>
      </c>
      <c r="U27" s="7">
        <f t="shared" si="1"/>
        <v>1.1366572428558233</v>
      </c>
      <c r="V27" s="7">
        <f>EXP(-Parameters!$B$55*A27)</f>
        <v>0.70659331846233153</v>
      </c>
      <c r="W27" s="7">
        <f>IF(U27&gt;0,U27^(1-Parameters!$B$52)/(1-Parameters!$B$52)*V27,-10+U27*1000)</f>
        <v>-1.9303281711956195</v>
      </c>
      <c r="X27" s="7"/>
      <c r="Y27" s="9">
        <f t="shared" si="2"/>
        <v>5.440246079748353E-2</v>
      </c>
      <c r="Z27" s="9">
        <f t="shared" si="3"/>
        <v>5.1300312044917935E-3</v>
      </c>
      <c r="AA27" s="7">
        <f t="shared" si="4"/>
        <v>0.29443800591738234</v>
      </c>
      <c r="AB27" s="13">
        <f t="shared" si="5"/>
        <v>0.23746404835809648</v>
      </c>
    </row>
    <row r="28" spans="1:28" x14ac:dyDescent="0.25">
      <c r="A28">
        <f>A27+Parameters!$B$65</f>
        <v>24</v>
      </c>
      <c r="B28" s="46">
        <f t="shared" si="14"/>
        <v>5.440246079748353E-2</v>
      </c>
      <c r="C28" s="46">
        <f t="shared" si="12"/>
        <v>5.1300312044917935E-3</v>
      </c>
      <c r="D28" s="46">
        <f t="shared" si="13"/>
        <v>0.29443800591738234</v>
      </c>
      <c r="E28" s="7">
        <f>MAX((1-Parameters!$B$4)^Parameters!B$65*E27+B27*Parameters!B$65-Parameters!$B$5*B27^2/E27*Parameters!B$65,0.0001)</f>
        <v>0.79502929179105997</v>
      </c>
      <c r="F28" s="9">
        <f>(1-Parameters!$B$4)^Parameters!B$65*F27+C27*Parameters!B$65-Parameters!$B$5*C27^2/F27*Parameters!B$65</f>
        <v>0.10238654830617501</v>
      </c>
      <c r="G28" s="7">
        <f>(1-Parameters!$B$4)^Parameters!B$65*G27+D27*Parameters!B$65-Parameters!$B$5*D27^2/G27*Parameters!B$65</f>
        <v>4.3832796749184242</v>
      </c>
      <c r="H28" s="7">
        <f>H27 *(1-Parameters!$B$4)-B27*(B27&lt;0)*Parameters!B$65</f>
        <v>0</v>
      </c>
      <c r="I28" s="7">
        <f>I27*(1+Parameters!$B$51)^Parameters!B$65</f>
        <v>8.7472856749227095</v>
      </c>
      <c r="J28" s="7">
        <f>J27*(1+Parameters!$B$53)^Parameters!B$65</f>
        <v>14.5137752288196</v>
      </c>
      <c r="K28" s="23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70.011439171717655</v>
      </c>
      <c r="L28" s="8">
        <f>L27+K28*Parameters!B$65</f>
        <v>3774.2742413964706</v>
      </c>
      <c r="M28" s="7">
        <f>M27+Parameters!$B$45*K28</f>
        <v>2.2645645448378815</v>
      </c>
      <c r="N28" s="7">
        <f>'6states'!O28</f>
        <v>0.97007346989781351</v>
      </c>
      <c r="O28" s="7">
        <f>MAX(O27+(Parameters!B$31-K28)*Parameters!B$65,30)</f>
        <v>30</v>
      </c>
      <c r="P28" s="7">
        <f>Parameters!B$61*EXP(-Parameters!B$60*A28)+(1-Parameters!B$61)*(O28/Parameters!B$62)^-Parameters!B$63</f>
        <v>0.78775034612571304</v>
      </c>
      <c r="Q28" s="9">
        <f>1-P28/Parameters!$B$12</f>
        <v>0.60612482693714353</v>
      </c>
      <c r="R28" s="23">
        <f t="shared" si="0"/>
        <v>2.5388754315835369</v>
      </c>
      <c r="S28" s="7">
        <f>(Parameters!$B$19*(E28+Parameters!$B$20)^Q28+Parameters!$B$18*F28^Q28)^(1/Q28)</f>
        <v>0.53795178953181433</v>
      </c>
      <c r="T28" s="7">
        <f>(Parameters!$B$10*G28^Parameters!$B$9 + Parameters!$B$11*S28^Parameters!$B$9) ^ (Parameters!$B$7/Parameters!$B$9) * N28</f>
        <v>1.4901134053075198</v>
      </c>
      <c r="U28" s="7">
        <f t="shared" si="1"/>
        <v>1.1361429073881621</v>
      </c>
      <c r="V28" s="7">
        <f>EXP(-Parameters!$B$55*A28)</f>
        <v>0.69600391058979738</v>
      </c>
      <c r="W28" s="7">
        <f>IF(U28&gt;0,U28^(1-Parameters!$B$52)/(1-Parameters!$B$52)*V28,-10+U28*1000)</f>
        <v>-1.9017004043435541</v>
      </c>
      <c r="X28" s="7"/>
      <c r="Y28" s="9">
        <f t="shared" si="2"/>
        <v>5.4446132487253128E-2</v>
      </c>
      <c r="Z28" s="9">
        <f t="shared" si="3"/>
        <v>5.0036618894314967E-3</v>
      </c>
      <c r="AA28" s="7">
        <f t="shared" si="4"/>
        <v>0.29428892085703068</v>
      </c>
      <c r="AB28" s="13">
        <f t="shared" si="5"/>
        <v>0.23754601271190331</v>
      </c>
    </row>
    <row r="29" spans="1:28" x14ac:dyDescent="0.25">
      <c r="A29">
        <f>A28+Parameters!$B$65</f>
        <v>25</v>
      </c>
      <c r="B29" s="19">
        <v>5.4533475866792323E-2</v>
      </c>
      <c r="C29" s="45">
        <v>4.7509232593109041E-3</v>
      </c>
      <c r="D29" s="18">
        <v>0.2939907507363273</v>
      </c>
      <c r="E29" s="7">
        <f>MAX((1-Parameters!$B$4)^Parameters!B$65*E28+B28*Parameters!B$65-Parameters!$B$5*B28^2/E28*Parameters!B$65,0.0001)</f>
        <v>0.79570174510684111</v>
      </c>
      <c r="F29" s="9">
        <f>(1-Parameters!$B$4)^Parameters!B$65*F28+C28*Parameters!B$65-Parameters!$B$5*C28^2/F28*Parameters!B$65</f>
        <v>0.10081942775351924</v>
      </c>
      <c r="G29" s="7">
        <f>(1-Parameters!$B$4)^Parameters!B$65*G28+D28*Parameters!B$65-Parameters!$B$5*D28^2/G28*Parameters!B$65</f>
        <v>4.3822311077777707</v>
      </c>
      <c r="H29" s="7">
        <f>H28 *(1-Parameters!$B$4)-B28*(B28&lt;0)*Parameters!B$65</f>
        <v>0</v>
      </c>
      <c r="I29" s="7">
        <f>I28*(1+Parameters!$B$51)^Parameters!B$65</f>
        <v>8.7726528033799838</v>
      </c>
      <c r="J29" s="7">
        <f>J28*(1+Parameters!$B$53)^Parameters!B$65</f>
        <v>14.804050733395993</v>
      </c>
      <c r="K29" s="23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70.828754476922725</v>
      </c>
      <c r="L29" s="8">
        <f>L28+K29*Parameters!B$65</f>
        <v>3845.1029958733934</v>
      </c>
      <c r="M29" s="7">
        <f>M28+Parameters!$B$45*K29</f>
        <v>2.3070617975240353</v>
      </c>
      <c r="N29" s="7">
        <f>'6states'!O29</f>
        <v>0.96981098934911403</v>
      </c>
      <c r="O29" s="7">
        <f>MAX(O28+(Parameters!B$31-K29)*Parameters!B$65,30)</f>
        <v>30</v>
      </c>
      <c r="P29" s="7">
        <f>Parameters!B$61*EXP(-Parameters!B$60*A29)+(1-Parameters!B$61)*(O29/Parameters!B$62)^-Parameters!B$63</f>
        <v>0.78078309987823724</v>
      </c>
      <c r="Q29" s="9">
        <f>1-P29/Parameters!$B$12</f>
        <v>0.60960845006088138</v>
      </c>
      <c r="R29" s="23">
        <f t="shared" si="0"/>
        <v>2.5615308532060941</v>
      </c>
      <c r="S29" s="7">
        <f>(Parameters!$B$19*(E29+Parameters!$B$20)^Q29+Parameters!$B$18*F29^Q29)^(1/Q29)</f>
        <v>0.53797601474667123</v>
      </c>
      <c r="T29" s="7">
        <f>(Parameters!$B$10*G29^Parameters!$B$9 + Parameters!$B$11*S29^Parameters!$B$9) ^ (Parameters!$B$7/Parameters!$B$9) * N29</f>
        <v>1.4896250663608874</v>
      </c>
      <c r="U29" s="7">
        <f t="shared" si="1"/>
        <v>1.136349916498457</v>
      </c>
      <c r="V29" s="7">
        <f>EXP(-Parameters!$B$55*A29)</f>
        <v>0.68557320158429325</v>
      </c>
      <c r="W29" s="7">
        <f>IF(U29&gt;0,U29^(1-Parameters!$B$52)/(1-Parameters!$B$52)*V29,-10+U29*1000)</f>
        <v>-1.8730810029185105</v>
      </c>
      <c r="X29" s="7"/>
      <c r="Y29" s="9">
        <f t="shared" si="2"/>
        <v>5.4489804177022726E-2</v>
      </c>
      <c r="Z29" s="9">
        <f t="shared" si="3"/>
        <v>4.8772925743712009E-3</v>
      </c>
      <c r="AA29" s="7">
        <f t="shared" si="4"/>
        <v>0.29413983579667896</v>
      </c>
      <c r="AB29" s="13">
        <f t="shared" si="5"/>
        <v>0.23715709264041313</v>
      </c>
    </row>
    <row r="30" spans="1:28" x14ac:dyDescent="0.25">
      <c r="A30">
        <f>A29+Parameters!$B$65</f>
        <v>26</v>
      </c>
      <c r="B30" s="46">
        <f>B29</f>
        <v>5.4533475866792323E-2</v>
      </c>
      <c r="C30" s="46">
        <f t="shared" ref="C30:C33" si="15">C29</f>
        <v>4.7509232593109041E-3</v>
      </c>
      <c r="D30" s="46">
        <f t="shared" ref="D30:D33" si="16">D29</f>
        <v>0.2939907507363273</v>
      </c>
      <c r="E30" s="7">
        <f>MAX((1-Parameters!$B$4)^Parameters!B$65*E29+B29*Parameters!B$65-Parameters!$B$5*B29^2/E29*Parameters!B$65,0.0001)</f>
        <v>0.79644812554742783</v>
      </c>
      <c r="F30" s="9">
        <f>(1-Parameters!$B$4)^Parameters!B$65*F29+C29*Parameters!B$65-Parameters!$B$5*C29^2/F29*Parameters!B$65</f>
        <v>9.9004930809064237E-2</v>
      </c>
      <c r="G30" s="7">
        <f>(1-Parameters!$B$4)^Parameters!B$65*G29+D29*Parameters!B$65-Parameters!$B$5*D29^2/G29*Parameters!B$65</f>
        <v>4.3808565635077565</v>
      </c>
      <c r="H30" s="7">
        <f>H29 *(1-Parameters!$B$4)-B29*(B29&lt;0)*Parameters!B$65</f>
        <v>0</v>
      </c>
      <c r="I30" s="7">
        <f>I29*(1+Parameters!$B$51)^Parameters!B$65</f>
        <v>8.7980934965097841</v>
      </c>
      <c r="J30" s="7">
        <f>J29*(1+Parameters!$B$53)^Parameters!B$65</f>
        <v>15.100131748063912</v>
      </c>
      <c r="K30" s="23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71.665364720498587</v>
      </c>
      <c r="L30" s="8">
        <f>L29+K30*Parameters!B$65</f>
        <v>3916.7683605938919</v>
      </c>
      <c r="M30" s="7">
        <f>M29+Parameters!$B$45*K30</f>
        <v>2.3500610163563342</v>
      </c>
      <c r="N30" s="7">
        <f>'6states'!O30</f>
        <v>0.96955904678220328</v>
      </c>
      <c r="O30" s="7">
        <f>MAX(O29+(Parameters!B$31-K30)*Parameters!B$65,30)</f>
        <v>30</v>
      </c>
      <c r="P30" s="7">
        <f>Parameters!B$61*EXP(-Parameters!B$60*A30)+(1-Parameters!B$61)*(O30/Parameters!B$62)^-Parameters!B$63</f>
        <v>0.77400145242078833</v>
      </c>
      <c r="Q30" s="9">
        <f>1-P30/Parameters!$B$12</f>
        <v>0.61299927378960584</v>
      </c>
      <c r="R30" s="23">
        <f t="shared" si="0"/>
        <v>2.5839744793045862</v>
      </c>
      <c r="S30" s="7">
        <f>(Parameters!$B$19*(E30+Parameters!$B$20)^Q30+Parameters!$B$18*F30^Q30)^(1/Q30)</f>
        <v>0.53788981312169915</v>
      </c>
      <c r="T30" s="7">
        <f>(Parameters!$B$10*G30^Parameters!$B$9 + Parameters!$B$11*S30^Parameters!$B$9) ^ (Parameters!$B$7/Parameters!$B$9) * N30</f>
        <v>1.4891096737713112</v>
      </c>
      <c r="U30" s="7">
        <f t="shared" si="1"/>
        <v>1.1358345239088807</v>
      </c>
      <c r="V30" s="7">
        <f>EXP(-Parameters!$B$55*A30)</f>
        <v>0.67529881309466844</v>
      </c>
      <c r="W30" s="7">
        <f>IF(U30&gt;0,U30^(1-Parameters!$B$52)/(1-Parameters!$B$52)*V30,-10+U30*1000)</f>
        <v>-1.8453029214036702</v>
      </c>
      <c r="X30" s="7"/>
      <c r="Y30" s="9">
        <f t="shared" si="2"/>
        <v>5.4533475866792323E-2</v>
      </c>
      <c r="Z30" s="9">
        <f t="shared" si="3"/>
        <v>4.7509232593109041E-3</v>
      </c>
      <c r="AA30" s="7">
        <f t="shared" si="4"/>
        <v>0.2939907507363273</v>
      </c>
      <c r="AB30" s="13">
        <f t="shared" si="5"/>
        <v>0.23723917457854382</v>
      </c>
    </row>
    <row r="31" spans="1:28" x14ac:dyDescent="0.25">
      <c r="A31">
        <f>A30+Parameters!$B$65</f>
        <v>27</v>
      </c>
      <c r="B31" s="46">
        <f t="shared" ref="B31:B33" si="17">B30</f>
        <v>5.4533475866792323E-2</v>
      </c>
      <c r="C31" s="46">
        <f t="shared" si="15"/>
        <v>4.7509232593109041E-3</v>
      </c>
      <c r="D31" s="46">
        <f t="shared" si="16"/>
        <v>0.2939907507363273</v>
      </c>
      <c r="E31" s="7">
        <f>MAX((1-Parameters!$B$4)^Parameters!B$65*E30+B30*Parameters!B$65-Parameters!$B$5*B30^2/E30*Parameters!B$65,0.0001)</f>
        <v>0.79715106116362744</v>
      </c>
      <c r="F31" s="9">
        <f>(1-Parameters!$B$4)^Parameters!B$65*F30+C30*Parameters!B$65-Parameters!$B$5*C30^2/F30*Parameters!B$65</f>
        <v>9.7300462630751164E-2</v>
      </c>
      <c r="G31" s="7">
        <f>(1-Parameters!$B$4)^Parameters!B$65*G30+D30*Parameters!B$65-Parameters!$B$5*D30^2/G30*Parameters!B$65</f>
        <v>4.3795622897666915</v>
      </c>
      <c r="H31" s="7">
        <f>H30 *(1-Parameters!$B$4)-B30*(B30&lt;0)*Parameters!B$65</f>
        <v>0</v>
      </c>
      <c r="I31" s="7">
        <f>I30*(1+Parameters!$B$51)^Parameters!B$65</f>
        <v>8.8236079676496608</v>
      </c>
      <c r="J31" s="7">
        <f>J30*(1+Parameters!$B$53)^Parameters!B$65</f>
        <v>15.40213438302519</v>
      </c>
      <c r="K31" s="23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72.510972481502407</v>
      </c>
      <c r="L31" s="8">
        <f>L30+K31*Parameters!B$65</f>
        <v>3989.2793330753943</v>
      </c>
      <c r="M31" s="7">
        <f>M30+Parameters!$B$45*K31</f>
        <v>2.3935675998452357</v>
      </c>
      <c r="N31" s="7">
        <f>'6states'!O31</f>
        <v>0.96931721159860607</v>
      </c>
      <c r="O31" s="7">
        <f>MAX(O30+(Parameters!B$31-K31)*Parameters!B$65,30)</f>
        <v>30</v>
      </c>
      <c r="P31" s="7">
        <f>Parameters!B$61*EXP(-Parameters!B$60*A31)+(1-Parameters!B$61)*(O31/Parameters!B$62)^-Parameters!B$63</f>
        <v>0.76740045963202563</v>
      </c>
      <c r="Q31" s="9">
        <f>1-P31/Parameters!$B$12</f>
        <v>0.61629977018398718</v>
      </c>
      <c r="R31" s="23">
        <f t="shared" si="0"/>
        <v>2.6062012015982048</v>
      </c>
      <c r="S31" s="7">
        <f>(Parameters!$B$19*(E31+Parameters!$B$20)^Q31+Parameters!$B$18*F31^Q31)^(1/Q31)</f>
        <v>0.53783223275835623</v>
      </c>
      <c r="T31" s="7">
        <f>(Parameters!$B$10*G31^Parameters!$B$9 + Parameters!$B$11*S31^Parameters!$B$9) ^ (Parameters!$B$7/Parameters!$B$9) * N31</f>
        <v>1.4886206882371671</v>
      </c>
      <c r="U31" s="7">
        <f t="shared" si="1"/>
        <v>1.1353455383747366</v>
      </c>
      <c r="V31" s="7">
        <f>EXP(-Parameters!$B$55*A31)</f>
        <v>0.66517840241309079</v>
      </c>
      <c r="W31" s="7">
        <f>IF(U31&gt;0,U31^(1-Parameters!$B$52)/(1-Parameters!$B$52)*V31,-10+U31*1000)</f>
        <v>-1.8179221248184916</v>
      </c>
      <c r="X31" s="7"/>
      <c r="Y31" s="9">
        <f t="shared" si="2"/>
        <v>5.4533475866792323E-2</v>
      </c>
      <c r="Z31" s="9">
        <f t="shared" si="3"/>
        <v>4.7509232593109041E-3</v>
      </c>
      <c r="AA31" s="7">
        <f t="shared" si="4"/>
        <v>0.2939907507363273</v>
      </c>
      <c r="AB31" s="13">
        <f t="shared" si="5"/>
        <v>0.23731710344613102</v>
      </c>
    </row>
    <row r="32" spans="1:28" x14ac:dyDescent="0.25">
      <c r="A32">
        <f>A31+Parameters!$B$65</f>
        <v>28</v>
      </c>
      <c r="B32" s="46">
        <f t="shared" si="17"/>
        <v>5.4533475866792323E-2</v>
      </c>
      <c r="C32" s="46">
        <f t="shared" si="15"/>
        <v>4.7509232593109041E-3</v>
      </c>
      <c r="D32" s="46">
        <f t="shared" si="16"/>
        <v>0.2939907507363273</v>
      </c>
      <c r="E32" s="7">
        <f>MAX((1-Parameters!$B$4)^Parameters!B$65*E31+B31*Parameters!B$65-Parameters!$B$5*B31^2/E31*Parameters!B$65,0.0001)</f>
        <v>0.79781307476604424</v>
      </c>
      <c r="F32" s="9">
        <f>(1-Parameters!$B$4)^Parameters!B$65*F31+C31*Parameters!B$65-Parameters!$B$5*C31^2/F31*Parameters!B$65</f>
        <v>9.5699211821450039E-2</v>
      </c>
      <c r="G32" s="7">
        <f>(1-Parameters!$B$4)^Parameters!B$65*G31+D31*Parameters!B$65-Parameters!$B$5*D31^2/G31*Parameters!B$65</f>
        <v>4.3783435953716845</v>
      </c>
      <c r="H32" s="7">
        <f>H31 *(1-Parameters!$B$4)-B31*(B31&lt;0)*Parameters!B$65</f>
        <v>0</v>
      </c>
      <c r="I32" s="7">
        <f>I31*(1+Parameters!$B$51)^Parameters!B$65</f>
        <v>8.8491964307558444</v>
      </c>
      <c r="J32" s="7">
        <f>J31*(1+Parameters!$B$53)^Parameters!B$65</f>
        <v>15.710177070685695</v>
      </c>
      <c r="K32" s="23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73.3658468714425</v>
      </c>
      <c r="L32" s="8">
        <f>L31+K32*Parameters!B$65</f>
        <v>4062.6451799468368</v>
      </c>
      <c r="M32" s="7">
        <f>M31+Parameters!$B$45*K32</f>
        <v>2.4375871079681013</v>
      </c>
      <c r="N32" s="7">
        <f>'6states'!O32</f>
        <v>0.96908501883067955</v>
      </c>
      <c r="O32" s="7">
        <f>MAX(O31+(Parameters!B$31-K32)*Parameters!B$65,30)</f>
        <v>30</v>
      </c>
      <c r="P32" s="7">
        <f>Parameters!B$61*EXP(-Parameters!B$60*A32)+(1-Parameters!B$61)*(O32/Parameters!B$62)^-Parameters!B$63</f>
        <v>0.76097530909586231</v>
      </c>
      <c r="Q32" s="9">
        <f>1-P32/Parameters!$B$12</f>
        <v>0.61951234545206879</v>
      </c>
      <c r="R32" s="23">
        <f t="shared" si="0"/>
        <v>2.6282061666051426</v>
      </c>
      <c r="S32" s="7">
        <f>(Parameters!$B$19*(E32+Parameters!$B$20)^Q32+Parameters!$B$18*F32^Q32)^(1/Q32)</f>
        <v>0.5378009357057788</v>
      </c>
      <c r="T32" s="7">
        <f>(Parameters!$B$10*G32^Parameters!$B$9 + Parameters!$B$11*S32^Parameters!$B$9) ^ (Parameters!$B$7/Parameters!$B$9) * N32</f>
        <v>1.4881566552998984</v>
      </c>
      <c r="U32" s="7">
        <f t="shared" si="1"/>
        <v>1.1348815054374679</v>
      </c>
      <c r="V32" s="7">
        <f>EXP(-Parameters!$B$55*A32)</f>
        <v>0.65520966194087471</v>
      </c>
      <c r="W32" s="7">
        <f>IF(U32&gt;0,U32^(1-Parameters!$B$52)/(1-Parameters!$B$52)*V32,-10+U32*1000)</f>
        <v>-1.7909339413911778</v>
      </c>
      <c r="X32" s="7"/>
      <c r="Y32" s="9">
        <f t="shared" si="2"/>
        <v>5.4533475866792323E-2</v>
      </c>
      <c r="Z32" s="9">
        <f t="shared" si="3"/>
        <v>4.7509232593109041E-3</v>
      </c>
      <c r="AA32" s="7">
        <f t="shared" si="4"/>
        <v>0.2939907507363273</v>
      </c>
      <c r="AB32" s="13">
        <f t="shared" si="5"/>
        <v>0.23739110301612523</v>
      </c>
    </row>
    <row r="33" spans="1:28" x14ac:dyDescent="0.25">
      <c r="A33">
        <f>A32+Parameters!$B$65</f>
        <v>29</v>
      </c>
      <c r="B33" s="46">
        <f t="shared" si="17"/>
        <v>5.4533475866792323E-2</v>
      </c>
      <c r="C33" s="46">
        <f t="shared" si="15"/>
        <v>4.7509232593109041E-3</v>
      </c>
      <c r="D33" s="46">
        <f t="shared" si="16"/>
        <v>0.2939907507363273</v>
      </c>
      <c r="E33" s="7">
        <f>MAX((1-Parameters!$B$4)^Parameters!B$65*E32+B32*Parameters!B$65-Parameters!$B$5*B32^2/E32*Parameters!B$65,0.0001)</f>
        <v>0.79843654336031644</v>
      </c>
      <c r="F33" s="9">
        <f>(1-Parameters!$B$4)^Parameters!B$65*F32+C32*Parameters!B$65-Parameters!$B$5*C32^2/F32*Parameters!B$65</f>
        <v>9.4194798254758946E-2</v>
      </c>
      <c r="G33" s="7">
        <f>(1-Parameters!$B$4)^Parameters!B$65*G32+D32*Parameters!B$65-Parameters!$B$5*D32^2/G32*Parameters!B$65</f>
        <v>4.3771960637023275</v>
      </c>
      <c r="H33" s="7">
        <f>H32 *(1-Parameters!$B$4)-B32*(B32&lt;0)*Parameters!B$65</f>
        <v>0</v>
      </c>
      <c r="I33" s="7">
        <f>I32*(1+Parameters!$B$51)^Parameters!B$65</f>
        <v>8.8748591004050361</v>
      </c>
      <c r="J33" s="7">
        <f>J32*(1+Parameters!$B$53)^Parameters!B$65</f>
        <v>16.02438061209941</v>
      </c>
      <c r="K33" s="23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74.230252197624353</v>
      </c>
      <c r="L33" s="8">
        <f>L32+K33*Parameters!B$65</f>
        <v>4136.8754321444612</v>
      </c>
      <c r="M33" s="7">
        <f>M32+Parameters!$B$45*K33</f>
        <v>2.482125259286676</v>
      </c>
      <c r="N33" s="7">
        <f>'6states'!O33</f>
        <v>0.96886127241584419</v>
      </c>
      <c r="O33" s="7">
        <f>MAX(O32+(Parameters!B$31-K33)*Parameters!B$65,30)</f>
        <v>30</v>
      </c>
      <c r="P33" s="7">
        <f>Parameters!B$61*EXP(-Parameters!B$60*A33)+(1-Parameters!B$61)*(O33/Parameters!B$62)^-Parameters!B$63</f>
        <v>0.75472131659300157</v>
      </c>
      <c r="Q33" s="9">
        <f>1-P33/Parameters!$B$12</f>
        <v>0.62263934170349922</v>
      </c>
      <c r="R33" s="23">
        <f t="shared" si="0"/>
        <v>2.6499847772002703</v>
      </c>
      <c r="S33" s="7">
        <f>(Parameters!$B$19*(E33+Parameters!$B$20)^Q33+Parameters!$B$18*F33^Q33)^(1/Q33)</f>
        <v>0.53779372097575762</v>
      </c>
      <c r="T33" s="7">
        <f>(Parameters!$B$10*G33^Parameters!$B$9 + Parameters!$B$11*S33^Parameters!$B$9) ^ (Parameters!$B$7/Parameters!$B$9) * N33</f>
        <v>1.4877150409518249</v>
      </c>
      <c r="U33" s="7">
        <f t="shared" si="1"/>
        <v>1.1344398910893945</v>
      </c>
      <c r="V33" s="7">
        <f>EXP(-Parameters!$B$55*A33)</f>
        <v>0.64539031866231678</v>
      </c>
      <c r="W33" s="7">
        <f>IF(U33&gt;0,U33^(1-Parameters!$B$52)/(1-Parameters!$B$52)*V33,-10+U33*1000)</f>
        <v>-1.7643343141362948</v>
      </c>
      <c r="X33" s="7"/>
      <c r="Y33" s="9">
        <f t="shared" si="2"/>
        <v>5.457601566961684E-2</v>
      </c>
      <c r="Z33" s="9">
        <f t="shared" si="3"/>
        <v>4.5969769478410765E-3</v>
      </c>
      <c r="AA33" s="7">
        <f t="shared" si="4"/>
        <v>0.29384386111978678</v>
      </c>
      <c r="AB33" s="13">
        <f t="shared" si="5"/>
        <v>0.23746157035315626</v>
      </c>
    </row>
    <row r="34" spans="1:28" x14ac:dyDescent="0.25">
      <c r="A34">
        <f>A33+Parameters!$B$65</f>
        <v>30</v>
      </c>
      <c r="B34" s="19">
        <v>5.4661095275265872E-2</v>
      </c>
      <c r="C34" s="45">
        <v>4.289084324901422E-3</v>
      </c>
      <c r="D34" s="18">
        <v>0.29355008188670573</v>
      </c>
      <c r="E34" s="7">
        <f>MAX((1-Parameters!$B$4)^Parameters!B$65*E33+B33*Parameters!B$65-Parameters!$B$5*B33^2/E33*Parameters!B$65,0.0001)</f>
        <v>0.79902370649301258</v>
      </c>
      <c r="F34" s="9">
        <f>(1-Parameters!$B$4)^Parameters!B$65*F33+C33*Parameters!B$65-Parameters!$B$5*C33^2/F33*Parameters!B$65</f>
        <v>9.27812453675885E-2</v>
      </c>
      <c r="G34" s="7">
        <f>(1-Parameters!$B$4)^Parameters!B$65*G33+D33*Parameters!B$65-Parameters!$B$5*D33^2/G33*Parameters!B$65</f>
        <v>4.376115536586461</v>
      </c>
      <c r="H34" s="7">
        <f>H33 *(1-Parameters!$B$4)-B33*(B33&lt;0)*Parameters!B$65</f>
        <v>0</v>
      </c>
      <c r="I34" s="7">
        <f>I33*(1+Parameters!$B$51)^Parameters!B$65</f>
        <v>8.9005961917962093</v>
      </c>
      <c r="J34" s="7">
        <f>J33*(1+Parameters!$B$53)^Parameters!B$65</f>
        <v>16.344868224341397</v>
      </c>
      <c r="K34" s="23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75.104448333567092</v>
      </c>
      <c r="L34" s="8">
        <f>L33+K34*Parameters!B$65</f>
        <v>4211.9798804780285</v>
      </c>
      <c r="M34" s="7">
        <f>M33+Parameters!$B$45*K34</f>
        <v>2.5271879282868164</v>
      </c>
      <c r="N34" s="7">
        <f>'6states'!O34</f>
        <v>0.96864555971457766</v>
      </c>
      <c r="O34" s="7">
        <f>MAX(O33+(Parameters!B$31-K34)*Parameters!B$65,30)</f>
        <v>30</v>
      </c>
      <c r="P34" s="7">
        <f>Parameters!B$61*EXP(-Parameters!B$60*A34)+(1-Parameters!B$61)*(O34/Parameters!B$62)^-Parameters!B$63</f>
        <v>0.74863392268593321</v>
      </c>
      <c r="Q34" s="9">
        <f>1-P34/Parameters!$B$12</f>
        <v>0.62568303865703334</v>
      </c>
      <c r="R34" s="23">
        <f t="shared" si="0"/>
        <v>2.6715326936087016</v>
      </c>
      <c r="S34" s="7">
        <f>(Parameters!$B$19*(E34+Parameters!$B$20)^Q34+Parameters!$B$18*F34^Q34)^(1/Q34)</f>
        <v>0.53780852007554958</v>
      </c>
      <c r="T34" s="7">
        <f>(Parameters!$B$10*G34^Parameters!$B$9 + Parameters!$B$11*S34^Parameters!$B$9) ^ (Parameters!$B$7/Parameters!$B$9) * N34</f>
        <v>1.4872945556329447</v>
      </c>
      <c r="U34" s="7">
        <f t="shared" si="1"/>
        <v>1.1347942941460714</v>
      </c>
      <c r="V34" s="7">
        <f>EXP(-Parameters!$B$55*A34)</f>
        <v>0.63571813362641427</v>
      </c>
      <c r="W34" s="7">
        <f>IF(U34&gt;0,U34^(1-Parameters!$B$52)/(1-Parameters!$B$52)*V34,-10+U34*1000)</f>
        <v>-1.7377030169941665</v>
      </c>
      <c r="X34" s="7"/>
      <c r="Y34" s="9">
        <f t="shared" si="2"/>
        <v>5.4618555472441356E-2</v>
      </c>
      <c r="Z34" s="9">
        <f t="shared" si="3"/>
        <v>4.4430306363712497E-3</v>
      </c>
      <c r="AA34" s="7">
        <f t="shared" si="4"/>
        <v>0.29369697150324625</v>
      </c>
      <c r="AB34" s="13">
        <f t="shared" si="5"/>
        <v>0.23700769975377223</v>
      </c>
    </row>
    <row r="35" spans="1:28" x14ac:dyDescent="0.25">
      <c r="A35">
        <f>A34+Parameters!$B$65</f>
        <v>31</v>
      </c>
      <c r="B35" s="46">
        <f>B34</f>
        <v>5.4661095275265872E-2</v>
      </c>
      <c r="C35" s="46">
        <f t="shared" ref="C35:D35" si="18">C34</f>
        <v>4.289084324901422E-3</v>
      </c>
      <c r="D35" s="46">
        <f t="shared" si="18"/>
        <v>0.29355008188670573</v>
      </c>
      <c r="E35" s="7">
        <f>MAX((1-Parameters!$B$4)^Parameters!B$65*E34+B34*Parameters!B$65-Parameters!$B$5*B34^2/E34*Parameters!B$65,0.0001)</f>
        <v>0.79968685307087195</v>
      </c>
      <c r="F35" s="9">
        <f>(1-Parameters!$B$4)^Parameters!B$65*F34+C34*Parameters!B$65-Parameters!$B$5*C34^2/F34*Parameters!B$65</f>
        <v>9.1036113896265897E-2</v>
      </c>
      <c r="G35" s="7">
        <f>(1-Parameters!$B$4)^Parameters!B$65*G34+D34*Parameters!B$65-Parameters!$B$5*D34^2/G34*Parameters!B$65</f>
        <v>4.3747165948453723</v>
      </c>
      <c r="H35" s="7">
        <f>H34 *(1-Parameters!$B$4)-B34*(B34&lt;0)*Parameters!B$65</f>
        <v>0</v>
      </c>
      <c r="I35" s="7">
        <f>I34*(1+Parameters!$B$51)^Parameters!B$65</f>
        <v>8.9264079207524176</v>
      </c>
      <c r="J35" s="7">
        <f>J34*(1+Parameters!$B$53)^Parameters!B$65</f>
        <v>16.671765588828226</v>
      </c>
      <c r="K35" s="23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75.999162054446188</v>
      </c>
      <c r="L35" s="8">
        <f>L34+K35*Parameters!B$65</f>
        <v>4287.9790425324745</v>
      </c>
      <c r="M35" s="7">
        <f>M34+Parameters!$B$45*K35</f>
        <v>2.572787425519484</v>
      </c>
      <c r="N35" s="7">
        <f>'6states'!O35</f>
        <v>0.96843757723284041</v>
      </c>
      <c r="O35" s="7">
        <f>MAX(O34+(Parameters!B$31-K35)*Parameters!B$65,30)</f>
        <v>30</v>
      </c>
      <c r="P35" s="7">
        <f>Parameters!B$61*EXP(-Parameters!B$60*A35)+(1-Parameters!B$61)*(O35/Parameters!B$62)^-Parameters!B$63</f>
        <v>0.74270868939490153</v>
      </c>
      <c r="Q35" s="9">
        <f>1-P35/Parameters!$B$12</f>
        <v>0.62864565530254923</v>
      </c>
      <c r="R35" s="23">
        <f t="shared" si="0"/>
        <v>2.692845833848311</v>
      </c>
      <c r="S35" s="7">
        <f>(Parameters!$B$19*(E35+Parameters!$B$20)^Q35+Parameters!$B$18*F35^Q35)^(1/Q35)</f>
        <v>0.53766455273070723</v>
      </c>
      <c r="T35" s="7">
        <f>(Parameters!$B$10*G35^Parameters!$B$9 + Parameters!$B$11*S35^Parameters!$B$9) ^ (Parameters!$B$7/Parameters!$B$9) * N35</f>
        <v>1.4868365488500066</v>
      </c>
      <c r="U35" s="7">
        <f t="shared" si="1"/>
        <v>1.1343362873631335</v>
      </c>
      <c r="V35" s="7">
        <f>EXP(-Parameters!$B$55*A35)</f>
        <v>0.62619090143635336</v>
      </c>
      <c r="W35" s="7">
        <f>IF(U35&gt;0,U35^(1-Parameters!$B$52)/(1-Parameters!$B$52)*V35,-10+U35*1000)</f>
        <v>-1.7119026719935819</v>
      </c>
      <c r="X35" s="7"/>
      <c r="Y35" s="9">
        <f t="shared" si="2"/>
        <v>5.4661095275265879E-2</v>
      </c>
      <c r="Z35" s="9">
        <f t="shared" si="3"/>
        <v>4.289084324901422E-3</v>
      </c>
      <c r="AA35" s="7">
        <f t="shared" si="4"/>
        <v>0.29355008188670573</v>
      </c>
      <c r="AB35" s="13">
        <f t="shared" si="5"/>
        <v>0.23708070786900837</v>
      </c>
    </row>
    <row r="36" spans="1:28" x14ac:dyDescent="0.25">
      <c r="A36">
        <f>A35+Parameters!$B$65</f>
        <v>32</v>
      </c>
      <c r="B36" s="46">
        <f t="shared" ref="B36:B43" si="19">B35</f>
        <v>5.4661095275265872E-2</v>
      </c>
      <c r="C36" s="46">
        <f t="shared" ref="C36:C43" si="20">C35</f>
        <v>4.289084324901422E-3</v>
      </c>
      <c r="D36" s="46">
        <f t="shared" ref="D36:D43" si="21">D35</f>
        <v>0.29355008188670573</v>
      </c>
      <c r="E36" s="7">
        <f>MAX((1-Parameters!$B$4)^Parameters!B$65*E35+B35*Parameters!B$65-Parameters!$B$5*B35^2/E35*Parameters!B$65,0.0001)</f>
        <v>0.80031138862048812</v>
      </c>
      <c r="F36" s="9">
        <f>(1-Parameters!$B$4)^Parameters!B$65*F35+C35*Parameters!B$65-Parameters!$B$5*C35^2/F35*Parameters!B$65</f>
        <v>8.9396950321023225E-2</v>
      </c>
      <c r="G36" s="7">
        <f>(1-Parameters!$B$4)^Parameters!B$65*G35+D35*Parameters!B$65-Parameters!$B$5*D35^2/G35*Parameters!B$65</f>
        <v>4.3733993496609544</v>
      </c>
      <c r="H36" s="7">
        <f>H35 *(1-Parameters!$B$4)-B35*(B35&lt;0)*Parameters!B$65</f>
        <v>0</v>
      </c>
      <c r="I36" s="7">
        <f>I35*(1+Parameters!$B$51)^Parameters!B$65</f>
        <v>8.9522945037225981</v>
      </c>
      <c r="J36" s="7">
        <f>J35*(1+Parameters!$B$53)^Parameters!B$65</f>
        <v>17.005200900604791</v>
      </c>
      <c r="K36" s="23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76.903791850442104</v>
      </c>
      <c r="L36" s="8">
        <f>L35+K36*Parameters!B$65</f>
        <v>4364.8828343829164</v>
      </c>
      <c r="M36" s="7">
        <f>M35+Parameters!$B$45*K36</f>
        <v>2.6189297006297494</v>
      </c>
      <c r="N36" s="7">
        <f>'6states'!O36</f>
        <v>0.96823693939957878</v>
      </c>
      <c r="O36" s="7">
        <f>MAX(O35+(Parameters!B$31-K36)*Parameters!B$65,30)</f>
        <v>30</v>
      </c>
      <c r="P36" s="7">
        <f>Parameters!B$61*EXP(-Parameters!B$60*A36)+(1-Parameters!B$61)*(O36/Parameters!B$62)^-Parameters!B$63</f>
        <v>0.7369412969624215</v>
      </c>
      <c r="Q36" s="9">
        <f>1-P36/Parameters!$B$12</f>
        <v>0.63152935151878919</v>
      </c>
      <c r="R36" s="23">
        <f t="shared" si="0"/>
        <v>2.713920373635927</v>
      </c>
      <c r="S36" s="7">
        <f>(Parameters!$B$19*(E36+Parameters!$B$20)^Q36+Parameters!$B$18*F36^Q36)^(1/Q36)</f>
        <v>0.53755001061726482</v>
      </c>
      <c r="T36" s="7">
        <f>(Parameters!$B$10*G36^Parameters!$B$9 + Parameters!$B$11*S36^Parameters!$B$9) ^ (Parameters!$B$7/Parameters!$B$9) * N36</f>
        <v>1.4864009192533223</v>
      </c>
      <c r="U36" s="7">
        <f t="shared" si="1"/>
        <v>1.133900657766449</v>
      </c>
      <c r="V36" s="7">
        <f>EXP(-Parameters!$B$55*A36)</f>
        <v>0.61680644974664667</v>
      </c>
      <c r="W36" s="7">
        <f>IF(U36&gt;0,U36^(1-Parameters!$B$52)/(1-Parameters!$B$52)*V36,-10+U36*1000)</f>
        <v>-1.6864738419949685</v>
      </c>
      <c r="X36" s="7"/>
      <c r="Y36" s="9">
        <f t="shared" si="2"/>
        <v>5.4661095275265879E-2</v>
      </c>
      <c r="Z36" s="9">
        <f t="shared" si="3"/>
        <v>4.289084324901422E-3</v>
      </c>
      <c r="AA36" s="7">
        <f t="shared" si="4"/>
        <v>0.29355008188670573</v>
      </c>
      <c r="AB36" s="13">
        <f t="shared" si="5"/>
        <v>0.23715019071970689</v>
      </c>
    </row>
    <row r="37" spans="1:28" x14ac:dyDescent="0.25">
      <c r="A37">
        <f>A36+Parameters!$B$65</f>
        <v>33</v>
      </c>
      <c r="B37" s="46">
        <f t="shared" si="19"/>
        <v>5.4661095275265872E-2</v>
      </c>
      <c r="C37" s="46">
        <f t="shared" si="20"/>
        <v>4.289084324901422E-3</v>
      </c>
      <c r="D37" s="46">
        <f t="shared" si="21"/>
        <v>0.29355008188670573</v>
      </c>
      <c r="E37" s="7">
        <f>MAX((1-Parameters!$B$4)^Parameters!B$65*E36+B36*Parameters!B$65-Parameters!$B$5*B36^2/E36*Parameters!B$65,0.0001)</f>
        <v>0.80089955653054867</v>
      </c>
      <c r="F37" s="9">
        <f>(1-Parameters!$B$4)^Parameters!B$65*F36+C36*Parameters!B$65-Parameters!$B$5*C36^2/F36*Parameters!B$65</f>
        <v>8.7857184905700658E-2</v>
      </c>
      <c r="G37" s="7">
        <f>(1-Parameters!$B$4)^Parameters!B$65*G36+D36*Parameters!B$65-Parameters!$B$5*D36^2/G36*Parameters!B$65</f>
        <v>4.3721590263677141</v>
      </c>
      <c r="H37" s="7">
        <f>H36 *(1-Parameters!$B$4)-B36*(B36&lt;0)*Parameters!B$65</f>
        <v>0</v>
      </c>
      <c r="I37" s="7">
        <f>I36*(1+Parameters!$B$51)^Parameters!B$65</f>
        <v>8.9782561577833935</v>
      </c>
      <c r="J37" s="7">
        <f>J36*(1+Parameters!$B$53)^Parameters!B$65</f>
        <v>17.345304918616886</v>
      </c>
      <c r="K37" s="23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77.81860689293633</v>
      </c>
      <c r="L37" s="8">
        <f>L36+K37*Parameters!B$65</f>
        <v>4442.7014412758526</v>
      </c>
      <c r="M37" s="7">
        <f>M36+Parameters!$B$45*K37</f>
        <v>2.6656208647655113</v>
      </c>
      <c r="N37" s="7">
        <f>'6states'!O37</f>
        <v>0.96804341171416064</v>
      </c>
      <c r="O37" s="7">
        <f>MAX(O36+(Parameters!B$31-K37)*Parameters!B$65,30)</f>
        <v>30</v>
      </c>
      <c r="P37" s="7">
        <f>Parameters!B$61*EXP(-Parameters!B$60*A37)+(1-Parameters!B$61)*(O37/Parameters!B$62)^-Parameters!B$63</f>
        <v>0.73132754070398465</v>
      </c>
      <c r="Q37" s="9">
        <f>1-P37/Parameters!$B$12</f>
        <v>0.63433622964800773</v>
      </c>
      <c r="R37" s="23">
        <f t="shared" si="0"/>
        <v>2.7347527457734961</v>
      </c>
      <c r="S37" s="7">
        <f>(Parameters!$B$19*(E37+Parameters!$B$20)^Q37+Parameters!$B$18*F37^Q37)^(1/Q37)</f>
        <v>0.53746260701366266</v>
      </c>
      <c r="T37" s="7">
        <f>(Parameters!$B$10*G37^Parameters!$B$9 + Parameters!$B$11*S37^Parameters!$B$9) ^ (Parameters!$B$7/Parameters!$B$9) * N37</f>
        <v>1.4859865734650008</v>
      </c>
      <c r="U37" s="7">
        <f t="shared" si="1"/>
        <v>1.1334863119781278</v>
      </c>
      <c r="V37" s="7">
        <f>EXP(-Parameters!$B$55*A37)</f>
        <v>0.60756263876780681</v>
      </c>
      <c r="W37" s="7">
        <f>IF(U37&gt;0,U37^(1-Parameters!$B$52)/(1-Parameters!$B$52)*V37,-10+U37*1000)</f>
        <v>-1.6614119020217015</v>
      </c>
      <c r="X37" s="7"/>
      <c r="Y37" s="9">
        <f t="shared" ref="Y37:Y63" si="22">SUM(B36:B38)/3</f>
        <v>5.4661095275265879E-2</v>
      </c>
      <c r="Z37" s="9">
        <f t="shared" ref="Z37:Z63" si="23">SUM(C36:C38)/3</f>
        <v>4.289084324901422E-3</v>
      </c>
      <c r="AA37" s="7">
        <f t="shared" ref="AA37:AA63" si="24">SUM(D36:D38)/3</f>
        <v>0.29355008188670573</v>
      </c>
      <c r="AB37" s="13">
        <f t="shared" si="5"/>
        <v>0.23721631660837841</v>
      </c>
    </row>
    <row r="38" spans="1:28" x14ac:dyDescent="0.25">
      <c r="A38">
        <f>A37+Parameters!$B$65</f>
        <v>34</v>
      </c>
      <c r="B38" s="46">
        <f t="shared" si="19"/>
        <v>5.4661095275265872E-2</v>
      </c>
      <c r="C38" s="46">
        <f t="shared" si="20"/>
        <v>4.289084324901422E-3</v>
      </c>
      <c r="D38" s="46">
        <f t="shared" si="21"/>
        <v>0.29355008188670573</v>
      </c>
      <c r="E38" s="7">
        <f>MAX((1-Parameters!$B$4)^Parameters!B$65*E37+B37*Parameters!B$65-Parameters!$B$5*B37^2/E37*Parameters!B$65,0.0001)</f>
        <v>0.80145347038539894</v>
      </c>
      <c r="F38" s="9">
        <f>(1-Parameters!$B$4)^Parameters!B$65*F37+C37*Parameters!B$65-Parameters!$B$5*C37^2/F37*Parameters!B$65</f>
        <v>8.6410664253217986E-2</v>
      </c>
      <c r="G38" s="7">
        <f>(1-Parameters!$B$4)^Parameters!B$65*G37+D37*Parameters!B$65-Parameters!$B$5*D37^2/G37*Parameters!B$65</f>
        <v>4.3709911297646329</v>
      </c>
      <c r="H38" s="7">
        <f>H37 *(1-Parameters!$B$4)-B37*(B37&lt;0)*Parameters!B$65</f>
        <v>0</v>
      </c>
      <c r="I38" s="7">
        <f>I37*(1+Parameters!$B$51)^Parameters!B$65</f>
        <v>9.0042931006409646</v>
      </c>
      <c r="J38" s="7">
        <f>J37*(1+Parameters!$B$53)^Parameters!B$65</f>
        <v>17.692211016989223</v>
      </c>
      <c r="K38" s="23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78.743872232387645</v>
      </c>
      <c r="L38" s="8">
        <f>L37+K38*Parameters!B$65</f>
        <v>4521.4453135082404</v>
      </c>
      <c r="M38" s="7">
        <f>M37+Parameters!$B$45*K38</f>
        <v>2.7128671881049438</v>
      </c>
      <c r="N38" s="7">
        <f>'6states'!O38</f>
        <v>0.96785663344982054</v>
      </c>
      <c r="O38" s="7">
        <f>MAX(O37+(Parameters!B$31-K38)*Parameters!B$65,30)</f>
        <v>30</v>
      </c>
      <c r="P38" s="7">
        <f>Parameters!B$61*EXP(-Parameters!B$60*A38)+(1-Parameters!B$61)*(O38/Parameters!B$62)^-Parameters!B$63</f>
        <v>0.72586332794265762</v>
      </c>
      <c r="Q38" s="9">
        <f>1-P38/Parameters!$B$12</f>
        <v>0.63706833602867119</v>
      </c>
      <c r="R38" s="23">
        <f t="shared" si="0"/>
        <v>2.7553396390318783</v>
      </c>
      <c r="S38" s="7">
        <f>(Parameters!$B$19*(E38+Parameters!$B$20)^Q38+Parameters!$B$18*F38^Q38)^(1/Q38)</f>
        <v>0.53740018671692713</v>
      </c>
      <c r="T38" s="7">
        <f>(Parameters!$B$10*G38^Parameters!$B$9 + Parameters!$B$11*S38^Parameters!$B$9) ^ (Parameters!$B$7/Parameters!$B$9) * N38</f>
        <v>1.485592266080737</v>
      </c>
      <c r="U38" s="7">
        <f t="shared" si="1"/>
        <v>1.1330920045938639</v>
      </c>
      <c r="V38" s="7">
        <f>EXP(-Parameters!$B$55*A38)</f>
        <v>0.59845736077844469</v>
      </c>
      <c r="W38" s="7">
        <f>IF(U38&gt;0,U38^(1-Parameters!$B$52)/(1-Parameters!$B$52)*V38,-10+U38*1000)</f>
        <v>-1.6367123421789067</v>
      </c>
      <c r="X38" s="7"/>
      <c r="Y38" s="9">
        <f t="shared" si="22"/>
        <v>5.4661095275265879E-2</v>
      </c>
      <c r="Z38" s="9">
        <f t="shared" si="23"/>
        <v>4.289084324901422E-3</v>
      </c>
      <c r="AA38" s="7">
        <f t="shared" si="24"/>
        <v>0.29355008188670573</v>
      </c>
      <c r="AB38" s="13">
        <f t="shared" si="5"/>
        <v>0.23727927880025448</v>
      </c>
    </row>
    <row r="39" spans="1:28" x14ac:dyDescent="0.25">
      <c r="A39">
        <f>A38+Parameters!$B$65</f>
        <v>35</v>
      </c>
      <c r="B39" s="46">
        <f t="shared" si="19"/>
        <v>5.4661095275265872E-2</v>
      </c>
      <c r="C39" s="46">
        <f t="shared" si="20"/>
        <v>4.289084324901422E-3</v>
      </c>
      <c r="D39" s="46">
        <f t="shared" si="21"/>
        <v>0.29355008188670573</v>
      </c>
      <c r="E39" s="7">
        <f>MAX((1-Parameters!$B$4)^Parameters!B$65*E38+B38*Parameters!B$65-Parameters!$B$5*B38^2/E38*Parameters!B$65,0.0001)</f>
        <v>0.80197512141263694</v>
      </c>
      <c r="F39" s="9">
        <f>(1-Parameters!$B$4)^Parameters!B$65*F38+C38*Parameters!B$65-Parameters!$B$5*C38^2/F38*Parameters!B$65</f>
        <v>8.5051624579011734E-2</v>
      </c>
      <c r="G39" s="7">
        <f>(1-Parameters!$B$4)^Parameters!B$65*G38+D38*Parameters!B$65-Parameters!$B$5*D38^2/G38*Parameters!B$65</f>
        <v>4.3698914277114422</v>
      </c>
      <c r="H39" s="7">
        <f>H38 *(1-Parameters!$B$4)-B38*(B38&lt;0)*Parameters!B$65</f>
        <v>0</v>
      </c>
      <c r="I39" s="7">
        <f>I38*(1+Parameters!$B$51)^Parameters!B$65</f>
        <v>9.0304055506328229</v>
      </c>
      <c r="J39" s="7">
        <f>J38*(1+Parameters!$B$53)^Parameters!B$65</f>
        <v>18.046055237329007</v>
      </c>
      <c r="K39" s="23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79.679849139356236</v>
      </c>
      <c r="L39" s="8">
        <f>L38+K39*Parameters!B$65</f>
        <v>4601.1251626475969</v>
      </c>
      <c r="M39" s="7">
        <f>M38+Parameters!$B$45*K39</f>
        <v>2.7606750975885577</v>
      </c>
      <c r="N39" s="7">
        <f>'6states'!O39</f>
        <v>0.96767627504315201</v>
      </c>
      <c r="O39" s="7">
        <f>MAX(O38+(Parameters!B$31-K39)*Parameters!B$65,30)</f>
        <v>30</v>
      </c>
      <c r="P39" s="7">
        <f>Parameters!B$61*EXP(-Parameters!B$60*A39)+(1-Parameters!B$61)*(O39/Parameters!B$62)^-Parameters!B$63</f>
        <v>0.72054467502533914</v>
      </c>
      <c r="Q39" s="9">
        <f>1-P39/Parameters!$B$12</f>
        <v>0.63972766248733048</v>
      </c>
      <c r="R39" s="23">
        <f t="shared" si="0"/>
        <v>2.7756779965512437</v>
      </c>
      <c r="S39" s="7">
        <f>(Parameters!$B$19*(E39+Parameters!$B$20)^Q39+Parameters!$B$18*F39^Q39)^(1/Q39)</f>
        <v>0.53736072160260784</v>
      </c>
      <c r="T39" s="7">
        <f>(Parameters!$B$10*G39^Parameters!$B$9 + Parameters!$B$11*S39^Parameters!$B$9) ^ (Parameters!$B$7/Parameters!$B$9) * N39</f>
        <v>1.4852168395793652</v>
      </c>
      <c r="U39" s="7">
        <f t="shared" si="1"/>
        <v>1.1327165780924919</v>
      </c>
      <c r="V39" s="7">
        <f>EXP(-Parameters!$B$55*A39)</f>
        <v>0.58948853964467807</v>
      </c>
      <c r="W39" s="7">
        <f>IF(U39&gt;0,U39^(1-Parameters!$B$52)/(1-Parameters!$B$52)*V39,-10+U39*1000)</f>
        <v>-1.6123706426217359</v>
      </c>
      <c r="X39" s="7"/>
      <c r="Y39" s="9">
        <f t="shared" si="22"/>
        <v>5.4661095275265879E-2</v>
      </c>
      <c r="Z39" s="9">
        <f t="shared" si="23"/>
        <v>4.289084324901422E-3</v>
      </c>
      <c r="AA39" s="7">
        <f t="shared" si="24"/>
        <v>0.29355008188670573</v>
      </c>
      <c r="AB39" s="13">
        <f t="shared" si="5"/>
        <v>0.23733925720011778</v>
      </c>
    </row>
    <row r="40" spans="1:28" x14ac:dyDescent="0.25">
      <c r="A40">
        <f>A39+Parameters!$B$65</f>
        <v>36</v>
      </c>
      <c r="B40" s="46">
        <f t="shared" si="19"/>
        <v>5.4661095275265872E-2</v>
      </c>
      <c r="C40" s="46">
        <f t="shared" si="20"/>
        <v>4.289084324901422E-3</v>
      </c>
      <c r="D40" s="46">
        <f t="shared" si="21"/>
        <v>0.29355008188670573</v>
      </c>
      <c r="E40" s="7">
        <f>MAX((1-Parameters!$B$4)^Parameters!B$65*E39+B39*Parameters!B$65-Parameters!$B$5*B39^2/E39*Parameters!B$65,0.0001)</f>
        <v>0.80246638551082572</v>
      </c>
      <c r="F40" s="9">
        <f>(1-Parameters!$B$4)^Parameters!B$65*F39+C39*Parameters!B$65-Parameters!$B$5*C39^2/F39*Parameters!B$65</f>
        <v>8.3774666680177426E-2</v>
      </c>
      <c r="G40" s="7">
        <f>(1-Parameters!$B$4)^Parameters!B$65*G39+D39*Parameters!B$65-Parameters!$B$5*D39^2/G39*Parameters!B$65</f>
        <v>4.3688559356929444</v>
      </c>
      <c r="H40" s="7">
        <f>H39 *(1-Parameters!$B$4)-B39*(B39&lt;0)*Parameters!B$65</f>
        <v>0</v>
      </c>
      <c r="I40" s="7">
        <f>I39*(1+Parameters!$B$51)^Parameters!B$65</f>
        <v>9.0565937267296572</v>
      </c>
      <c r="J40" s="7">
        <f>J39*(1+Parameters!$B$53)^Parameters!B$65</f>
        <v>18.406976342075588</v>
      </c>
      <c r="K40" s="23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80.626795429546121</v>
      </c>
      <c r="L40" s="8">
        <f>L39+K40*Parameters!B$65</f>
        <v>4681.7519580771432</v>
      </c>
      <c r="M40" s="7">
        <f>M39+Parameters!$B$45*K40</f>
        <v>2.8090511748462852</v>
      </c>
      <c r="N40" s="7">
        <f>'6states'!O40</f>
        <v>0.96750200297599998</v>
      </c>
      <c r="O40" s="7">
        <f>MAX(O39+(Parameters!B$31-K40)*Parameters!B$65,30)</f>
        <v>30</v>
      </c>
      <c r="P40" s="7">
        <f>Parameters!B$61*EXP(-Parameters!B$60*A40)+(1-Parameters!B$61)*(O40/Parameters!B$62)^-Parameters!B$63</f>
        <v>0.71536770441850106</v>
      </c>
      <c r="Q40" s="9">
        <f>1-P40/Parameters!$B$12</f>
        <v>0.64231614779074953</v>
      </c>
      <c r="R40" s="23">
        <f t="shared" si="0"/>
        <v>2.7957650137781025</v>
      </c>
      <c r="S40" s="7">
        <f>(Parameters!$B$19*(E40+Parameters!$B$20)^Q40+Parameters!$B$18*F40^Q40)^(1/Q40)</f>
        <v>0.53734230595630605</v>
      </c>
      <c r="T40" s="7">
        <f>(Parameters!$B$10*G40^Parameters!$B$9 + Parameters!$B$11*S40^Parameters!$B$9) ^ (Parameters!$B$7/Parameters!$B$9) * N40</f>
        <v>1.4848591686709793</v>
      </c>
      <c r="U40" s="7">
        <f t="shared" si="1"/>
        <v>1.132358907184106</v>
      </c>
      <c r="V40" s="7">
        <f>EXP(-Parameters!$B$55*A40)</f>
        <v>0.58065413034674362</v>
      </c>
      <c r="W40" s="7">
        <f>IF(U40&gt;0,U40^(1-Parameters!$B$52)/(1-Parameters!$B$52)*V40,-10+U40*1000)</f>
        <v>-1.5883823042943999</v>
      </c>
      <c r="X40" s="7"/>
      <c r="Y40" s="9">
        <f t="shared" si="22"/>
        <v>5.4661095275265879E-2</v>
      </c>
      <c r="Z40" s="9">
        <f t="shared" si="23"/>
        <v>4.289084324901422E-3</v>
      </c>
      <c r="AA40" s="7">
        <f t="shared" si="24"/>
        <v>0.29355008188670573</v>
      </c>
      <c r="AB40" s="13">
        <f t="shared" si="5"/>
        <v>0.2373964271658017</v>
      </c>
    </row>
    <row r="41" spans="1:28" x14ac:dyDescent="0.25">
      <c r="A41">
        <f>A40+Parameters!$B$65</f>
        <v>37</v>
      </c>
      <c r="B41" s="46">
        <f t="shared" si="19"/>
        <v>5.4661095275265872E-2</v>
      </c>
      <c r="C41" s="46">
        <f t="shared" si="20"/>
        <v>4.289084324901422E-3</v>
      </c>
      <c r="D41" s="46">
        <f t="shared" si="21"/>
        <v>0.29355008188670573</v>
      </c>
      <c r="E41" s="7">
        <f>MAX((1-Parameters!$B$4)^Parameters!B$65*E40+B40*Parameters!B$65-Parameters!$B$5*B40^2/E40*Parameters!B$65,0.0001)</f>
        <v>0.80292902988009973</v>
      </c>
      <c r="F41" s="9">
        <f>(1-Parameters!$B$4)^Parameters!B$65*F40+C40*Parameters!B$65-Parameters!$B$5*C40^2/F40*Parameters!B$65</f>
        <v>8.2574732497867079E-2</v>
      </c>
      <c r="G41" s="7">
        <f>(1-Parameters!$B$4)^Parameters!B$65*G40+D40*Parameters!B$65-Parameters!$B$5*D40^2/G40*Parameters!B$65</f>
        <v>4.3678809022936491</v>
      </c>
      <c r="H41" s="7">
        <f>H40 *(1-Parameters!$B$4)-B40*(B40&lt;0)*Parameters!B$65</f>
        <v>0</v>
      </c>
      <c r="I41" s="7">
        <f>I40*(1+Parameters!$B$51)^Parameters!B$65</f>
        <v>9.0828578485371718</v>
      </c>
      <c r="J41" s="7">
        <f>J40*(1+Parameters!$B$53)^Parameters!B$65</f>
        <v>18.775115868917101</v>
      </c>
      <c r="K41" s="23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81.584965773699281</v>
      </c>
      <c r="L41" s="8">
        <f>L40+K41*Parameters!B$65</f>
        <v>4763.3369238508421</v>
      </c>
      <c r="M41" s="7">
        <f>M40+Parameters!$B$45*K41</f>
        <v>2.8580021543105047</v>
      </c>
      <c r="N41" s="7">
        <f>'6states'!O41</f>
        <v>0.96733344571874846</v>
      </c>
      <c r="O41" s="7">
        <f>MAX(O40+(Parameters!B$31-K41)*Parameters!B$65,30)</f>
        <v>30</v>
      </c>
      <c r="P41" s="7">
        <f>Parameters!B$61*EXP(-Parameters!B$60*A41)+(1-Parameters!B$61)*(O41/Parameters!B$62)^-Parameters!B$63</f>
        <v>0.71032864188129408</v>
      </c>
      <c r="Q41" s="9">
        <f>1-P41/Parameters!$B$12</f>
        <v>0.64483567905935302</v>
      </c>
      <c r="R41" s="23">
        <f t="shared" si="0"/>
        <v>2.8155981359600428</v>
      </c>
      <c r="S41" s="7">
        <f>(Parameters!$B$19*(E41+Parameters!$B$20)^Q41+Parameters!$B$18*F41^Q41)^(1/Q41)</f>
        <v>0.53734315164093205</v>
      </c>
      <c r="T41" s="7">
        <f>(Parameters!$B$10*G41^Parameters!$B$9 + Parameters!$B$11*S41^Parameters!$B$9) ^ (Parameters!$B$7/Parameters!$B$9) * N41</f>
        <v>1.4845181063000235</v>
      </c>
      <c r="U41" s="7">
        <f t="shared" si="1"/>
        <v>1.1320178448131504</v>
      </c>
      <c r="V41" s="7">
        <f>EXP(-Parameters!$B$55*A41)</f>
        <v>0.571952118512703</v>
      </c>
      <c r="W41" s="7">
        <f>IF(U41&gt;0,U41^(1-Parameters!$B$52)/(1-Parameters!$B$52)*V41,-10+U41*1000)</f>
        <v>-1.5647428763461926</v>
      </c>
      <c r="X41" s="7"/>
      <c r="Y41" s="9">
        <f t="shared" si="22"/>
        <v>5.4661095275265879E-2</v>
      </c>
      <c r="Z41" s="9">
        <f t="shared" si="23"/>
        <v>4.289084324901422E-3</v>
      </c>
      <c r="AA41" s="7">
        <f t="shared" si="24"/>
        <v>0.29355008188670573</v>
      </c>
      <c r="AB41" s="13">
        <f t="shared" si="5"/>
        <v>0.23745096808919094</v>
      </c>
    </row>
    <row r="42" spans="1:28" x14ac:dyDescent="0.25">
      <c r="A42">
        <f>A41+Parameters!$B$65</f>
        <v>38</v>
      </c>
      <c r="B42" s="46">
        <f t="shared" si="19"/>
        <v>5.4661095275265872E-2</v>
      </c>
      <c r="C42" s="46">
        <f t="shared" si="20"/>
        <v>4.289084324901422E-3</v>
      </c>
      <c r="D42" s="46">
        <f t="shared" si="21"/>
        <v>0.29355008188670573</v>
      </c>
      <c r="E42" s="7">
        <f>MAX((1-Parameters!$B$4)^Parameters!B$65*E41+B41*Parameters!B$65-Parameters!$B$5*B41^2/E41*Parameters!B$65,0.0001)</f>
        <v>0.80336471927732012</v>
      </c>
      <c r="F42" s="9">
        <f>(1-Parameters!$B$4)^Parameters!B$65*F41+C41*Parameters!B$65-Parameters!$B$5*C41^2/F41*Parameters!B$65</f>
        <v>8.1447083176311941E-2</v>
      </c>
      <c r="G42" s="7">
        <f>(1-Parameters!$B$4)^Parameters!B$65*G41+D41*Parameters!B$65-Parameters!$B$5*D41^2/G41*Parameters!B$65</f>
        <v>4.3669627955285577</v>
      </c>
      <c r="H42" s="7">
        <f>H41 *(1-Parameters!$B$4)-B41*(B41&lt;0)*Parameters!B$65</f>
        <v>0</v>
      </c>
      <c r="I42" s="7">
        <f>I41*(1+Parameters!$B$51)^Parameters!B$65</f>
        <v>9.1091981362979286</v>
      </c>
      <c r="J42" s="7">
        <f>J41*(1+Parameters!$B$53)^Parameters!B$65</f>
        <v>19.150618186295443</v>
      </c>
      <c r="K42" s="23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82.554611993135495</v>
      </c>
      <c r="L42" s="8">
        <f>L41+K42*Parameters!B$65</f>
        <v>4845.8915358439772</v>
      </c>
      <c r="M42" s="7">
        <f>M41+Parameters!$B$45*K42</f>
        <v>2.9075349215063859</v>
      </c>
      <c r="N42" s="7">
        <f>'6states'!O42</f>
        <v>0.96717029749878936</v>
      </c>
      <c r="O42" s="7">
        <f>MAX(O41+(Parameters!B$31-K42)*Parameters!B$65,30)</f>
        <v>30</v>
      </c>
      <c r="P42" s="7">
        <f>Parameters!B$61*EXP(-Parameters!B$60*A42)+(1-Parameters!B$61)*(O42/Parameters!B$62)^-Parameters!B$63</f>
        <v>0.70542381371395957</v>
      </c>
      <c r="Q42" s="9">
        <f>1-P42/Parameters!$B$12</f>
        <v>0.64728809314302027</v>
      </c>
      <c r="R42" s="23">
        <f t="shared" si="0"/>
        <v>2.8351750552200312</v>
      </c>
      <c r="S42" s="7">
        <f>(Parameters!$B$19*(E42+Parameters!$B$20)^Q42+Parameters!$B$18*F42^Q42)^(1/Q42)</f>
        <v>0.53736158315657234</v>
      </c>
      <c r="T42" s="7">
        <f>(Parameters!$B$10*G42^Parameters!$B$9 + Parameters!$B$11*S42^Parameters!$B$9) ^ (Parameters!$B$7/Parameters!$B$9) * N42</f>
        <v>1.484192641180869</v>
      </c>
      <c r="U42" s="7">
        <f t="shared" si="1"/>
        <v>1.1316923796939959</v>
      </c>
      <c r="V42" s="7">
        <f>EXP(-Parameters!$B$55*A42)</f>
        <v>0.56338051995913718</v>
      </c>
      <c r="W42" s="7">
        <f>IF(U42&gt;0,U42^(1-Parameters!$B$52)/(1-Parameters!$B$52)*V42,-10+U42*1000)</f>
        <v>-1.54144788036506</v>
      </c>
      <c r="X42" s="7"/>
      <c r="Y42" s="9">
        <f t="shared" si="22"/>
        <v>5.4661095275265879E-2</v>
      </c>
      <c r="Z42" s="9">
        <f t="shared" si="23"/>
        <v>4.289084324901422E-3</v>
      </c>
      <c r="AA42" s="7">
        <f t="shared" si="24"/>
        <v>0.29355008188670573</v>
      </c>
      <c r="AB42" s="13">
        <f t="shared" si="5"/>
        <v>0.23750303815440901</v>
      </c>
    </row>
    <row r="43" spans="1:28" x14ac:dyDescent="0.25">
      <c r="A43">
        <f>A42+Parameters!$B$65</f>
        <v>39</v>
      </c>
      <c r="B43" s="46">
        <f t="shared" si="19"/>
        <v>5.4661095275265872E-2</v>
      </c>
      <c r="C43" s="46">
        <f t="shared" si="20"/>
        <v>4.289084324901422E-3</v>
      </c>
      <c r="D43" s="46">
        <f t="shared" si="21"/>
        <v>0.29355008188670573</v>
      </c>
      <c r="E43" s="7">
        <f>MAX((1-Parameters!$B$4)^Parameters!B$65*E42+B42*Parameters!B$65-Parameters!$B$5*B42^2/E42*Parameters!B$65,0.0001)</f>
        <v>0.80377502191634742</v>
      </c>
      <c r="F43" s="9">
        <f>(1-Parameters!$B$4)^Parameters!B$65*F42+C42*Parameters!B$65-Parameters!$B$5*C42^2/F42*Parameters!B$65</f>
        <v>8.0387278527291717E-2</v>
      </c>
      <c r="G43" s="7">
        <f>(1-Parameters!$B$4)^Parameters!B$65*G42+D42*Parameters!B$65-Parameters!$B$5*D42^2/G42*Parameters!B$65</f>
        <v>4.3660982899791572</v>
      </c>
      <c r="H43" s="7">
        <f>H42 *(1-Parameters!$B$4)-B42*(B42&lt;0)*Parameters!B$65</f>
        <v>0</v>
      </c>
      <c r="I43" s="7">
        <f>I42*(1+Parameters!$B$51)^Parameters!B$65</f>
        <v>9.1356148108931912</v>
      </c>
      <c r="J43" s="7">
        <f>J42*(1+Parameters!$B$53)^Parameters!B$65</f>
        <v>19.533630550021353</v>
      </c>
      <c r="K43" s="23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83.535983341696593</v>
      </c>
      <c r="L43" s="8">
        <f>L42+K43*Parameters!B$65</f>
        <v>4929.4275191856741</v>
      </c>
      <c r="M43" s="7">
        <f>M42+Parameters!$B$45*K43</f>
        <v>2.957656511511404</v>
      </c>
      <c r="N43" s="7">
        <f>'6states'!O43</f>
        <v>0.96701238630743391</v>
      </c>
      <c r="O43" s="7">
        <f>MAX(O42+(Parameters!B$31-K43)*Parameters!B$65,30)</f>
        <v>30</v>
      </c>
      <c r="P43" s="7">
        <f>Parameters!B$61*EXP(-Parameters!B$60*A43)+(1-Parameters!B$61)*(O43/Parameters!B$62)^-Parameters!B$63</f>
        <v>0.70064964407953934</v>
      </c>
      <c r="Q43" s="9">
        <f>1-P43/Parameters!$B$12</f>
        <v>0.64967517796023033</v>
      </c>
      <c r="R43" s="23">
        <f t="shared" si="0"/>
        <v>2.8544937072328769</v>
      </c>
      <c r="S43" s="7">
        <f>(Parameters!$B$19*(E43+Parameters!$B$20)^Q43+Parameters!$B$18*F43^Q43)^(1/Q43)</f>
        <v>0.53739603264302704</v>
      </c>
      <c r="T43" s="7">
        <f>(Parameters!$B$10*G43^Parameters!$B$9 + Parameters!$B$11*S43^Parameters!$B$9) ^ (Parameters!$B$7/Parameters!$B$9) * N43</f>
        <v>1.4838820004327895</v>
      </c>
      <c r="U43" s="7">
        <f t="shared" si="1"/>
        <v>1.1313817389459162</v>
      </c>
      <c r="V43" s="7">
        <f>EXP(-Parameters!$B$55*A43)</f>
        <v>0.5549373802387243</v>
      </c>
      <c r="W43" s="7">
        <f>IF(U43&gt;0,U43^(1-Parameters!$B$52)/(1-Parameters!$B$52)*V43,-10+U43*1000)</f>
        <v>-1.5184927670160535</v>
      </c>
      <c r="X43" s="7"/>
      <c r="Y43" s="9">
        <f t="shared" si="22"/>
        <v>5.4704963835089028E-2</v>
      </c>
      <c r="Z43" s="9">
        <f t="shared" si="23"/>
        <v>4.130394685783011E-3</v>
      </c>
      <c r="AA43" s="7">
        <f t="shared" si="24"/>
        <v>0.29342262167175059</v>
      </c>
      <c r="AB43" s="13">
        <f t="shared" si="5"/>
        <v>0.23755275782310364</v>
      </c>
    </row>
    <row r="44" spans="1:28" x14ac:dyDescent="0.25">
      <c r="A44">
        <f>A43+Parameters!$B$65</f>
        <v>40</v>
      </c>
      <c r="B44" s="19">
        <v>5.4792700954735339E-2</v>
      </c>
      <c r="C44" s="45">
        <v>3.8130154075461885E-3</v>
      </c>
      <c r="D44" s="18">
        <v>0.29316770124184033</v>
      </c>
      <c r="E44" s="7">
        <f>MAX((1-Parameters!$B$4)^Parameters!B$65*E43+B43*Parameters!B$65-Parameters!$B$5*B43^2/E43*Parameters!B$65,0.0001)</f>
        <v>0.80416141503296179</v>
      </c>
      <c r="F44" s="9">
        <f>(1-Parameters!$B$4)^Parameters!B$65*F43+C43*Parameters!B$65-Parameters!$B$5*C43^2/F43*Parameters!B$65</f>
        <v>7.939115781399167E-2</v>
      </c>
      <c r="G44" s="7">
        <f>(1-Parameters!$B$4)^Parameters!B$65*G43+D43*Parameters!B$65-Parameters!$B$5*D43^2/G43*Parameters!B$65</f>
        <v>4.3652842546868005</v>
      </c>
      <c r="H44" s="7">
        <f>H43 *(1-Parameters!$B$4)-B43*(B43&lt;0)*Parameters!B$65</f>
        <v>0</v>
      </c>
      <c r="I44" s="7">
        <f>I43*(1+Parameters!$B$51)^Parameters!B$65</f>
        <v>9.1621080938447808</v>
      </c>
      <c r="J44" s="7">
        <f>J43*(1+Parameters!$B$53)^Parameters!B$65</f>
        <v>19.924303161021779</v>
      </c>
      <c r="K44" s="23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84.529326774815814</v>
      </c>
      <c r="L44" s="8">
        <f>L43+K44*Parameters!B$65</f>
        <v>5013.9568459604898</v>
      </c>
      <c r="M44" s="7">
        <f>M43+Parameters!$B$45*K44</f>
        <v>3.0083741075762935</v>
      </c>
      <c r="N44" s="7">
        <f>'6states'!O44</f>
        <v>0.96685942718552043</v>
      </c>
      <c r="O44" s="7">
        <f>MAX(O43+(Parameters!B$31-K44)*Parameters!B$65,30)</f>
        <v>30</v>
      </c>
      <c r="P44" s="7">
        <f>Parameters!B$61*EXP(-Parameters!B$60*A44)+(1-Parameters!B$61)*(O44/Parameters!B$62)^-Parameters!B$63</f>
        <v>0.69600265239693226</v>
      </c>
      <c r="Q44" s="9">
        <f>1-P44/Parameters!$B$12</f>
        <v>0.65199867380153387</v>
      </c>
      <c r="R44" s="23">
        <f t="shared" si="0"/>
        <v>2.8735522675269842</v>
      </c>
      <c r="S44" s="7">
        <f>(Parameters!$B$19*(E44+Parameters!$B$20)^Q44+Parameters!$B$18*F44^Q44)^(1/Q44)</f>
        <v>0.53744503486874839</v>
      </c>
      <c r="T44" s="7">
        <f>(Parameters!$B$10*G44^Parameters!$B$9 + Parameters!$B$11*S44^Parameters!$B$9) ^ (Parameters!$B$7/Parameters!$B$9) * N44</f>
        <v>1.4835852693068263</v>
      </c>
      <c r="U44" s="7">
        <f t="shared" si="1"/>
        <v>1.1318118517027045</v>
      </c>
      <c r="V44" s="7">
        <f>EXP(-Parameters!$B$55*A44)</f>
        <v>0.54662077419459754</v>
      </c>
      <c r="W44" s="7">
        <f>IF(U44&gt;0,U44^(1-Parameters!$B$52)/(1-Parameters!$B$52)*V44,-10+U44*1000)</f>
        <v>-1.4955368052800038</v>
      </c>
      <c r="X44" s="7"/>
      <c r="Y44" s="9">
        <f t="shared" si="22"/>
        <v>5.4748832394912184E-2</v>
      </c>
      <c r="Z44" s="9">
        <f t="shared" si="23"/>
        <v>3.9717050466646E-3</v>
      </c>
      <c r="AA44" s="7">
        <f t="shared" si="24"/>
        <v>0.29329516145679546</v>
      </c>
      <c r="AB44" s="13">
        <f t="shared" si="5"/>
        <v>0.23711034672680492</v>
      </c>
    </row>
    <row r="45" spans="1:28" x14ac:dyDescent="0.25">
      <c r="A45">
        <f>A44+Parameters!$B$65</f>
        <v>41</v>
      </c>
      <c r="B45" s="46">
        <f>B44</f>
        <v>5.4792700954735339E-2</v>
      </c>
      <c r="C45" s="46">
        <f t="shared" ref="C45:C53" si="25">C44</f>
        <v>3.8130154075461885E-3</v>
      </c>
      <c r="D45" s="46">
        <f t="shared" ref="D45:D53" si="26">D44</f>
        <v>0.29316770124184033</v>
      </c>
      <c r="E45" s="7">
        <f>MAX((1-Parameters!$B$4)^Parameters!B$65*E44+B44*Parameters!B$65-Parameters!$B$5*B44^2/E44*Parameters!B$65,0.0001)</f>
        <v>0.80463898306387449</v>
      </c>
      <c r="F45" s="9">
        <f>(1-Parameters!$B$4)^Parameters!B$65*F44+C44*Parameters!B$65-Parameters!$B$5*C44^2/F44*Parameters!B$65</f>
        <v>7.8027337080325249E-2</v>
      </c>
      <c r="G45" s="7">
        <f>(1-Parameters!$B$4)^Parameters!B$65*G44+D44*Parameters!B$65-Parameters!$B$5*D44^2/G44*Parameters!B$65</f>
        <v>4.3641867551377693</v>
      </c>
      <c r="H45" s="7">
        <f>H44 *(1-Parameters!$B$4)-B44*(B44&lt;0)*Parameters!B$65</f>
        <v>0</v>
      </c>
      <c r="I45" s="7">
        <f>I44*(1+Parameters!$B$51)^Parameters!B$65</f>
        <v>9.1886782073169293</v>
      </c>
      <c r="J45" s="7">
        <f>J44*(1+Parameters!$B$53)^Parameters!B$65</f>
        <v>20.322789224242214</v>
      </c>
      <c r="K45" s="23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85.546974722034065</v>
      </c>
      <c r="L45" s="8">
        <f>L44+K45*Parameters!B$65</f>
        <v>5099.5038206825238</v>
      </c>
      <c r="M45" s="7">
        <f>M44+Parameters!$B$45*K45</f>
        <v>3.0597022924095141</v>
      </c>
      <c r="N45" s="7">
        <f>'6states'!O45</f>
        <v>0.96671150423751473</v>
      </c>
      <c r="O45" s="7">
        <f>MAX(O44+(Parameters!B$31-K45)*Parameters!B$65,30)</f>
        <v>30</v>
      </c>
      <c r="P45" s="7">
        <f>Parameters!B$61*EXP(-Parameters!B$60*A45)+(1-Parameters!B$61)*(O45/Parameters!B$62)^-Parameters!B$63</f>
        <v>0.69147945080339657</v>
      </c>
      <c r="Q45" s="9">
        <f>1-P45/Parameters!$B$12</f>
        <v>0.65426027459830172</v>
      </c>
      <c r="R45" s="23">
        <f t="shared" si="0"/>
        <v>2.8923491474349623</v>
      </c>
      <c r="S45" s="7">
        <f>(Parameters!$B$19*(E45+Parameters!$B$20)^Q45+Parameters!$B$18*F45^Q45)^(1/Q45)</f>
        <v>0.53732290157855722</v>
      </c>
      <c r="T45" s="7">
        <f>(Parameters!$B$10*G45^Parameters!$B$9 + Parameters!$B$11*S45^Parameters!$B$9) ^ (Parameters!$B$7/Parameters!$B$9) * N45</f>
        <v>1.4832482241845557</v>
      </c>
      <c r="U45" s="7">
        <f t="shared" si="1"/>
        <v>1.1314748065804339</v>
      </c>
      <c r="V45" s="7">
        <f>EXP(-Parameters!$B$55*A45)</f>
        <v>0.53842880552138184</v>
      </c>
      <c r="W45" s="7">
        <f>IF(U45&gt;0,U45^(1-Parameters!$B$52)/(1-Parameters!$B$52)*V45,-10+U45*1000)</f>
        <v>-1.4732774139673048</v>
      </c>
      <c r="X45" s="7"/>
      <c r="Y45" s="9">
        <f t="shared" si="22"/>
        <v>5.4792700954735339E-2</v>
      </c>
      <c r="Z45" s="9">
        <f t="shared" si="23"/>
        <v>3.8130154075461885E-3</v>
      </c>
      <c r="AA45" s="7">
        <f t="shared" si="24"/>
        <v>0.29316770124184033</v>
      </c>
      <c r="AB45" s="13">
        <f t="shared" si="5"/>
        <v>0.23716422637048229</v>
      </c>
    </row>
    <row r="46" spans="1:28" x14ac:dyDescent="0.25">
      <c r="A46">
        <f>A45+Parameters!$B$65</f>
        <v>42</v>
      </c>
      <c r="B46" s="46">
        <f t="shared" ref="B46:B53" si="27">B45</f>
        <v>5.4792700954735339E-2</v>
      </c>
      <c r="C46" s="46">
        <f t="shared" si="25"/>
        <v>3.8130154075461885E-3</v>
      </c>
      <c r="D46" s="46">
        <f t="shared" si="26"/>
        <v>0.29316770124184033</v>
      </c>
      <c r="E46" s="7">
        <f>MAX((1-Parameters!$B$4)^Parameters!B$65*E45+B45*Parameters!B$65-Parameters!$B$5*B45^2/E45*Parameters!B$65,0.0001)</f>
        <v>0.80508872789526786</v>
      </c>
      <c r="F46" s="9">
        <f>(1-Parameters!$B$4)^Parameters!B$65*F45+C45*Parameters!B$65-Parameters!$B$5*C45^2/F45*Parameters!B$65</f>
        <v>7.6746099745885074E-2</v>
      </c>
      <c r="G46" s="7">
        <f>(1-Parameters!$B$4)^Parameters!B$65*G45+D45*Parameters!B$65-Parameters!$B$5*D45^2/G45*Parameters!B$65</f>
        <v>4.3631533369933067</v>
      </c>
      <c r="H46" s="7">
        <f>H45 *(1-Parameters!$B$4)-B45*(B45&lt;0)*Parameters!B$65</f>
        <v>0</v>
      </c>
      <c r="I46" s="7">
        <f>I45*(1+Parameters!$B$51)^Parameters!B$65</f>
        <v>9.215325374118148</v>
      </c>
      <c r="J46" s="7">
        <f>J45*(1+Parameters!$B$53)^Parameters!B$65</f>
        <v>20.729245008727059</v>
      </c>
      <c r="K46" s="23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86.576648643974792</v>
      </c>
      <c r="L46" s="8">
        <f>L45+K46*Parameters!B$65</f>
        <v>5186.080469326499</v>
      </c>
      <c r="M46" s="7">
        <f>M45+Parameters!$B$45*K46</f>
        <v>3.1116482815958988</v>
      </c>
      <c r="N46" s="7">
        <f>'6states'!O46</f>
        <v>0.96656834473941056</v>
      </c>
      <c r="O46" s="7">
        <f>MAX(O45+(Parameters!B$31-K46)*Parameters!B$65,30)</f>
        <v>30</v>
      </c>
      <c r="P46" s="7">
        <f>Parameters!B$61*EXP(-Parameters!B$60*A46)+(1-Parameters!B$61)*(O46/Parameters!B$62)^-Parameters!B$63</f>
        <v>0.68707674168464772</v>
      </c>
      <c r="Q46" s="9">
        <f>1-P46/Parameters!$B$12</f>
        <v>0.65646162915767614</v>
      </c>
      <c r="R46" s="23">
        <f t="shared" si="0"/>
        <v>2.9108829897169675</v>
      </c>
      <c r="S46" s="7">
        <f>(Parameters!$B$19*(E46+Parameters!$B$20)^Q46+Parameters!$B$18*F46^Q46)^(1/Q46)</f>
        <v>0.53722417630467756</v>
      </c>
      <c r="T46" s="7">
        <f>(Parameters!$B$10*G46^Parameters!$B$9 + Parameters!$B$11*S46^Parameters!$B$9) ^ (Parameters!$B$7/Parameters!$B$9) * N46</f>
        <v>1.4829272154689577</v>
      </c>
      <c r="U46" s="7">
        <f t="shared" si="1"/>
        <v>1.1311537978648358</v>
      </c>
      <c r="V46" s="7">
        <f>EXP(-Parameters!$B$55*A46)</f>
        <v>0.53035960633280899</v>
      </c>
      <c r="W46" s="7">
        <f>IF(U46&gt;0,U46^(1-Parameters!$B$52)/(1-Parameters!$B$52)*V46,-10+U46*1000)</f>
        <v>-1.4513421722783533</v>
      </c>
      <c r="X46" s="7"/>
      <c r="Y46" s="9">
        <f t="shared" si="22"/>
        <v>5.4792700954735339E-2</v>
      </c>
      <c r="Z46" s="9">
        <f t="shared" si="23"/>
        <v>3.8130154075461885E-3</v>
      </c>
      <c r="AA46" s="7">
        <f t="shared" si="24"/>
        <v>0.29316770124184033</v>
      </c>
      <c r="AB46" s="13">
        <f t="shared" si="5"/>
        <v>0.23721556522440501</v>
      </c>
    </row>
    <row r="47" spans="1:28" x14ac:dyDescent="0.25">
      <c r="A47">
        <f>A46+Parameters!$B$65</f>
        <v>43</v>
      </c>
      <c r="B47" s="46">
        <f t="shared" si="27"/>
        <v>5.4792700954735339E-2</v>
      </c>
      <c r="C47" s="46">
        <f t="shared" si="25"/>
        <v>3.8130154075461885E-3</v>
      </c>
      <c r="D47" s="46">
        <f t="shared" si="26"/>
        <v>0.29316770124184033</v>
      </c>
      <c r="E47" s="7">
        <f>MAX((1-Parameters!$B$4)^Parameters!B$65*E46+B46*Parameters!B$65-Parameters!$B$5*B46^2/E46*Parameters!B$65,0.0001)</f>
        <v>0.80551226810822696</v>
      </c>
      <c r="F47" s="9">
        <f>(1-Parameters!$B$4)^Parameters!B$65*F46+C46*Parameters!B$65-Parameters!$B$5*C46^2/F46*Parameters!B$65</f>
        <v>7.5542341500550697E-2</v>
      </c>
      <c r="G47" s="7">
        <f>(1-Parameters!$B$4)^Parameters!B$65*G46+D46*Parameters!B$65-Parameters!$B$5*D46^2/G46*Parameters!B$65</f>
        <v>4.3621802563563001</v>
      </c>
      <c r="H47" s="7">
        <f>H46 *(1-Parameters!$B$4)-B46*(B46&lt;0)*Parameters!B$65</f>
        <v>0</v>
      </c>
      <c r="I47" s="7">
        <f>I46*(1+Parameters!$B$51)^Parameters!B$65</f>
        <v>9.242049817703089</v>
      </c>
      <c r="J47" s="7">
        <f>J46*(1+Parameters!$B$53)^Parameters!B$65</f>
        <v>21.143829908901601</v>
      </c>
      <c r="K47" s="23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87.618613257520224</v>
      </c>
      <c r="L47" s="8">
        <f>L46+K47*Parameters!B$65</f>
        <v>5273.6990825840194</v>
      </c>
      <c r="M47" s="7">
        <f>M46+Parameters!$B$45*K47</f>
        <v>3.1642194495504108</v>
      </c>
      <c r="N47" s="7">
        <f>'6states'!O47</f>
        <v>0.96642968743438773</v>
      </c>
      <c r="O47" s="7">
        <f>MAX(O46+(Parameters!B$31-K47)*Parameters!B$65,30)</f>
        <v>30</v>
      </c>
      <c r="P47" s="7">
        <f>Parameters!B$61*EXP(-Parameters!B$60*A47)+(1-Parameters!B$61)*(O47/Parameters!B$62)^-Parameters!B$63</f>
        <v>0.68279131527075188</v>
      </c>
      <c r="Q47" s="9">
        <f>1-P47/Parameters!$B$12</f>
        <v>0.65860434236462406</v>
      </c>
      <c r="R47" s="23">
        <f t="shared" si="0"/>
        <v>2.929152663880803</v>
      </c>
      <c r="S47" s="7">
        <f>(Parameters!$B$19*(E47+Parameters!$B$20)^Q47+Parameters!$B$18*F47^Q47)^(1/Q47)</f>
        <v>0.53714703973524192</v>
      </c>
      <c r="T47" s="7">
        <f>(Parameters!$B$10*G47^Parameters!$B$9 + Parameters!$B$11*S47^Parameters!$B$9) ^ (Parameters!$B$7/Parameters!$B$9) * N47</f>
        <v>1.4826212672423762</v>
      </c>
      <c r="U47" s="7">
        <f t="shared" si="1"/>
        <v>1.1308478496382544</v>
      </c>
      <c r="V47" s="7">
        <f>EXP(-Parameters!$B$55*A47)</f>
        <v>0.52241133673581286</v>
      </c>
      <c r="W47" s="7">
        <f>IF(U47&gt;0,U47^(1-Parameters!$B$52)/(1-Parameters!$B$52)*V47,-10+U47*1000)</f>
        <v>-1.4297268945779327</v>
      </c>
      <c r="X47" s="7"/>
      <c r="Y47" s="9">
        <f t="shared" si="22"/>
        <v>5.4792700954735339E-2</v>
      </c>
      <c r="Z47" s="9">
        <f t="shared" si="23"/>
        <v>3.8130154075461885E-3</v>
      </c>
      <c r="AA47" s="7">
        <f t="shared" si="24"/>
        <v>0.29316770124184033</v>
      </c>
      <c r="AB47" s="13">
        <f t="shared" si="5"/>
        <v>0.23726451614875868</v>
      </c>
    </row>
    <row r="48" spans="1:28" x14ac:dyDescent="0.25">
      <c r="A48">
        <f>A47+Parameters!$B$65</f>
        <v>44</v>
      </c>
      <c r="B48" s="46">
        <f t="shared" si="27"/>
        <v>5.4792700954735339E-2</v>
      </c>
      <c r="C48" s="46">
        <f t="shared" si="25"/>
        <v>3.8130154075461885E-3</v>
      </c>
      <c r="D48" s="46">
        <f t="shared" si="26"/>
        <v>0.29316770124184033</v>
      </c>
      <c r="E48" s="7">
        <f>MAX((1-Parameters!$B$4)^Parameters!B$65*E47+B47*Parameters!B$65-Parameters!$B$5*B47^2/E47*Parameters!B$65,0.0001)</f>
        <v>0.80591112840054913</v>
      </c>
      <c r="F48" s="9">
        <f>(1-Parameters!$B$4)^Parameters!B$65*F47+C47*Parameters!B$65-Parameters!$B$5*C47^2/F47*Parameters!B$65</f>
        <v>7.441128088153065E-2</v>
      </c>
      <c r="G48" s="7">
        <f>(1-Parameters!$B$4)^Parameters!B$65*G47+D47*Parameters!B$65-Parameters!$B$5*D47^2/G47*Parameters!B$65</f>
        <v>4.3612639883199886</v>
      </c>
      <c r="H48" s="7">
        <f>H47 *(1-Parameters!$B$4)-B47*(B47&lt;0)*Parameters!B$65</f>
        <v>0</v>
      </c>
      <c r="I48" s="7">
        <f>I47*(1+Parameters!$B$51)^Parameters!B$65</f>
        <v>9.2688517621744264</v>
      </c>
      <c r="J48" s="7">
        <f>J47*(1+Parameters!$B$53)^Parameters!B$65</f>
        <v>21.566706507079633</v>
      </c>
      <c r="K48" s="23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88.673130825116544</v>
      </c>
      <c r="L48" s="8">
        <f>L47+K48*Parameters!B$65</f>
        <v>5362.3722134091358</v>
      </c>
      <c r="M48" s="7">
        <f>M47+Parameters!$B$45*K48</f>
        <v>3.2174233280454807</v>
      </c>
      <c r="N48" s="7">
        <f>'6states'!O48</f>
        <v>0.96629566901407571</v>
      </c>
      <c r="O48" s="7">
        <f>MAX(O47+(Parameters!B$31-K48)*Parameters!B$65,30)</f>
        <v>30</v>
      </c>
      <c r="P48" s="7">
        <f>Parameters!B$61*EXP(-Parameters!B$60*A48)+(1-Parameters!B$61)*(O48/Parameters!B$62)^-Parameters!B$63</f>
        <v>0.67862004729606107</v>
      </c>
      <c r="Q48" s="9">
        <f>1-P48/Parameters!$B$12</f>
        <v>0.66068997635196947</v>
      </c>
      <c r="R48" s="23">
        <f t="shared" si="0"/>
        <v>2.9471572612228791</v>
      </c>
      <c r="S48" s="7">
        <f>(Parameters!$B$19*(E48+Parameters!$B$20)^Q48+Parameters!$B$18*F48^Q48)^(1/Q48)</f>
        <v>0.53708978166800625</v>
      </c>
      <c r="T48" s="7">
        <f>(Parameters!$B$10*G48^Parameters!$B$9 + Parameters!$B$11*S48^Parameters!$B$9) ^ (Parameters!$B$7/Parameters!$B$9) * N48</f>
        <v>1.4823300474700412</v>
      </c>
      <c r="U48" s="7">
        <f t="shared" si="1"/>
        <v>1.1305566298659193</v>
      </c>
      <c r="V48" s="7">
        <f>EXP(-Parameters!$B$55*A48)</f>
        <v>0.51458218441100756</v>
      </c>
      <c r="W48" s="7">
        <f>IF(U48&gt;0,U48^(1-Parameters!$B$52)/(1-Parameters!$B$52)*V48,-10+U48*1000)</f>
        <v>-1.4084271538126989</v>
      </c>
      <c r="X48" s="7"/>
      <c r="Y48" s="9">
        <f t="shared" si="22"/>
        <v>5.4792700954735339E-2</v>
      </c>
      <c r="Z48" s="9">
        <f t="shared" si="23"/>
        <v>3.8130154075461885E-3</v>
      </c>
      <c r="AA48" s="7">
        <f t="shared" si="24"/>
        <v>0.29316770124184033</v>
      </c>
      <c r="AB48" s="13">
        <f t="shared" si="5"/>
        <v>0.23731112932946966</v>
      </c>
    </row>
    <row r="49" spans="1:28" x14ac:dyDescent="0.25">
      <c r="A49">
        <f>A48+Parameters!$B$65</f>
        <v>45</v>
      </c>
      <c r="B49" s="46">
        <f t="shared" si="27"/>
        <v>5.4792700954735339E-2</v>
      </c>
      <c r="C49" s="46">
        <f t="shared" si="25"/>
        <v>3.8130154075461885E-3</v>
      </c>
      <c r="D49" s="46">
        <f t="shared" si="26"/>
        <v>0.29316770124184033</v>
      </c>
      <c r="E49" s="7">
        <f>MAX((1-Parameters!$B$4)^Parameters!B$65*E48+B48*Parameters!B$65-Parameters!$B$5*B48^2/E48*Parameters!B$65,0.0001)</f>
        <v>0.80628674500046871</v>
      </c>
      <c r="F49" s="9">
        <f>(1-Parameters!$B$4)^Parameters!B$65*F48+C48*Parameters!B$65-Parameters!$B$5*C48^2/F48*Parameters!B$65</f>
        <v>7.3348438518039766E-2</v>
      </c>
      <c r="G49" s="7">
        <f>(1-Parameters!$B$4)^Parameters!B$65*G48+D48*Parameters!B$65-Parameters!$B$5*D48^2/G48*Parameters!B$65</f>
        <v>4.3604012141298032</v>
      </c>
      <c r="H49" s="7">
        <f>H48 *(1-Parameters!$B$4)-B48*(B48&lt;0)*Parameters!B$65</f>
        <v>0</v>
      </c>
      <c r="I49" s="7">
        <f>I48*(1+Parameters!$B$51)^Parameters!B$65</f>
        <v>9.2957314322847306</v>
      </c>
      <c r="J49" s="7">
        <f>J48*(1+Parameters!$B$53)^Parameters!B$65</f>
        <v>21.998040637221226</v>
      </c>
      <c r="K49" s="23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89.740461425119321</v>
      </c>
      <c r="L49" s="8">
        <f>L48+K49*Parameters!B$65</f>
        <v>5452.1126748342549</v>
      </c>
      <c r="M49" s="7">
        <f>M48+Parameters!$B$45*K49</f>
        <v>3.2712676049005522</v>
      </c>
      <c r="N49" s="7">
        <f>'6states'!O49</f>
        <v>0.96616603781850241</v>
      </c>
      <c r="O49" s="7">
        <f>MAX(O48+(Parameters!B$31-K49)*Parameters!B$65,30)</f>
        <v>30</v>
      </c>
      <c r="P49" s="7">
        <f>Parameters!B$61*EXP(-Parameters!B$60*A49)+(1-Parameters!B$61)*(O49/Parameters!B$62)^-Parameters!B$63</f>
        <v>0.67455989672148531</v>
      </c>
      <c r="Q49" s="9">
        <f>1-P49/Parameters!$B$12</f>
        <v>0.66272005163925729</v>
      </c>
      <c r="R49" s="23">
        <f t="shared" si="0"/>
        <v>2.9648960896140655</v>
      </c>
      <c r="S49" s="7">
        <f>(Parameters!$B$19*(E49+Parameters!$B$20)^Q49+Parameters!$B$18*F49^Q49)^(1/Q49)</f>
        <v>0.53705079640576325</v>
      </c>
      <c r="T49" s="7">
        <f>(Parameters!$B$10*G49^Parameters!$B$9 + Parameters!$B$11*S49^Parameters!$B$9) ^ (Parameters!$B$7/Parameters!$B$9) * N49</f>
        <v>1.4820526601494988</v>
      </c>
      <c r="U49" s="7">
        <f t="shared" si="1"/>
        <v>1.1302792425453769</v>
      </c>
      <c r="V49" s="7">
        <f>EXP(-Parameters!$B$55*A49)</f>
        <v>0.50687036419945219</v>
      </c>
      <c r="W49" s="7">
        <f>IF(U49&gt;0,U49^(1-Parameters!$B$52)/(1-Parameters!$B$52)*V49,-10+U49*1000)</f>
        <v>-1.387438820976294</v>
      </c>
      <c r="X49" s="7"/>
      <c r="Y49" s="9">
        <f t="shared" si="22"/>
        <v>5.4792700954735339E-2</v>
      </c>
      <c r="Z49" s="9">
        <f t="shared" si="23"/>
        <v>3.8130154075461885E-3</v>
      </c>
      <c r="AA49" s="7">
        <f t="shared" si="24"/>
        <v>0.29316770124184033</v>
      </c>
      <c r="AB49" s="13">
        <f t="shared" si="5"/>
        <v>0.23735554549636412</v>
      </c>
    </row>
    <row r="50" spans="1:28" x14ac:dyDescent="0.25">
      <c r="A50">
        <f>A49+Parameters!$B$65</f>
        <v>46</v>
      </c>
      <c r="B50" s="46">
        <f t="shared" si="27"/>
        <v>5.4792700954735339E-2</v>
      </c>
      <c r="C50" s="46">
        <f t="shared" si="25"/>
        <v>3.8130154075461885E-3</v>
      </c>
      <c r="D50" s="46">
        <f t="shared" si="26"/>
        <v>0.29316770124184033</v>
      </c>
      <c r="E50" s="7">
        <f>MAX((1-Parameters!$B$4)^Parameters!B$65*E49+B49*Parameters!B$65-Parameters!$B$5*B49^2/E49*Parameters!B$65,0.0001)</f>
        <v>0.80664047077191414</v>
      </c>
      <c r="F50" s="9">
        <f>(1-Parameters!$B$4)^Parameters!B$65*F49+C49*Parameters!B$65-Parameters!$B$5*C49^2/F49*Parameters!B$65</f>
        <v>7.234961770157064E-2</v>
      </c>
      <c r="G50" s="7">
        <f>(1-Parameters!$B$4)^Parameters!B$65*G49+D49*Parameters!B$65-Parameters!$B$5*D49^2/G49*Parameters!B$65</f>
        <v>4.3595888091010648</v>
      </c>
      <c r="H50" s="7">
        <f>H49 *(1-Parameters!$B$4)-B49*(B49&lt;0)*Parameters!B$65</f>
        <v>0</v>
      </c>
      <c r="I50" s="7">
        <f>I49*(1+Parameters!$B$51)^Parameters!B$65</f>
        <v>9.3226890534383546</v>
      </c>
      <c r="J50" s="7">
        <f>J49*(1+Parameters!$B$53)^Parameters!B$65</f>
        <v>22.43800144996565</v>
      </c>
      <c r="K50" s="23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90.820863210141113</v>
      </c>
      <c r="L50" s="8">
        <f>L49+K50*Parameters!B$65</f>
        <v>5542.9335380443963</v>
      </c>
      <c r="M50" s="7">
        <f>M49+Parameters!$B$45*K50</f>
        <v>3.3257601228266367</v>
      </c>
      <c r="N50" s="7">
        <f>'6states'!O50</f>
        <v>0.96604055299723046</v>
      </c>
      <c r="O50" s="7">
        <f>MAX(O49+(Parameters!B$31-K50)*Parameters!B$65,30)</f>
        <v>30</v>
      </c>
      <c r="P50" s="7">
        <f>Parameters!B$61*EXP(-Parameters!B$60*A50)+(1-Parameters!B$61)*(O50/Parameters!B$62)^-Parameters!B$63</f>
        <v>0.67060790351744048</v>
      </c>
      <c r="Q50" s="9">
        <f>1-P50/Parameters!$B$12</f>
        <v>0.66469604824127981</v>
      </c>
      <c r="R50" s="23">
        <f t="shared" si="0"/>
        <v>2.9823686680543071</v>
      </c>
      <c r="S50" s="7">
        <f>(Parameters!$B$19*(E50+Parameters!$B$20)^Q50+Parameters!$B$18*F50^Q50)^(1/Q50)</f>
        <v>0.53702857813227645</v>
      </c>
      <c r="T50" s="7">
        <f>(Parameters!$B$10*G50^Parameters!$B$9 + Parameters!$B$11*S50^Parameters!$B$9) ^ (Parameters!$B$7/Parameters!$B$9) * N50</f>
        <v>1.481788256228818</v>
      </c>
      <c r="U50" s="7">
        <f t="shared" si="1"/>
        <v>1.1300148386246962</v>
      </c>
      <c r="V50" s="7">
        <f>EXP(-Parameters!$B$55*A50)</f>
        <v>0.49927411769560981</v>
      </c>
      <c r="W50" s="7">
        <f>IF(U50&gt;0,U50^(1-Parameters!$B$52)/(1-Parameters!$B$52)*V50,-10+U50*1000)</f>
        <v>-1.3667577881029123</v>
      </c>
      <c r="X50" s="7"/>
      <c r="Y50" s="9">
        <f t="shared" si="22"/>
        <v>5.4792700954735339E-2</v>
      </c>
      <c r="Z50" s="9">
        <f t="shared" si="23"/>
        <v>3.8130154075461885E-3</v>
      </c>
      <c r="AA50" s="7">
        <f t="shared" si="24"/>
        <v>0.29316770124184033</v>
      </c>
      <c r="AB50" s="13">
        <f t="shared" si="5"/>
        <v>0.2373978981986215</v>
      </c>
    </row>
    <row r="51" spans="1:28" x14ac:dyDescent="0.25">
      <c r="A51">
        <f>A50+Parameters!$B$65</f>
        <v>47</v>
      </c>
      <c r="B51" s="46">
        <f t="shared" si="27"/>
        <v>5.4792700954735339E-2</v>
      </c>
      <c r="C51" s="46">
        <f t="shared" si="25"/>
        <v>3.8130154075461885E-3</v>
      </c>
      <c r="D51" s="46">
        <f t="shared" si="26"/>
        <v>0.29316770124184033</v>
      </c>
      <c r="E51" s="7">
        <f>MAX((1-Parameters!$B$4)^Parameters!B$65*E50+B50*Parameters!B$65-Parameters!$B$5*B50^2/E50*Parameters!B$65,0.0001)</f>
        <v>0.80697358002843267</v>
      </c>
      <c r="F51" s="9">
        <f>(1-Parameters!$B$4)^Parameters!B$65*F50+C50*Parameters!B$65-Parameters!$B$5*C50^2/F50*Parameters!B$65</f>
        <v>7.1410886200977186E-2</v>
      </c>
      <c r="G51" s="7">
        <f>(1-Parameters!$B$4)^Parameters!B$65*G50+D50*Parameters!B$65-Parameters!$B$5*D50^2/G50*Parameters!B$65</f>
        <v>4.358823831247677</v>
      </c>
      <c r="H51" s="7">
        <f>H50 *(1-Parameters!$B$4)-B50*(B50&lt;0)*Parameters!B$65</f>
        <v>0</v>
      </c>
      <c r="I51" s="7">
        <f>I50*(1+Parameters!$B$51)^Parameters!B$65</f>
        <v>9.3497248516933258</v>
      </c>
      <c r="J51" s="7">
        <f>J50*(1+Parameters!$B$53)^Parameters!B$65</f>
        <v>22.886761478964964</v>
      </c>
      <c r="K51" s="23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91.914592654039339</v>
      </c>
      <c r="L51" s="8">
        <f>L50+K51*Parameters!B$65</f>
        <v>5634.8481306984359</v>
      </c>
      <c r="M51" s="7">
        <f>M50+Parameters!$B$45*K51</f>
        <v>3.3809088784190604</v>
      </c>
      <c r="N51" s="7">
        <f>'6states'!O51</f>
        <v>0.96591965757988052</v>
      </c>
      <c r="O51" s="7">
        <f>MAX(O50+(Parameters!B$31-K51)*Parameters!B$65,30)</f>
        <v>30</v>
      </c>
      <c r="P51" s="7">
        <f>Parameters!B$61*EXP(-Parameters!B$60*A51)+(1-Parameters!B$61)*(O51/Parameters!B$62)^-Parameters!B$63</f>
        <v>0.6667611865058557</v>
      </c>
      <c r="Q51" s="9">
        <f>1-P51/Parameters!$B$12</f>
        <v>0.6666194067470721</v>
      </c>
      <c r="R51" s="23">
        <f t="shared" si="0"/>
        <v>2.9995747210196</v>
      </c>
      <c r="S51" s="7">
        <f>(Parameters!$B$19*(E51+Parameters!$B$20)^Q51+Parameters!$B$18*F51^Q51)^(1/Q51)</f>
        <v>0.5370217163012917</v>
      </c>
      <c r="T51" s="7">
        <f>(Parameters!$B$10*G51^Parameters!$B$9 + Parameters!$B$11*S51^Parameters!$B$9) ^ (Parameters!$B$7/Parameters!$B$9) * N51</f>
        <v>1.4815370644757777</v>
      </c>
      <c r="U51" s="7">
        <f t="shared" si="1"/>
        <v>1.1297636468716559</v>
      </c>
      <c r="V51" s="7">
        <f>EXP(-Parameters!$B$55*A51)</f>
        <v>0.49179171284640477</v>
      </c>
      <c r="W51" s="7">
        <f>IF(U51&gt;0,U51^(1-Parameters!$B$52)/(1-Parameters!$B$52)*V51,-10+U51*1000)</f>
        <v>-1.3463795396269107</v>
      </c>
      <c r="X51" s="7"/>
      <c r="Y51" s="9">
        <f t="shared" si="22"/>
        <v>5.4792700954735339E-2</v>
      </c>
      <c r="Z51" s="9">
        <f t="shared" si="23"/>
        <v>3.8130154075461885E-3</v>
      </c>
      <c r="AA51" s="7">
        <f t="shared" si="24"/>
        <v>0.29316770124184033</v>
      </c>
      <c r="AB51" s="13">
        <f t="shared" si="5"/>
        <v>0.23743814855458389</v>
      </c>
    </row>
    <row r="52" spans="1:28" x14ac:dyDescent="0.25">
      <c r="A52">
        <f>A51+Parameters!$B$65</f>
        <v>48</v>
      </c>
      <c r="B52" s="46">
        <f t="shared" si="27"/>
        <v>5.4792700954735339E-2</v>
      </c>
      <c r="C52" s="46">
        <f t="shared" si="25"/>
        <v>3.8130154075461885E-3</v>
      </c>
      <c r="D52" s="46">
        <f t="shared" si="26"/>
        <v>0.29316770124184033</v>
      </c>
      <c r="E52" s="7">
        <f>MAX((1-Parameters!$B$4)^Parameters!B$65*E51+B51*Parameters!B$65-Parameters!$B$5*B51^2/E51*Parameters!B$65,0.0001)</f>
        <v>0.80728727307202219</v>
      </c>
      <c r="F52" s="9">
        <f>(1-Parameters!$B$4)^Parameters!B$65*F51+C51*Parameters!B$65-Parameters!$B$5*C51^2/F51*Parameters!B$65</f>
        <v>7.0528559246123779E-2</v>
      </c>
      <c r="G52" s="7">
        <f>(1-Parameters!$B$4)^Parameters!B$65*G51+D51*Parameters!B$65-Parameters!$B$5*D51^2/G51*Parameters!B$65</f>
        <v>4.3581035105796522</v>
      </c>
      <c r="H52" s="7">
        <f>H51 *(1-Parameters!$B$4)-B51*(B51&lt;0)*Parameters!B$65</f>
        <v>0</v>
      </c>
      <c r="I52" s="7">
        <f>I51*(1+Parameters!$B$51)^Parameters!B$65</f>
        <v>9.376839053763236</v>
      </c>
      <c r="J52" s="7">
        <f>J51*(1+Parameters!$B$53)^Parameters!B$65</f>
        <v>23.344496708544263</v>
      </c>
      <c r="K52" s="23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93.021904788151659</v>
      </c>
      <c r="L52" s="8">
        <f>L51+K52*Parameters!B$65</f>
        <v>5727.8700354865878</v>
      </c>
      <c r="M52" s="7">
        <f>M51+Parameters!$B$45*K52</f>
        <v>3.4367220212919514</v>
      </c>
      <c r="N52" s="7">
        <f>'6states'!O52</f>
        <v>0.96580310949544079</v>
      </c>
      <c r="O52" s="7">
        <f>MAX(O51+(Parameters!B$31-K52)*Parameters!B$65,30)</f>
        <v>30</v>
      </c>
      <c r="P52" s="7">
        <f>Parameters!B$61*EXP(-Parameters!B$60*A52)+(1-Parameters!B$61)*(O52/Parameters!B$62)^-Parameters!B$63</f>
        <v>0.6630169412596667</v>
      </c>
      <c r="Q52" s="9">
        <f>1-P52/Parameters!$B$12</f>
        <v>0.66849152937016665</v>
      </c>
      <c r="R52" s="23">
        <f t="shared" si="0"/>
        <v>3.0165141726246052</v>
      </c>
      <c r="S52" s="7">
        <f>(Parameters!$B$19*(E52+Parameters!$B$20)^Q52+Parameters!$B$18*F52^Q52)^(1/Q52)</f>
        <v>0.53702889106696006</v>
      </c>
      <c r="T52" s="7">
        <f>(Parameters!$B$10*G52^Parameters!$B$9 + Parameters!$B$11*S52^Parameters!$B$9) ^ (Parameters!$B$7/Parameters!$B$9) * N52</f>
        <v>1.4812982901407572</v>
      </c>
      <c r="U52" s="7">
        <f t="shared" si="1"/>
        <v>1.1295248725366354</v>
      </c>
      <c r="V52" s="7">
        <f>EXP(-Parameters!$B$55*A52)</f>
        <v>0.48442144355629069</v>
      </c>
      <c r="W52" s="7">
        <f>IF(U52&gt;0,U52^(1-Parameters!$B$52)/(1-Parameters!$B$52)*V52,-10+U52*1000)</f>
        <v>-1.3263000488714485</v>
      </c>
      <c r="X52" s="7"/>
      <c r="Y52" s="9">
        <f t="shared" si="22"/>
        <v>5.4792700954735339E-2</v>
      </c>
      <c r="Z52" s="9">
        <f t="shared" si="23"/>
        <v>3.8130154075461885E-3</v>
      </c>
      <c r="AA52" s="7">
        <f t="shared" si="24"/>
        <v>0.29316770124184033</v>
      </c>
      <c r="AB52" s="13">
        <f t="shared" si="5"/>
        <v>0.23747642182905329</v>
      </c>
    </row>
    <row r="53" spans="1:28" x14ac:dyDescent="0.25">
      <c r="A53">
        <f>A52+Parameters!$B$65</f>
        <v>49</v>
      </c>
      <c r="B53" s="46">
        <f t="shared" si="27"/>
        <v>5.4792700954735339E-2</v>
      </c>
      <c r="C53" s="46">
        <f t="shared" si="25"/>
        <v>3.8130154075461885E-3</v>
      </c>
      <c r="D53" s="46">
        <f t="shared" si="26"/>
        <v>0.29316770124184033</v>
      </c>
      <c r="E53" s="7">
        <f>MAX((1-Parameters!$B$4)^Parameters!B$65*E52+B52*Parameters!B$65-Parameters!$B$5*B52^2/E52*Parameters!B$65,0.0001)</f>
        <v>0.80758268047224924</v>
      </c>
      <c r="F53" s="9">
        <f>(1-Parameters!$B$4)^Parameters!B$65*F52+C52*Parameters!B$65-Parameters!$B$5*C52^2/F52*Parameters!B$65</f>
        <v>6.9699183608126422E-2</v>
      </c>
      <c r="G53" s="7">
        <f>(1-Parameters!$B$4)^Parameters!B$65*G52+D52*Parameters!B$65-Parameters!$B$5*D52^2/G52*Parameters!B$65</f>
        <v>4.3574252390298582</v>
      </c>
      <c r="H53" s="7">
        <f>H52 *(1-Parameters!$B$4)-B52*(B52&lt;0)*Parameters!B$65</f>
        <v>0</v>
      </c>
      <c r="I53" s="7">
        <f>I52*(1+Parameters!$B$51)^Parameters!B$65</f>
        <v>9.4040318870191477</v>
      </c>
      <c r="J53" s="7">
        <f>J52*(1+Parameters!$B$53)^Parameters!B$65</f>
        <v>23.811386642715149</v>
      </c>
      <c r="K53" s="23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94.143053427356847</v>
      </c>
      <c r="L53" s="8">
        <f>L52+K53*Parameters!B$65</f>
        <v>5822.0130889139446</v>
      </c>
      <c r="M53" s="7">
        <f>M52+Parameters!$B$45*K53</f>
        <v>3.4932078533483653</v>
      </c>
      <c r="N53" s="7">
        <f>'6states'!O53</f>
        <v>0.9656906773114835</v>
      </c>
      <c r="O53" s="7">
        <f>MAX(O52+(Parameters!B$31-K53)*Parameters!B$65,30)</f>
        <v>30</v>
      </c>
      <c r="P53" s="7">
        <f>Parameters!B$61*EXP(-Parameters!B$60*A53)+(1-Parameters!B$61)*(O53/Parameters!B$62)^-Parameters!B$63</f>
        <v>0.65937243805826462</v>
      </c>
      <c r="Q53" s="9">
        <f>1-P53/Parameters!$B$12</f>
        <v>0.67031378097086769</v>
      </c>
      <c r="R53" s="23">
        <f t="shared" si="0"/>
        <v>3.0331871406236615</v>
      </c>
      <c r="S53" s="7">
        <f>(Parameters!$B$19*(E53+Parameters!$B$20)^Q53+Parameters!$B$18*F53^Q53)^(1/Q53)</f>
        <v>0.53704886878006741</v>
      </c>
      <c r="T53" s="7">
        <f>(Parameters!$B$10*G53^Parameters!$B$9 + Parameters!$B$11*S53^Parameters!$B$9) ^ (Parameters!$B$7/Parameters!$B$9) * N53</f>
        <v>1.4810711808229631</v>
      </c>
      <c r="U53" s="7">
        <f t="shared" si="1"/>
        <v>1.1292977632188412</v>
      </c>
      <c r="V53" s="7">
        <f>EXP(-Parameters!$B$55*A53)</f>
        <v>0.47716162929823552</v>
      </c>
      <c r="W53" s="7">
        <f>IF(U53&gt;0,U53^(1-Parameters!$B$52)/(1-Parameters!$B$52)*V53,-10+U53*1000)</f>
        <v>-1.3065153144215291</v>
      </c>
      <c r="X53" s="7"/>
      <c r="Y53" s="9">
        <f t="shared" si="22"/>
        <v>5.4831919575855141E-2</v>
      </c>
      <c r="Z53" s="9">
        <f t="shared" si="23"/>
        <v>3.6965684531816024E-3</v>
      </c>
      <c r="AA53" s="7">
        <f t="shared" si="24"/>
        <v>0.29307888790017828</v>
      </c>
      <c r="AB53" s="13">
        <f t="shared" si="5"/>
        <v>0.23751283676228008</v>
      </c>
    </row>
    <row r="54" spans="1:28" s="4" customFormat="1" x14ac:dyDescent="0.25">
      <c r="A54">
        <f>A53+Parameters!$B$65</f>
        <v>50</v>
      </c>
      <c r="B54" s="19">
        <v>5.4910356818094738E-2</v>
      </c>
      <c r="C54" s="45">
        <v>3.4636745444524297E-3</v>
      </c>
      <c r="D54" s="18">
        <v>0.29290126121685417</v>
      </c>
      <c r="E54" s="7">
        <f>MAX((1-Parameters!$B$4)^Parameters!B$65*E53+B53*Parameters!B$65-Parameters!$B$5*B53^2/E53*Parameters!B$65,0.0001)</f>
        <v>0.80786086710021432</v>
      </c>
      <c r="F54" s="9">
        <f>(1-Parameters!$B$4)^Parameters!B$65*F53+C53*Parameters!B$65-Parameters!$B$5*C53^2/F53*Parameters!B$65</f>
        <v>6.8919522708247763E-2</v>
      </c>
      <c r="G54" s="7">
        <f>(1-Parameters!$B$4)^Parameters!B$65*G53+D53*Parameters!B$65-Parameters!$B$5*D53^2/G53*Parameters!B$65</f>
        <v>4.3567865609727265</v>
      </c>
      <c r="H54" s="7">
        <f>H53 *(1-Parameters!$B$4)-B53*(B53&lt;0)*Parameters!B$65</f>
        <v>0</v>
      </c>
      <c r="I54" s="7">
        <f>I53*(1+Parameters!$B$51)^Parameters!B$65</f>
        <v>9.4313035794915017</v>
      </c>
      <c r="J54" s="7">
        <f>J53*(1+Parameters!$B$53)^Parameters!B$65</f>
        <v>24.287614375569454</v>
      </c>
      <c r="K54" s="23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95.278291386510389</v>
      </c>
      <c r="L54" s="8">
        <f>L53+K54*Parameters!B$65</f>
        <v>5917.2913803004549</v>
      </c>
      <c r="M54" s="7">
        <f>M53+Parameters!$B$45*K54</f>
        <v>3.5503748281802716</v>
      </c>
      <c r="N54" s="7">
        <f>'6states'!O54</f>
        <v>0.96558292095686182</v>
      </c>
      <c r="O54" s="7">
        <f>MAX(O53+(Parameters!B$31-K54)*Parameters!B$65,30)</f>
        <v>30</v>
      </c>
      <c r="P54" s="7">
        <f>Parameters!B$61*EXP(-Parameters!B$60*A54)+(1-Parameters!B$61)*(O54/Parameters!B$62)^-Parameters!B$63</f>
        <v>0.65582501989740838</v>
      </c>
      <c r="Q54" s="9">
        <f>1-P54/Parameters!$B$12</f>
        <v>0.67208749005129587</v>
      </c>
      <c r="R54" s="23">
        <f t="shared" si="0"/>
        <v>3.0495939302725339</v>
      </c>
      <c r="S54" s="7">
        <f>(Parameters!$B$19*(E54+Parameters!$B$20)^Q54+Parameters!$B$18*F54^Q54)^(1/Q54)</f>
        <v>0.53708049757081877</v>
      </c>
      <c r="T54" s="7">
        <f>(Parameters!$B$10*G54^Parameters!$B$9 + Parameters!$B$11*S54^Parameters!$B$9) ^ (Parameters!$B$7/Parameters!$B$9) * N54</f>
        <v>1.480856222440359</v>
      </c>
      <c r="U54" s="7">
        <f t="shared" si="1"/>
        <v>1.1295809298609576</v>
      </c>
      <c r="V54" s="16">
        <f>EXP(-Parameters!$B$55*A54)</f>
        <v>0.4700106147305379</v>
      </c>
      <c r="W54" s="7">
        <f>IF(U54&gt;0,U54^(1-Parameters!$B$52)/(1-Parameters!$B$52)*V54,-10+U54*1000)</f>
        <v>-1.2868222119331509</v>
      </c>
      <c r="X54" s="7"/>
      <c r="Y54" s="9">
        <f t="shared" si="22"/>
        <v>5.4871138196974943E-2</v>
      </c>
      <c r="Z54" s="9">
        <f t="shared" si="23"/>
        <v>3.5801214988170158E-3</v>
      </c>
      <c r="AA54" s="7">
        <f t="shared" si="24"/>
        <v>0.29299007455851628</v>
      </c>
      <c r="AB54" s="13">
        <f t="shared" si="5"/>
        <v>0.2372109373322695</v>
      </c>
    </row>
    <row r="55" spans="1:28" x14ac:dyDescent="0.25">
      <c r="A55">
        <f>A54+Parameters!$B$65</f>
        <v>51</v>
      </c>
      <c r="B55" s="46">
        <f>B54</f>
        <v>5.4910356818094738E-2</v>
      </c>
      <c r="C55" s="46">
        <f t="shared" ref="C55:C63" si="28">C54</f>
        <v>3.4636745444524297E-3</v>
      </c>
      <c r="D55" s="46">
        <f t="shared" ref="D55:D63" si="29">D54</f>
        <v>0.29290126121685417</v>
      </c>
      <c r="E55" s="7">
        <f>MAX((1-Parameters!$B$4)^Parameters!B$65*E54+B54*Parameters!B$65-Parameters!$B$5*B54^2/E54*Parameters!B$65,0.0001)</f>
        <v>0.80822451477605861</v>
      </c>
      <c r="F55" s="9">
        <f>(1-Parameters!$B$4)^Parameters!B$65*F54+C54*Parameters!B$65-Parameters!$B$5*C54^2/F54*Parameters!B$65</f>
        <v>6.7874086081757296E-2</v>
      </c>
      <c r="G55" s="7">
        <f>(1-Parameters!$B$4)^Parameters!B$65*G54+D54*Parameters!B$65-Parameters!$B$5*D54^2/G54*Parameters!B$65</f>
        <v>4.3559545654222616</v>
      </c>
      <c r="H55" s="7">
        <f>H54 *(1-Parameters!$B$4)-B54*(B54&lt;0)*Parameters!B$65</f>
        <v>0</v>
      </c>
      <c r="I55" s="7">
        <f>I54*(1+Parameters!$B$51)^Parameters!B$65</f>
        <v>9.4586543598720265</v>
      </c>
      <c r="J55" s="7">
        <f>J54*(1+Parameters!$B$53)^Parameters!B$65</f>
        <v>24.773366663080843</v>
      </c>
      <c r="K55" s="23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96.440003341469463</v>
      </c>
      <c r="L55" s="8">
        <f>L54+K55*Parameters!B$65</f>
        <v>6013.7313836419244</v>
      </c>
      <c r="M55" s="7">
        <f>M54+Parameters!$B$45*K55</f>
        <v>3.6082388301851531</v>
      </c>
      <c r="N55" s="7">
        <f>'6states'!O55</f>
        <v>0.96548013202536065</v>
      </c>
      <c r="O55" s="7">
        <f>MAX(O54+(Parameters!B$31-K55)*Parameters!B$65,30)</f>
        <v>30</v>
      </c>
      <c r="P55" s="7">
        <f>Parameters!B$61*EXP(-Parameters!B$60*A55)+(1-Parameters!B$61)*(O55/Parameters!B$62)^-Parameters!B$63</f>
        <v>0.65237210055215145</v>
      </c>
      <c r="Q55" s="9">
        <f>1-P55/Parameters!$B$12</f>
        <v>0.67381394972392428</v>
      </c>
      <c r="R55" s="23">
        <f t="shared" si="0"/>
        <v>3.0657350280725524</v>
      </c>
      <c r="S55" s="7">
        <f>(Parameters!$B$19*(E55+Parameters!$B$20)^Q55+Parameters!$B$18*F55^Q55)^(1/Q55)</f>
        <v>0.53699814750483488</v>
      </c>
      <c r="T55" s="7">
        <f>(Parameters!$B$10*G55^Parameters!$B$9 + Parameters!$B$11*S55^Parameters!$B$9) ^ (Parameters!$B$7/Parameters!$B$9) * N55</f>
        <v>1.4806165717096436</v>
      </c>
      <c r="U55" s="7">
        <f t="shared" si="1"/>
        <v>1.1293412791302422</v>
      </c>
      <c r="V55" s="7">
        <f>EXP(-Parameters!$B$55*A55)</f>
        <v>0.46296676931938507</v>
      </c>
      <c r="W55" s="7">
        <f>IF(U55&gt;0,U55^(1-Parameters!$B$52)/(1-Parameters!$B$52)*V55,-10+U55*1000)</f>
        <v>-1.2676313003329276</v>
      </c>
      <c r="X55" s="7"/>
      <c r="Y55" s="9">
        <f t="shared" si="22"/>
        <v>5.4910356818094731E-2</v>
      </c>
      <c r="Z55" s="9">
        <f t="shared" si="23"/>
        <v>3.4636745444524297E-3</v>
      </c>
      <c r="AA55" s="7">
        <f t="shared" si="24"/>
        <v>0.29290126121685417</v>
      </c>
      <c r="AB55" s="13">
        <f t="shared" si="5"/>
        <v>0.23724933199537915</v>
      </c>
    </row>
    <row r="56" spans="1:28" x14ac:dyDescent="0.25">
      <c r="A56">
        <f>A55+Parameters!$B$65</f>
        <v>52</v>
      </c>
      <c r="B56" s="46">
        <f t="shared" ref="B56:B63" si="30">B55</f>
        <v>5.4910356818094738E-2</v>
      </c>
      <c r="C56" s="46">
        <f t="shared" si="28"/>
        <v>3.4636745444524297E-3</v>
      </c>
      <c r="D56" s="46">
        <f t="shared" si="29"/>
        <v>0.29290126121685417</v>
      </c>
      <c r="E56" s="7">
        <f>MAX((1-Parameters!$B$4)^Parameters!B$65*E55+B55*Parameters!B$65-Parameters!$B$5*B55^2/E55*Parameters!B$65,0.0001)</f>
        <v>0.8085669682839739</v>
      </c>
      <c r="F56" s="9">
        <f>(1-Parameters!$B$4)^Parameters!B$65*F55+C55*Parameters!B$65-Parameters!$B$5*C55^2/F55*Parameters!B$65</f>
        <v>6.689172624129619E-2</v>
      </c>
      <c r="G56" s="7">
        <f>(1-Parameters!$B$4)^Parameters!B$65*G55+D55*Parameters!B$65-Parameters!$B$5*D55^2/G55*Parameters!B$65</f>
        <v>4.3551711413007457</v>
      </c>
      <c r="H56" s="7">
        <f>H55 *(1-Parameters!$B$4)-B55*(B55&lt;0)*Parameters!B$65</f>
        <v>0</v>
      </c>
      <c r="I56" s="7">
        <f>I55*(1+Parameters!$B$51)^Parameters!B$65</f>
        <v>9.4860844575156538</v>
      </c>
      <c r="J56" s="7">
        <f>J55*(1+Parameters!$B$53)^Parameters!B$65</f>
        <v>25.268833996342462</v>
      </c>
      <c r="K56" s="23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97.615878697941895</v>
      </c>
      <c r="L56" s="8">
        <f>L55+K56*Parameters!B$65</f>
        <v>6111.3472623398666</v>
      </c>
      <c r="M56" s="7">
        <f>M55+Parameters!$B$45*K56</f>
        <v>3.6668083574039181</v>
      </c>
      <c r="N56" s="7">
        <f>'6states'!O56</f>
        <v>0.96538206601613852</v>
      </c>
      <c r="O56" s="7">
        <f>MAX(O55+(Parameters!B$31-K56)*Parameters!B$65,30)</f>
        <v>30</v>
      </c>
      <c r="P56" s="7">
        <f>Parameters!B$61*EXP(-Parameters!B$60*A56)+(1-Parameters!B$61)*(O56/Parameters!B$62)^-Parameters!B$63</f>
        <v>0.64901116269136883</v>
      </c>
      <c r="Q56" s="9">
        <f>1-P56/Parameters!$B$12</f>
        <v>0.67549441865431559</v>
      </c>
      <c r="R56" s="23">
        <f t="shared" si="0"/>
        <v>3.0816110954182174</v>
      </c>
      <c r="S56" s="7">
        <f>(Parameters!$B$19*(E56+Parameters!$B$20)^Q56+Parameters!$B$18*F56^Q56)^(1/Q56)</f>
        <v>0.53693312570001772</v>
      </c>
      <c r="T56" s="7">
        <f>(Parameters!$B$10*G56^Parameters!$B$9 + Parameters!$B$11*S56^Parameters!$B$9) ^ (Parameters!$B$7/Parameters!$B$9) * N56</f>
        <v>1.4803907072566032</v>
      </c>
      <c r="U56" s="7">
        <f t="shared" si="1"/>
        <v>1.1291154146772018</v>
      </c>
      <c r="V56" s="7">
        <f>EXP(-Parameters!$B$55*A56)</f>
        <v>0.45602848696706794</v>
      </c>
      <c r="W56" s="7">
        <f>IF(U56&gt;0,U56^(1-Parameters!$B$52)/(1-Parameters!$B$52)*V56,-10+U56*1000)</f>
        <v>-1.2487212740428406</v>
      </c>
      <c r="X56" s="7"/>
      <c r="Y56" s="9">
        <f t="shared" si="22"/>
        <v>5.4910356818094731E-2</v>
      </c>
      <c r="Z56" s="9">
        <f t="shared" si="23"/>
        <v>3.4636745444524297E-3</v>
      </c>
      <c r="AA56" s="7">
        <f t="shared" si="24"/>
        <v>0.29290126121685417</v>
      </c>
      <c r="AB56" s="13">
        <f t="shared" si="5"/>
        <v>0.23728552932513991</v>
      </c>
    </row>
    <row r="57" spans="1:28" x14ac:dyDescent="0.25">
      <c r="A57">
        <f>A56+Parameters!$B$65</f>
        <v>53</v>
      </c>
      <c r="B57" s="46">
        <f t="shared" si="30"/>
        <v>5.4910356818094738E-2</v>
      </c>
      <c r="C57" s="46">
        <f t="shared" si="28"/>
        <v>3.4636745444524297E-3</v>
      </c>
      <c r="D57" s="46">
        <f t="shared" si="29"/>
        <v>0.29290126121685417</v>
      </c>
      <c r="E57" s="7">
        <f>MAX((1-Parameters!$B$4)^Parameters!B$65*E56+B56*Parameters!B$65-Parameters!$B$5*B56^2/E56*Parameters!B$65,0.0001)</f>
        <v>0.80888946148461138</v>
      </c>
      <c r="F57" s="9">
        <f>(1-Parameters!$B$4)^Parameters!B$65*F56+C56*Parameters!B$65-Parameters!$B$5*C56^2/F56*Parameters!B$65</f>
        <v>6.5968561051960639E-2</v>
      </c>
      <c r="G57" s="7">
        <f>(1-Parameters!$B$4)^Parameters!B$65*G56+D56*Parameters!B$65-Parameters!$B$5*D56^2/G56*Parameters!B$65</f>
        <v>4.3544334517220493</v>
      </c>
      <c r="H57" s="7">
        <f>H56 *(1-Parameters!$B$4)-B56*(B56&lt;0)*Parameters!B$65</f>
        <v>0</v>
      </c>
      <c r="I57" s="7">
        <f>I56*(1+Parameters!$B$51)^Parameters!B$65</f>
        <v>9.5135941024424486</v>
      </c>
      <c r="J57" s="7">
        <f>J56*(1+Parameters!$B$53)^Parameters!B$65</f>
        <v>25.774210676269313</v>
      </c>
      <c r="K57" s="23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98.806191233378485</v>
      </c>
      <c r="L57" s="8">
        <f>L56+K57*Parameters!B$65</f>
        <v>6210.1534535732453</v>
      </c>
      <c r="M57" s="7">
        <f>M56+Parameters!$B$45*K57</f>
        <v>3.726092072143945</v>
      </c>
      <c r="N57" s="7">
        <f>'6states'!O57</f>
        <v>0.96528848949028467</v>
      </c>
      <c r="O57" s="7">
        <f>MAX(O56+(Parameters!B$31-K57)*Parameters!B$65,30)</f>
        <v>30</v>
      </c>
      <c r="P57" s="7">
        <f>Parameters!B$61*EXP(-Parameters!B$60*A57)+(1-Parameters!B$61)*(O57/Parameters!B$62)^-Parameters!B$63</f>
        <v>0.64573975604251121</v>
      </c>
      <c r="Q57" s="9">
        <f>1-P57/Parameters!$B$12</f>
        <v>0.67713012197874445</v>
      </c>
      <c r="R57" s="23">
        <f t="shared" si="0"/>
        <v>3.0972229621685763</v>
      </c>
      <c r="S57" s="7">
        <f>(Parameters!$B$19*(E57+Parameters!$B$20)^Q57+Parameters!$B$18*F57^Q57)^(1/Q57)</f>
        <v>0.53688406584364179</v>
      </c>
      <c r="T57" s="7">
        <f>(Parameters!$B$10*G57^Parameters!$B$9 + Parameters!$B$11*S57^Parameters!$B$9) ^ (Parameters!$B$7/Parameters!$B$9) * N57</f>
        <v>1.4801778379308939</v>
      </c>
      <c r="U57" s="7">
        <f t="shared" si="1"/>
        <v>1.1289025453514925</v>
      </c>
      <c r="V57" s="7">
        <f>EXP(-Parameters!$B$55*A57)</f>
        <v>0.44919418564576791</v>
      </c>
      <c r="W57" s="7">
        <f>IF(U57&gt;0,U57^(1-Parameters!$B$52)/(1-Parameters!$B$52)*V57,-10+U57*1000)</f>
        <v>-1.2300884013257607</v>
      </c>
      <c r="X57" s="7"/>
      <c r="Y57" s="9">
        <f t="shared" si="22"/>
        <v>5.4910356818094731E-2</v>
      </c>
      <c r="Z57" s="9">
        <f t="shared" si="23"/>
        <v>3.4636745444524297E-3</v>
      </c>
      <c r="AA57" s="7">
        <f t="shared" si="24"/>
        <v>0.29290126121685417</v>
      </c>
      <c r="AB57" s="13">
        <f t="shared" si="5"/>
        <v>0.2373196541507748</v>
      </c>
    </row>
    <row r="58" spans="1:28" x14ac:dyDescent="0.25">
      <c r="A58">
        <f>A57+Parameters!$B$65</f>
        <v>54</v>
      </c>
      <c r="B58" s="46">
        <f t="shared" si="30"/>
        <v>5.4910356818094738E-2</v>
      </c>
      <c r="C58" s="46">
        <f t="shared" si="28"/>
        <v>3.4636745444524297E-3</v>
      </c>
      <c r="D58" s="46">
        <f t="shared" si="29"/>
        <v>0.29290126121685417</v>
      </c>
      <c r="E58" s="7">
        <f>MAX((1-Parameters!$B$4)^Parameters!B$65*E57+B57*Parameters!B$65-Parameters!$B$5*B57^2/E57*Parameters!B$65,0.0001)</f>
        <v>0.8091931565649142</v>
      </c>
      <c r="F58" s="9">
        <f>(1-Parameters!$B$4)^Parameters!B$65*F57+C57*Parameters!B$65-Parameters!$B$5*C57^2/F57*Parameters!B$65</f>
        <v>6.5100953123874691E-2</v>
      </c>
      <c r="G58" s="7">
        <f>(1-Parameters!$B$4)^Parameters!B$65*G57+D57*Parameters!B$65-Parameters!$B$5*D57^2/G57*Parameters!B$65</f>
        <v>4.3537388256408027</v>
      </c>
      <c r="H58" s="7">
        <f>H57 *(1-Parameters!$B$4)-B57*(B57&lt;0)*Parameters!B$65</f>
        <v>0</v>
      </c>
      <c r="I58" s="7">
        <f>I57*(1+Parameters!$B$51)^Parameters!B$65</f>
        <v>9.5411835253395303</v>
      </c>
      <c r="J58" s="7">
        <f>J57*(1+Parameters!$B$53)^Parameters!B$65</f>
        <v>26.289694889794699</v>
      </c>
      <c r="K58" s="23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100.01121341955971</v>
      </c>
      <c r="L58" s="8">
        <f>L57+K58*Parameters!B$65</f>
        <v>6310.164666992805</v>
      </c>
      <c r="M58" s="7">
        <f>M57+Parameters!$B$45*K58</f>
        <v>3.7860988001956808</v>
      </c>
      <c r="N58" s="7">
        <f>'6states'!O58</f>
        <v>0.9651995064117147</v>
      </c>
      <c r="O58" s="7">
        <f>MAX(O57+(Parameters!B$31-K58)*Parameters!B$65,30)</f>
        <v>30</v>
      </c>
      <c r="P58" s="7">
        <f>Parameters!B$61*EXP(-Parameters!B$60*A58)+(1-Parameters!B$61)*(O58/Parameters!B$62)^-Parameters!B$63</f>
        <v>0.64255549560524816</v>
      </c>
      <c r="Q58" s="9">
        <f>1-P58/Parameters!$B$12</f>
        <v>0.67872225219737592</v>
      </c>
      <c r="R58" s="23">
        <f t="shared" si="0"/>
        <v>3.1125716201619626</v>
      </c>
      <c r="S58" s="7">
        <f>(Parameters!$B$19*(E58+Parameters!$B$20)^Q58+Parameters!$B$18*F58^Q58)^(1/Q58)</f>
        <v>0.53684968625323815</v>
      </c>
      <c r="T58" s="7">
        <f>(Parameters!$B$10*G58^Parameters!$B$9 + Parameters!$B$11*S58^Parameters!$B$9) ^ (Parameters!$B$7/Parameters!$B$9) * N58</f>
        <v>1.4799777156604064</v>
      </c>
      <c r="U58" s="7">
        <f t="shared" si="1"/>
        <v>1.128702423081005</v>
      </c>
      <c r="V58" s="7">
        <f>EXP(-Parameters!$B$55*A58)</f>
        <v>0.4424623070368317</v>
      </c>
      <c r="W58" s="7">
        <f>IF(U58&gt;0,U58^(1-Parameters!$B$52)/(1-Parameters!$B$52)*V58,-10+U58*1000)</f>
        <v>-1.2117287855781229</v>
      </c>
      <c r="X58" s="7"/>
      <c r="Y58" s="9">
        <f t="shared" si="22"/>
        <v>5.4910356818094731E-2</v>
      </c>
      <c r="Z58" s="9">
        <f t="shared" si="23"/>
        <v>3.4636745444524297E-3</v>
      </c>
      <c r="AA58" s="7">
        <f t="shared" si="24"/>
        <v>0.29290126121685417</v>
      </c>
      <c r="AB58" s="13">
        <f t="shared" si="5"/>
        <v>0.23735174446370141</v>
      </c>
    </row>
    <row r="59" spans="1:28" x14ac:dyDescent="0.25">
      <c r="A59">
        <f>A58+Parameters!$B$65</f>
        <v>55</v>
      </c>
      <c r="B59" s="46">
        <f t="shared" si="30"/>
        <v>5.4910356818094738E-2</v>
      </c>
      <c r="C59" s="46">
        <f t="shared" si="28"/>
        <v>3.4636745444524297E-3</v>
      </c>
      <c r="D59" s="46">
        <f t="shared" si="29"/>
        <v>0.29290126121685417</v>
      </c>
      <c r="E59" s="7">
        <f>MAX((1-Parameters!$B$4)^Parameters!B$65*E58+B58*Parameters!B$65-Parameters!$B$5*B58^2/E58*Parameters!B$65,0.0001)</f>
        <v>0.8094791481834186</v>
      </c>
      <c r="F59" s="9">
        <f>(1-Parameters!$B$4)^Parameters!B$65*F58+C58*Parameters!B$65-Parameters!$B$5*C58^2/F58*Parameters!B$65</f>
        <v>6.4285494065456916E-2</v>
      </c>
      <c r="G59" s="7">
        <f>(1-Parameters!$B$4)^Parameters!B$65*G58+D58*Parameters!B$65-Parameters!$B$5*D58^2/G58*Parameters!B$65</f>
        <v>4.3530847481408639</v>
      </c>
      <c r="H59" s="7">
        <f>H58 *(1-Parameters!$B$4)-B58*(B58&lt;0)*Parameters!B$65</f>
        <v>0</v>
      </c>
      <c r="I59" s="7">
        <f>I58*(1+Parameters!$B$51)^Parameters!B$65</f>
        <v>9.5688529575630135</v>
      </c>
      <c r="J59" s="7">
        <f>J58*(1+Parameters!$B$53)^Parameters!B$65</f>
        <v>26.815488787590592</v>
      </c>
      <c r="K59" s="23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101.23121665217174</v>
      </c>
      <c r="L59" s="8">
        <f>L58+K59*Parameters!B$65</f>
        <v>6411.3958836449765</v>
      </c>
      <c r="M59" s="7">
        <f>M58+Parameters!$B$45*K59</f>
        <v>3.8468375301869839</v>
      </c>
      <c r="N59" s="7">
        <f>'6states'!O59</f>
        <v>0.96511489286422314</v>
      </c>
      <c r="O59" s="7">
        <f>MAX(O58+(Parameters!B$31-K59)*Parameters!B$65,30)</f>
        <v>30</v>
      </c>
      <c r="P59" s="7">
        <f>Parameters!B$61*EXP(-Parameters!B$60*A59)+(1-Parameters!B$61)*(O59/Parameters!B$62)^-Parameters!B$63</f>
        <v>0.63945605991269705</v>
      </c>
      <c r="Q59" s="9">
        <f>1-P59/Parameters!$B$12</f>
        <v>0.68027197004365147</v>
      </c>
      <c r="R59" s="23">
        <f t="shared" si="0"/>
        <v>3.1276582166928777</v>
      </c>
      <c r="S59" s="7">
        <f>(Parameters!$B$19*(E59+Parameters!$B$20)^Q59+Parameters!$B$18*F59^Q59)^(1/Q59)</f>
        <v>0.53682878584508287</v>
      </c>
      <c r="T59" s="7">
        <f>(Parameters!$B$10*G59^Parameters!$B$9 + Parameters!$B$11*S59^Parameters!$B$9) ^ (Parameters!$B$7/Parameters!$B$9) * N59</f>
        <v>1.4797896139938731</v>
      </c>
      <c r="U59" s="7">
        <f t="shared" si="1"/>
        <v>1.1285143214144717</v>
      </c>
      <c r="V59" s="7">
        <f>EXP(-Parameters!$B$55*A59)</f>
        <v>0.43583131617545234</v>
      </c>
      <c r="W59" s="7">
        <f>IF(U59&gt;0,U59^(1-Parameters!$B$52)/(1-Parameters!$B$52)*V59,-10+U59*1000)</f>
        <v>-1.193638758349844</v>
      </c>
      <c r="X59" s="7"/>
      <c r="Y59" s="9">
        <f t="shared" si="22"/>
        <v>5.4910356818094731E-2</v>
      </c>
      <c r="Z59" s="9">
        <f t="shared" si="23"/>
        <v>3.4636745444524297E-3</v>
      </c>
      <c r="AA59" s="7">
        <f t="shared" si="24"/>
        <v>0.29290126121685417</v>
      </c>
      <c r="AB59" s="13">
        <f t="shared" si="5"/>
        <v>0.23738191514355075</v>
      </c>
    </row>
    <row r="60" spans="1:28" x14ac:dyDescent="0.25">
      <c r="A60">
        <f>A59+Parameters!$B$65</f>
        <v>56</v>
      </c>
      <c r="B60" s="46">
        <f t="shared" si="30"/>
        <v>5.4910356818094738E-2</v>
      </c>
      <c r="C60" s="46">
        <f t="shared" si="28"/>
        <v>3.4636745444524297E-3</v>
      </c>
      <c r="D60" s="46">
        <f t="shared" si="29"/>
        <v>0.29290126121685417</v>
      </c>
      <c r="E60" s="7">
        <f>MAX((1-Parameters!$B$4)^Parameters!B$65*E59+B59*Parameters!B$65-Parameters!$B$5*B59^2/E59*Parameters!B$65,0.0001)</f>
        <v>0.80974846737791006</v>
      </c>
      <c r="F60" s="9">
        <f>(1-Parameters!$B$4)^Parameters!B$65*F59+C59*Parameters!B$65-Parameters!$B$5*C59^2/F59*Parameters!B$65</f>
        <v>6.351898975067273E-2</v>
      </c>
      <c r="G60" s="7">
        <f>(1-Parameters!$B$4)^Parameters!B$65*G59+D59*Parameters!B$65-Parameters!$B$5*D59^2/G59*Parameters!B$65</f>
        <v>4.3524688512943586</v>
      </c>
      <c r="H60" s="7">
        <f>H59 *(1-Parameters!$B$4)-B59*(B59&lt;0)*Parameters!B$65</f>
        <v>0</v>
      </c>
      <c r="I60" s="7">
        <f>I59*(1+Parameters!$B$51)^Parameters!B$65</f>
        <v>9.5966026311399446</v>
      </c>
      <c r="J60" s="7">
        <f>J59*(1+Parameters!$B$53)^Parameters!B$65</f>
        <v>27.351798563342406</v>
      </c>
      <c r="K60" s="23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102.46647147086148</v>
      </c>
      <c r="L60" s="8">
        <f>L59+K60*Parameters!B$65</f>
        <v>6513.862355115838</v>
      </c>
      <c r="M60" s="7">
        <f>M59+Parameters!$B$45*K60</f>
        <v>3.9083174130695006</v>
      </c>
      <c r="N60" s="7">
        <f>'6states'!O60</f>
        <v>0.96503443524943944</v>
      </c>
      <c r="O60" s="7">
        <f>MAX(O59+(Parameters!B$31-K60)*Parameters!B$65,30)</f>
        <v>30</v>
      </c>
      <c r="P60" s="7">
        <f>Parameters!B$61*EXP(-Parameters!B$60*A60)+(1-Parameters!B$61)*(O60/Parameters!B$62)^-Parameters!B$63</f>
        <v>0.63643918933897059</v>
      </c>
      <c r="Q60" s="9">
        <f>1-P60/Parameters!$B$12</f>
        <v>0.68178040533051476</v>
      </c>
      <c r="R60" s="23">
        <f t="shared" si="0"/>
        <v>3.1424840479689422</v>
      </c>
      <c r="S60" s="7">
        <f>(Parameters!$B$19*(E60+Parameters!$B$20)^Q60+Parameters!$B$18*F60^Q60)^(1/Q60)</f>
        <v>0.53682024016991337</v>
      </c>
      <c r="T60" s="7">
        <f>(Parameters!$B$10*G60^Parameters!$B$9 + Parameters!$B$11*S60^Parameters!$B$9) ^ (Parameters!$B$7/Parameters!$B$9) * N60</f>
        <v>1.4796128454879407</v>
      </c>
      <c r="U60" s="7">
        <f t="shared" si="1"/>
        <v>1.1283375529085393</v>
      </c>
      <c r="V60" s="7">
        <f>EXP(-Parameters!$B$55*A60)</f>
        <v>0.42929970110067539</v>
      </c>
      <c r="W60" s="7">
        <f>IF(U60&gt;0,U60^(1-Parameters!$B$52)/(1-Parameters!$B$52)*V60,-10+U60*1000)</f>
        <v>-1.1758146769479523</v>
      </c>
      <c r="X60" s="7"/>
      <c r="Y60" s="9">
        <f t="shared" si="22"/>
        <v>5.4910356818094731E-2</v>
      </c>
      <c r="Z60" s="9">
        <f t="shared" si="23"/>
        <v>3.4636745444524297E-3</v>
      </c>
      <c r="AA60" s="7">
        <f t="shared" si="24"/>
        <v>0.29290126121685417</v>
      </c>
      <c r="AB60" s="13">
        <f t="shared" si="5"/>
        <v>0.23741027502607223</v>
      </c>
    </row>
    <row r="61" spans="1:28" x14ac:dyDescent="0.25">
      <c r="A61">
        <f>A60+Parameters!$B$65</f>
        <v>57</v>
      </c>
      <c r="B61" s="46">
        <f t="shared" si="30"/>
        <v>5.4910356818094738E-2</v>
      </c>
      <c r="C61" s="46">
        <f t="shared" si="28"/>
        <v>3.4636745444524297E-3</v>
      </c>
      <c r="D61" s="46">
        <f t="shared" si="29"/>
        <v>0.29290126121685417</v>
      </c>
      <c r="E61" s="7">
        <f>MAX((1-Parameters!$B$4)^Parameters!B$65*E60+B60*Parameters!B$65-Parameters!$B$5*B60^2/E60*Parameters!B$65,0.0001)</f>
        <v>0.81000208524881256</v>
      </c>
      <c r="F61" s="9">
        <f>(1-Parameters!$B$4)^Parameters!B$65*F60+C60*Parameters!B$65-Parameters!$B$5*C60^2/F60*Parameters!B$65</f>
        <v>6.2798446537556368E-2</v>
      </c>
      <c r="G61" s="7">
        <f>(1-Parameters!$B$4)^Parameters!B$65*G60+D60*Parameters!B$65-Parameters!$B$5*D60^2/G60*Parameters!B$65</f>
        <v>4.3518889055575718</v>
      </c>
      <c r="H61" s="7">
        <f>H60 *(1-Parameters!$B$4)-B60*(B60&lt;0)*Parameters!B$65</f>
        <v>0</v>
      </c>
      <c r="I61" s="7">
        <f>I60*(1+Parameters!$B$51)^Parameters!B$65</f>
        <v>9.6244327787702488</v>
      </c>
      <c r="J61" s="7">
        <f>J60*(1+Parameters!$B$53)^Parameters!B$65</f>
        <v>27.898834534609254</v>
      </c>
      <c r="K61" s="23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103.71724777028339</v>
      </c>
      <c r="L61" s="8">
        <f>L60+K61*Parameters!B$65</f>
        <v>6617.5796028861214</v>
      </c>
      <c r="M61" s="7">
        <f>M60+Parameters!$B$45*K61</f>
        <v>3.9705477617316705</v>
      </c>
      <c r="N61" s="7">
        <f>'6states'!O61</f>
        <v>0.96495792986842355</v>
      </c>
      <c r="O61" s="7">
        <f>MAX(O60+(Parameters!B$31-K61)*Parameters!B$65,30)</f>
        <v>30</v>
      </c>
      <c r="P61" s="7">
        <f>Parameters!B$61*EXP(-Parameters!B$60*A61)+(1-Parameters!B$61)*(O61/Parameters!B$62)^-Parameters!B$63</f>
        <v>0.63350268445181002</v>
      </c>
      <c r="Q61" s="9">
        <f>1-P61/Parameters!$B$12</f>
        <v>0.68324865777409505</v>
      </c>
      <c r="R61" s="23">
        <f t="shared" si="0"/>
        <v>3.1570505525650043</v>
      </c>
      <c r="S61" s="7">
        <f>(Parameters!$B$19*(E61+Parameters!$B$20)^Q61+Parameters!$B$18*F61^Q61)^(1/Q61)</f>
        <v>0.53682299753155649</v>
      </c>
      <c r="T61" s="7">
        <f>(Parameters!$B$10*G61^Parameters!$B$9 + Parameters!$B$11*S61^Parameters!$B$9) ^ (Parameters!$B$7/Parameters!$B$9) * N61</f>
        <v>1.4794467598486154</v>
      </c>
      <c r="U61" s="7">
        <f t="shared" si="1"/>
        <v>1.128171467269214</v>
      </c>
      <c r="V61" s="7">
        <f>EXP(-Parameters!$B$55*A61)</f>
        <v>0.42286597251064995</v>
      </c>
      <c r="W61" s="7">
        <f>IF(U61&gt;0,U61^(1-Parameters!$B$52)/(1-Parameters!$B$52)*V61,-10+U61*1000)</f>
        <v>-1.1582529259217649</v>
      </c>
      <c r="X61" s="7"/>
      <c r="Y61" s="9">
        <f t="shared" si="22"/>
        <v>5.4910356818094731E-2</v>
      </c>
      <c r="Z61" s="9">
        <f t="shared" si="23"/>
        <v>3.4636745444524297E-3</v>
      </c>
      <c r="AA61" s="7">
        <f t="shared" si="24"/>
        <v>0.29290126121685417</v>
      </c>
      <c r="AB61" s="13">
        <f t="shared" si="5"/>
        <v>0.23743692717630854</v>
      </c>
    </row>
    <row r="62" spans="1:28" x14ac:dyDescent="0.25">
      <c r="A62">
        <f>A61+Parameters!$B$65</f>
        <v>58</v>
      </c>
      <c r="B62" s="46">
        <f t="shared" si="30"/>
        <v>5.4910356818094738E-2</v>
      </c>
      <c r="C62" s="46">
        <f t="shared" si="28"/>
        <v>3.4636745444524297E-3</v>
      </c>
      <c r="D62" s="46">
        <f t="shared" si="29"/>
        <v>0.29290126121685417</v>
      </c>
      <c r="E62" s="7">
        <f>MAX((1-Parameters!$B$4)^Parameters!B$65*E61+B61*Parameters!B$65-Parameters!$B$5*B61^2/E61*Parameters!B$65,0.0001)</f>
        <v>0.81024091643096463</v>
      </c>
      <c r="F62" s="9">
        <f>(1-Parameters!$B$4)^Parameters!B$65*F61+C61*Parameters!B$65-Parameters!$B$5*C61^2/F61*Parameters!B$65</f>
        <v>6.2121058378809255E-2</v>
      </c>
      <c r="G62" s="7">
        <f>(1-Parameters!$B$4)^Parameters!B$65*G61+D61*Parameters!B$65-Parameters!$B$5*D61^2/G61*Parameters!B$65</f>
        <v>4.3513428116719588</v>
      </c>
      <c r="H62" s="7">
        <f>H61 *(1-Parameters!$B$4)-B61*(B61&lt;0)*Parameters!B$65</f>
        <v>0</v>
      </c>
      <c r="I62" s="7">
        <f>I61*(1+Parameters!$B$51)^Parameters!B$65</f>
        <v>9.6523436338286821</v>
      </c>
      <c r="J62" s="7">
        <f>J61*(1+Parameters!$B$53)^Parameters!B$65</f>
        <v>28.45681122530144</v>
      </c>
      <c r="K62" s="23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104.98381500262481</v>
      </c>
      <c r="L62" s="8">
        <f>L61+K62*Parameters!B$65</f>
        <v>6722.5634178887458</v>
      </c>
      <c r="M62" s="7">
        <f>M61+Parameters!$B$45*K62</f>
        <v>4.0335380507332452</v>
      </c>
      <c r="N62" s="7">
        <f>'6states'!O62</f>
        <v>0.96488512225442302</v>
      </c>
      <c r="O62" s="7">
        <f>MAX(O61+(Parameters!B$31-K62)*Parameters!B$65,30)</f>
        <v>30</v>
      </c>
      <c r="P62" s="7">
        <f>Parameters!B$61*EXP(-Parameters!B$60*A62)+(1-Parameters!B$61)*(O62/Parameters!B$62)^-Parameters!B$63</f>
        <v>0.63064440440910108</v>
      </c>
      <c r="Q62" s="9">
        <f>1-P62/Parameters!$B$12</f>
        <v>0.68467779779544946</v>
      </c>
      <c r="R62" s="23">
        <f t="shared" si="0"/>
        <v>3.1713593048906108</v>
      </c>
      <c r="S62" s="7">
        <f>(Parameters!$B$19*(E62+Parameters!$B$20)^Q62+Parameters!$B$18*F62^Q62)^(1/Q62)</f>
        <v>0.53683607520161181</v>
      </c>
      <c r="T62" s="7">
        <f>(Parameters!$B$10*G62^Parameters!$B$9 + Parameters!$B$11*S62^Parameters!$B$9) ^ (Parameters!$B$7/Parameters!$B$9) * N62</f>
        <v>1.4792906497463167</v>
      </c>
      <c r="U62" s="7">
        <f t="shared" si="1"/>
        <v>1.1280153571669154</v>
      </c>
      <c r="V62" s="7">
        <f>EXP(-Parameters!$B$55*A62)</f>
        <v>0.41652866342304673</v>
      </c>
      <c r="W62" s="7">
        <f>IF(U62&gt;0,U62^(1-Parameters!$B$52)/(1-Parameters!$B$52)*V62,-10+U62*1000)</f>
        <v>-1.1409499511284091</v>
      </c>
      <c r="X62" s="7"/>
      <c r="Y62" s="9">
        <f t="shared" si="22"/>
        <v>5.4910356818094731E-2</v>
      </c>
      <c r="Z62" s="9">
        <f t="shared" si="23"/>
        <v>3.4636745444524297E-3</v>
      </c>
      <c r="AA62" s="7">
        <f t="shared" si="24"/>
        <v>0.29290126121685417</v>
      </c>
      <c r="AB62" s="13">
        <f t="shared" si="5"/>
        <v>0.2374619839851225</v>
      </c>
    </row>
    <row r="63" spans="1:28" s="4" customFormat="1" x14ac:dyDescent="0.25">
      <c r="A63">
        <f>A62+Parameters!$B$65</f>
        <v>59</v>
      </c>
      <c r="B63" s="46">
        <f t="shared" si="30"/>
        <v>5.4910356818094738E-2</v>
      </c>
      <c r="C63" s="46">
        <f t="shared" si="28"/>
        <v>3.4636745444524297E-3</v>
      </c>
      <c r="D63" s="46">
        <f t="shared" si="29"/>
        <v>0.29290126121685417</v>
      </c>
      <c r="E63" s="7">
        <f>MAX((1-Parameters!$B$4)^Parameters!B$65*E62+B62*Parameters!B$65-Parameters!$B$5*B62^2/E62*Parameters!B$65,0.0001)</f>
        <v>0.81046582236574816</v>
      </c>
      <c r="F63" s="9">
        <f>(1-Parameters!$B$4)^Parameters!B$65*F62+C62*Parameters!B$65-Parameters!$B$5*C62^2/F62*Parameters!B$65</f>
        <v>6.1484194768620604E-2</v>
      </c>
      <c r="G63" s="7">
        <f>(1-Parameters!$B$4)^Parameters!B$65*G62+D62*Parameters!B$65-Parameters!$B$5*D62^2/G62*Parameters!B$65</f>
        <v>4.3508285930404673</v>
      </c>
      <c r="H63" s="7">
        <f>H62 *(1-Parameters!$B$4)-B62*(B62&lt;0)*Parameters!B$65</f>
        <v>0</v>
      </c>
      <c r="I63" s="7">
        <f>I62*(1+Parameters!$B$51)^Parameters!B$65</f>
        <v>9.6803354303667835</v>
      </c>
      <c r="J63" s="7">
        <f>J62*(1+Parameters!$B$53)^Parameters!B$65</f>
        <v>29.025947449807468</v>
      </c>
      <c r="K63" s="23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106.26644237207292</v>
      </c>
      <c r="L63" s="8">
        <f>L62+K63*Parameters!B$65</f>
        <v>6828.8298602608184</v>
      </c>
      <c r="M63" s="16">
        <f>M62+Parameters!$B$45*K63</f>
        <v>4.0972979161564886</v>
      </c>
      <c r="N63" s="7">
        <f>'6states'!O63</f>
        <v>0.96481582942415045</v>
      </c>
      <c r="O63" s="7">
        <f>MAX(O62+(Parameters!B$31-K63)*Parameters!B$65,30)</f>
        <v>30</v>
      </c>
      <c r="P63" s="7">
        <f>Parameters!B$61*EXP(-Parameters!B$60*A63)+(1-Parameters!B$61)*(O63/Parameters!B$62)^-Parameters!B$63</f>
        <v>0.62786226539810575</v>
      </c>
      <c r="Q63" s="9">
        <f>1-P63/Parameters!$B$12</f>
        <v>0.68606886730094718</v>
      </c>
      <c r="R63" s="23">
        <f t="shared" si="0"/>
        <v>3.1854120086861242</v>
      </c>
      <c r="S63" s="7">
        <f>(Parameters!$B$19*(E63+Parameters!$B$20)^Q63+Parameters!$B$18*F63^Q63)^(1/Q63)</f>
        <v>0.53685855574102925</v>
      </c>
      <c r="T63" s="7">
        <f>(Parameters!$B$10*G63^Parameters!$B$9 + Parameters!$B$11*S63^Parameters!$B$9) ^ (Parameters!$B$7/Parameters!$B$9) * N63</f>
        <v>1.4791439371194457</v>
      </c>
      <c r="U63" s="7">
        <f t="shared" si="1"/>
        <v>1.1278686445400443</v>
      </c>
      <c r="V63" s="16">
        <f>EXP(-Parameters!$B$55*A63)</f>
        <v>0.41028632884056476</v>
      </c>
      <c r="W63" s="16">
        <f>IF(U63&gt;0,U63^(1-Parameters!$B$52)/(1-Parameters!$B$52)*V63,-10+U63*1000)</f>
        <v>-1.1239021929669131</v>
      </c>
      <c r="X63" s="7"/>
      <c r="Y63" s="9">
        <f t="shared" si="22"/>
        <v>5.4938419472477705E-2</v>
      </c>
      <c r="Z63" s="9">
        <f t="shared" si="23"/>
        <v>3.3791381410915966E-3</v>
      </c>
      <c r="AA63" s="7">
        <f t="shared" si="24"/>
        <v>0.292869455548942</v>
      </c>
      <c r="AB63" s="13">
        <f t="shared" si="5"/>
        <v>0.23748553725169663</v>
      </c>
    </row>
    <row r="64" spans="1:28" s="3" customFormat="1" x14ac:dyDescent="0.25">
      <c r="A64" s="3">
        <f>A63+Parameters!$B$65</f>
        <v>60</v>
      </c>
      <c r="B64" s="47">
        <v>5.4994544781243625E-2</v>
      </c>
      <c r="C64" s="47">
        <v>3.2100653343699304E-3</v>
      </c>
      <c r="D64" s="48">
        <v>0.29280584421311762</v>
      </c>
      <c r="E64" s="17">
        <f>MAX((1-Parameters!$B$4)^Parameters!B$65*E63+B63*Parameters!B$65-Parameters!$B$5*B63^2/E63*Parameters!B$65,0.0001)</f>
        <v>0.81067761438488151</v>
      </c>
      <c r="F64" s="22">
        <f>(1-Parameters!$B$4)^Parameters!B$65*F63+C63*Parameters!B$65-Parameters!$B$5*C63^2/F63*Parameters!B$65</f>
        <v>6.0885389473026262E-2</v>
      </c>
      <c r="G64" s="17">
        <f>(1-Parameters!$B$4)^Parameters!B$65*G63+D63*Parameters!B$65-Parameters!$B$5*D63^2/G63*Parameters!B$65</f>
        <v>4.3503443885511315</v>
      </c>
      <c r="H64" s="7">
        <f>H63 *(1-Parameters!$B$4)-B63*(B63&lt;0)*Parameters!B$65</f>
        <v>0</v>
      </c>
      <c r="I64" s="17">
        <f>I63*(1+Parameters!$B$51)^Parameters!B$65</f>
        <v>9.7084084031148468</v>
      </c>
      <c r="J64" s="17">
        <f>J63*(1+Parameters!$B$53)^Parameters!B$65</f>
        <v>29.606466398803619</v>
      </c>
      <c r="K64" s="24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107.56539902166429</v>
      </c>
      <c r="L64" s="26">
        <f>L63+K64*Parameters!B$65</f>
        <v>6936.3952592824826</v>
      </c>
      <c r="M64" s="17">
        <f>M63+Parameters!$B$45*K64</f>
        <v>4.1618371555694873</v>
      </c>
      <c r="N64" s="17">
        <f>'6states'!O64</f>
        <v>0.96474987700168069</v>
      </c>
      <c r="O64" s="17">
        <f>MAX(O63+(Parameters!B$31-K64)*Parameters!B$65,30)</f>
        <v>30</v>
      </c>
      <c r="P64" s="17">
        <f>Parameters!B$61*EXP(-Parameters!B$60*A64)+(1-Parameters!B$61)*(O64/Parameters!B$62)^-Parameters!B$63</f>
        <v>0.62515423911626999</v>
      </c>
      <c r="Q64" s="22">
        <f>1-P64/Parameters!$B$12</f>
        <v>0.68742288044186495</v>
      </c>
      <c r="R64" s="24">
        <f t="shared" si="0"/>
        <v>3.1992104905618781</v>
      </c>
      <c r="S64" s="17">
        <f>(Parameters!$B$19*(E64+Parameters!$B$20)^Q64+Parameters!$B$18*F64^Q64)^(1/Q64)</f>
        <v>0.53688958343727589</v>
      </c>
      <c r="T64" s="17">
        <f>(Parameters!$B$10*G64^Parameters!$B$9 + Parameters!$B$11*S64^Parameters!$B$9) ^ (Parameters!$B$7/Parameters!$B$9) * N64</f>
        <v>1.4790060756822259</v>
      </c>
      <c r="U64" s="17">
        <f t="shared" si="1"/>
        <v>1.1279956213534947</v>
      </c>
      <c r="V64" s="17">
        <f>EXP(-Parameters!$B$55*A64)</f>
        <v>0.40413754542145147</v>
      </c>
      <c r="W64" s="17">
        <f>IF(U64&gt;0,U64^(1-Parameters!$B$52)/(1-Parameters!$B$52)*V64,-10+U64*1000)</f>
        <v>-1.1070151392371981</v>
      </c>
      <c r="X64" s="17"/>
      <c r="Y64" s="22" t="s">
        <v>15</v>
      </c>
      <c r="Z64" s="22"/>
      <c r="AA64" s="17"/>
      <c r="AB64" s="31">
        <f t="shared" si="5"/>
        <v>0.23732860878669446</v>
      </c>
    </row>
    <row r="65" spans="1:27" x14ac:dyDescent="0.25">
      <c r="A65">
        <f>A64+Parameters!$B$65</f>
        <v>61</v>
      </c>
      <c r="B65" s="46">
        <f>B64</f>
        <v>5.4994544781243625E-2</v>
      </c>
      <c r="C65" s="46">
        <f t="shared" ref="C65:C73" si="31">C64</f>
        <v>3.2100653343699304E-3</v>
      </c>
      <c r="D65" s="46">
        <f t="shared" ref="D65:D73" si="32">D64</f>
        <v>0.29280584421311762</v>
      </c>
      <c r="E65" s="7">
        <f>MAX((1-Parameters!$B$4)^Parameters!B$65*E64+B64*Parameters!B$65-Parameters!$B$5*B64^2/E64*Parameters!B$65,0.0001)</f>
        <v>0.81094983107866414</v>
      </c>
      <c r="F65" s="9">
        <f>(1-Parameters!$B$4)^Parameters!B$65*F64+C64*Parameters!B$65-Parameters!$B$5*C64^2/F64*Parameters!B$65</f>
        <v>6.0096519274193544E-2</v>
      </c>
      <c r="G65" s="7">
        <f>(1-Parameters!$B$4)^Parameters!B$65*G64+D64*Parameters!B$65-Parameters!$B$5*D64^2/G64*Parameters!B$65</f>
        <v>4.3498058752529651</v>
      </c>
      <c r="H65" s="7">
        <f>H64 *(1-Parameters!$B$4)-B64*(B64&lt;0)*Parameters!B$65</f>
        <v>0</v>
      </c>
      <c r="I65" s="7">
        <f>I64*(1+Parameters!$B$51)^Parameters!B$65</f>
        <v>9.7365627874838783</v>
      </c>
      <c r="J65" s="7">
        <f>J64*(1+Parameters!$B$53)^Parameters!B$65</f>
        <v>30.198595726779693</v>
      </c>
      <c r="K65" s="23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108.89072604309204</v>
      </c>
      <c r="L65" s="8">
        <f>L64+K65*Parameters!B$65</f>
        <v>7045.285985325575</v>
      </c>
      <c r="M65" s="7">
        <f>M64+Parameters!$B$45*K65</f>
        <v>4.2271715911953427</v>
      </c>
      <c r="N65" s="7">
        <f>'6states'!O65</f>
        <v>0.96468711985384126</v>
      </c>
      <c r="O65" s="7">
        <f>MAX(O64+(Parameters!B$31-K65)*Parameters!B$65,30)</f>
        <v>30</v>
      </c>
      <c r="P65" s="7">
        <f>Parameters!B$61*EXP(-Parameters!B$60*A65)+(1-Parameters!B$61)*(O65/Parameters!B$62)^-Parameters!B$63</f>
        <v>0.62251835129250177</v>
      </c>
      <c r="Q65" s="9">
        <f>1-P65/Parameters!$B$12</f>
        <v>0.68874082435374917</v>
      </c>
      <c r="R65" s="23">
        <f t="shared" si="0"/>
        <v>3.2127566935938621</v>
      </c>
      <c r="S65" s="7">
        <f>(Parameters!$B$19*(E65+Parameters!$B$20)^Q65+Parameters!$B$18*F65^Q65)^(1/Q65)</f>
        <v>0.53683718822869864</v>
      </c>
      <c r="T65" s="7">
        <f>(Parameters!$B$10*G65^Parameters!$B$9 + Parameters!$B$11*S65^Parameters!$B$9) ^ (Parameters!$B$7/Parameters!$B$9) * N65</f>
        <v>1.4788568994295934</v>
      </c>
      <c r="U65" s="7">
        <f t="shared" si="1"/>
        <v>1.1278464451008623</v>
      </c>
      <c r="V65" s="7">
        <f>EXP(-Parameters!$B$55*A65)</f>
        <v>0.39808091115496053</v>
      </c>
      <c r="W65" s="7">
        <f>IF(U65&gt;0,U65^(1-Parameters!$B$52)/(1-Parameters!$B$52)*V65,-10+U65*1000)</f>
        <v>-1.090475260201224</v>
      </c>
      <c r="X65" s="7"/>
      <c r="Y65" s="7"/>
      <c r="Z65" s="7"/>
      <c r="AA65" s="7"/>
    </row>
    <row r="66" spans="1:27" x14ac:dyDescent="0.25">
      <c r="A66">
        <f>A65+Parameters!$B$65</f>
        <v>62</v>
      </c>
      <c r="B66" s="46">
        <f t="shared" ref="B66:B73" si="33">B65</f>
        <v>5.4994544781243625E-2</v>
      </c>
      <c r="C66" s="46">
        <f t="shared" si="31"/>
        <v>3.2100653343699304E-3</v>
      </c>
      <c r="D66" s="46">
        <f t="shared" si="32"/>
        <v>0.29280584421311762</v>
      </c>
      <c r="E66" s="7">
        <f>MAX((1-Parameters!$B$4)^Parameters!B$65*E65+B65*Parameters!B$65-Parameters!$B$5*B65^2/E65*Parameters!B$65,0.0001)</f>
        <v>0.81120617765229519</v>
      </c>
      <c r="F66" s="9">
        <f>(1-Parameters!$B$4)^Parameters!B$65*F65+C65*Parameters!B$65-Parameters!$B$5*C65^2/F65*Parameters!B$65</f>
        <v>5.9355047385191498E-2</v>
      </c>
      <c r="G66" s="7">
        <f>(1-Parameters!$B$4)^Parameters!B$65*G65+D65*Parameters!B$65-Parameters!$B$5*D65^2/G65*Parameters!B$65</f>
        <v>4.3492987945953407</v>
      </c>
      <c r="H66" s="7">
        <f>H65 *(1-Parameters!$B$4)-B65*(B65&lt;0)*Parameters!B$65</f>
        <v>0</v>
      </c>
      <c r="I66" s="7">
        <f>I65*(1+Parameters!$B$51)^Parameters!B$65</f>
        <v>9.7647988195675808</v>
      </c>
      <c r="J66" s="7">
        <f>J65*(1+Parameters!$B$53)^Parameters!B$65</f>
        <v>30.802567641315289</v>
      </c>
      <c r="K66" s="23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110.23257958093149</v>
      </c>
      <c r="L66" s="8">
        <f>L65+K66*Parameters!B$65</f>
        <v>7155.5185649065061</v>
      </c>
      <c r="M66" s="7">
        <f>M65+Parameters!$B$45*K66</f>
        <v>4.2933111389439018</v>
      </c>
      <c r="N66" s="7">
        <f>'6states'!O66</f>
        <v>0.96462743407808216</v>
      </c>
      <c r="O66" s="7">
        <f>MAX(O65+(Parameters!B$31-K66)*Parameters!B$65,30)</f>
        <v>30</v>
      </c>
      <c r="P66" s="7">
        <f>Parameters!B$61*EXP(-Parameters!B$60*A66)+(1-Parameters!B$61)*(O66/Parameters!B$62)^-Parameters!B$63</f>
        <v>0.61995268024783989</v>
      </c>
      <c r="Q66" s="9">
        <f>1-P66/Parameters!$B$12</f>
        <v>0.69002365987608005</v>
      </c>
      <c r="R66" s="23">
        <f t="shared" si="0"/>
        <v>3.2260526709884623</v>
      </c>
      <c r="S66" s="7">
        <f>(Parameters!$B$19*(E66+Parameters!$B$20)^Q66+Parameters!$B$18*F66^Q66)^(1/Q66)</f>
        <v>0.53679742384437545</v>
      </c>
      <c r="T66" s="7">
        <f>(Parameters!$B$10*G66^Parameters!$B$9 + Parameters!$B$11*S66^Parameters!$B$9) ^ (Parameters!$B$7/Parameters!$B$9) * N66</f>
        <v>1.4787168568046449</v>
      </c>
      <c r="U66" s="7">
        <f t="shared" si="1"/>
        <v>1.1277064024759138</v>
      </c>
      <c r="V66" s="7">
        <f>EXP(-Parameters!$B$55*A66)</f>
        <v>0.39211504504167288</v>
      </c>
      <c r="W66" s="7">
        <f>IF(U66&gt;0,U66^(1-Parameters!$B$52)/(1-Parameters!$B$52)*V66,-10+U66*1000)</f>
        <v>-1.0741794645141591</v>
      </c>
      <c r="X66" s="7"/>
      <c r="Y66" s="7"/>
      <c r="Z66" s="7"/>
      <c r="AA66" s="7"/>
    </row>
    <row r="67" spans="1:27" x14ac:dyDescent="0.25">
      <c r="A67">
        <f>A66+Parameters!$B$65</f>
        <v>63</v>
      </c>
      <c r="B67" s="46">
        <f t="shared" si="33"/>
        <v>5.4994544781243625E-2</v>
      </c>
      <c r="C67" s="46">
        <f t="shared" si="31"/>
        <v>3.2100653343699304E-3</v>
      </c>
      <c r="D67" s="46">
        <f t="shared" si="32"/>
        <v>0.29280584421311762</v>
      </c>
      <c r="E67" s="7">
        <f>MAX((1-Parameters!$B$4)^Parameters!B$65*E66+B66*Parameters!B$65-Parameters!$B$5*B66^2/E66*Parameters!B$65,0.0001)</f>
        <v>0.81144757855878091</v>
      </c>
      <c r="F67" s="9">
        <f>(1-Parameters!$B$4)^Parameters!B$65*F66+C66*Parameters!B$65-Parameters!$B$5*C66^2/F66*Parameters!B$65</f>
        <v>5.8658072097773205E-2</v>
      </c>
      <c r="G67" s="7">
        <f>(1-Parameters!$B$4)^Parameters!B$65*G66+D66*Parameters!B$65-Parameters!$B$5*D66^2/G66*Parameters!B$65</f>
        <v>4.3488213113249339</v>
      </c>
      <c r="H67" s="7">
        <f>H66 *(1-Parameters!$B$4)-B66*(B66&lt;0)*Parameters!B$65</f>
        <v>0</v>
      </c>
      <c r="I67" s="7">
        <f>I66*(1+Parameters!$B$51)^Parameters!B$65</f>
        <v>9.7931167361443254</v>
      </c>
      <c r="J67" s="7">
        <f>J66*(1+Parameters!$B$53)^Parameters!B$65</f>
        <v>31.418618994141596</v>
      </c>
      <c r="K67" s="23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111.59124763953068</v>
      </c>
      <c r="L67" s="8">
        <f>L66+K67*Parameters!B$65</f>
        <v>7267.1098125460367</v>
      </c>
      <c r="M67" s="7">
        <f>M66+Parameters!$B$45*K67</f>
        <v>4.3602658875276203</v>
      </c>
      <c r="N67" s="7">
        <f>'6states'!O67</f>
        <v>0.96457066697764482</v>
      </c>
      <c r="O67" s="7">
        <f>MAX(O66+(Parameters!B$31-K67)*Parameters!B$65,30)</f>
        <v>30</v>
      </c>
      <c r="P67" s="7">
        <f>Parameters!B$61*EXP(-Parameters!B$60*A67)+(1-Parameters!B$61)*(O67/Parameters!B$62)^-Parameters!B$63</f>
        <v>0.61745535549446484</v>
      </c>
      <c r="Q67" s="9">
        <f>1-P67/Parameters!$B$12</f>
        <v>0.69127232225276758</v>
      </c>
      <c r="R67" s="23">
        <f t="shared" si="0"/>
        <v>3.2391005798279595</v>
      </c>
      <c r="S67" s="7">
        <f>(Parameters!$B$19*(E67+Parameters!$B$20)^Q67+Parameters!$B$18*F67^Q67)^(1/Q67)</f>
        <v>0.53676927885209191</v>
      </c>
      <c r="T67" s="7">
        <f>(Parameters!$B$10*G67^Parameters!$B$9 + Parameters!$B$11*S67^Parameters!$B$9) ^ (Parameters!$B$7/Parameters!$B$9) * N67</f>
        <v>1.4785854164975785</v>
      </c>
      <c r="U67" s="7">
        <f t="shared" si="1"/>
        <v>1.1275749621688473</v>
      </c>
      <c r="V67" s="7">
        <f>EXP(-Parameters!$B$55*A67)</f>
        <v>0.38623858677860945</v>
      </c>
      <c r="W67" s="7">
        <f>IF(U67&gt;0,U67^(1-Parameters!$B$52)/(1-Parameters!$B$52)*V67,-10+U67*1000)</f>
        <v>-1.0581243695438447</v>
      </c>
      <c r="X67" s="7"/>
      <c r="Y67" s="7"/>
      <c r="Z67" s="7"/>
      <c r="AA67" s="7"/>
    </row>
    <row r="68" spans="1:27" x14ac:dyDescent="0.25">
      <c r="A68">
        <f>A67+Parameters!$B$65</f>
        <v>64</v>
      </c>
      <c r="B68" s="46">
        <f t="shared" si="33"/>
        <v>5.4994544781243625E-2</v>
      </c>
      <c r="C68" s="46">
        <f t="shared" si="31"/>
        <v>3.2100653343699304E-3</v>
      </c>
      <c r="D68" s="46">
        <f t="shared" si="32"/>
        <v>0.29280584421311762</v>
      </c>
      <c r="E68" s="7">
        <f>MAX((1-Parameters!$B$4)^Parameters!B$65*E67+B67*Parameters!B$65-Parameters!$B$5*B67^2/E67*Parameters!B$65,0.0001)</f>
        <v>0.81167490448833479</v>
      </c>
      <c r="F68" s="9">
        <f>(1-Parameters!$B$4)^Parameters!B$65*F67+C67*Parameters!B$65-Parameters!$B$5*C67^2/F67*Parameters!B$65</f>
        <v>5.8002873743777834E-2</v>
      </c>
      <c r="G68" s="7">
        <f>(1-Parameters!$B$4)^Parameters!B$65*G67+D67*Parameters!B$65-Parameters!$B$5*D67^2/G67*Parameters!B$65</f>
        <v>4.3483716974055202</v>
      </c>
      <c r="H68" s="7">
        <f>H67 *(1-Parameters!$B$4)-B67*(B67&lt;0)*Parameters!B$65</f>
        <v>0</v>
      </c>
      <c r="I68" s="7">
        <f>I67*(1+Parameters!$B$51)^Parameters!B$65</f>
        <v>9.821516774679143</v>
      </c>
      <c r="J68" s="7">
        <f>J67*(1+Parameters!$B$53)^Parameters!B$65</f>
        <v>32.046991374024429</v>
      </c>
      <c r="K68" s="23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112.96701799170553</v>
      </c>
      <c r="L68" s="8">
        <f>L67+K68*Parameters!B$65</f>
        <v>7380.0768305377424</v>
      </c>
      <c r="M68" s="7">
        <f>M67+Parameters!$B$45*K68</f>
        <v>4.4280460983226435</v>
      </c>
      <c r="N68" s="7">
        <f>'6states'!O68</f>
        <v>0.9645166731533088</v>
      </c>
      <c r="O68" s="7">
        <f>MAX(O67+(Parameters!B$31-K68)*Parameters!B$65,30)</f>
        <v>30</v>
      </c>
      <c r="P68" s="7">
        <f>Parameters!B$61*EXP(-Parameters!B$60*A68)+(1-Parameters!B$61)*(O68/Parameters!B$62)^-Parameters!B$63</f>
        <v>0.61502455637203013</v>
      </c>
      <c r="Q68" s="9">
        <f>1-P68/Parameters!$B$12</f>
        <v>0.69248772181398488</v>
      </c>
      <c r="R68" s="23">
        <f t="shared" si="0"/>
        <v>3.2519026749074942</v>
      </c>
      <c r="S68" s="7">
        <f>(Parameters!$B$19*(E68+Parameters!$B$20)^Q68+Parameters!$B$18*F68^Q68)^(1/Q68)</f>
        <v>0.5367518061294162</v>
      </c>
      <c r="T68" s="7">
        <f>(Parameters!$B$10*G68^Parameters!$B$9 + Parameters!$B$11*S68^Parameters!$B$9) ^ (Parameters!$B$7/Parameters!$B$9) * N68</f>
        <v>1.4784620763136163</v>
      </c>
      <c r="U68" s="7">
        <f t="shared" si="1"/>
        <v>1.1274516219848851</v>
      </c>
      <c r="V68" s="7">
        <f>EXP(-Parameters!$B$55*A68)</f>
        <v>0.38045019644906247</v>
      </c>
      <c r="W68" s="7">
        <f>IF(U68&gt;0,U68^(1-Parameters!$B$52)/(1-Parameters!$B$52)*V68,-10+U68*1000)</f>
        <v>-1.0423066241348677</v>
      </c>
      <c r="X68" s="7"/>
      <c r="Y68" s="7"/>
      <c r="Z68" s="7"/>
      <c r="AA68" s="7"/>
    </row>
    <row r="69" spans="1:27" x14ac:dyDescent="0.25">
      <c r="A69">
        <f>A68+Parameters!$B$65</f>
        <v>65</v>
      </c>
      <c r="B69" s="46">
        <f t="shared" si="33"/>
        <v>5.4994544781243625E-2</v>
      </c>
      <c r="C69" s="46">
        <f t="shared" si="31"/>
        <v>3.2100653343699304E-3</v>
      </c>
      <c r="D69" s="46">
        <f t="shared" si="32"/>
        <v>0.29280584421311762</v>
      </c>
      <c r="E69" s="7">
        <f>MAX((1-Parameters!$B$4)^Parameters!B$65*E68+B68*Parameters!B$65-Parameters!$B$5*B68^2/E68*Parameters!B$65,0.0001)</f>
        <v>0.81188897548498473</v>
      </c>
      <c r="F69" s="9">
        <f>(1-Parameters!$B$4)^Parameters!B$65*F68+C68*Parameters!B$65-Parameters!$B$5*C68^2/F68*Parameters!B$65</f>
        <v>5.7386902993542842E-2</v>
      </c>
      <c r="G69" s="7">
        <f>(1-Parameters!$B$4)^Parameters!B$65*G68+D68*Parameters!B$65-Parameters!$B$5*D68^2/G68*Parameters!B$65</f>
        <v>4.3479483257472147</v>
      </c>
      <c r="H69" s="7">
        <f>H68 *(1-Parameters!$B$4)-B68*(B68&lt;0)*Parameters!B$65</f>
        <v>0</v>
      </c>
      <c r="I69" s="7">
        <f>I68*(1+Parameters!$B$51)^Parameters!B$65</f>
        <v>9.8499991733257115</v>
      </c>
      <c r="J69" s="7">
        <f>J68*(1+Parameters!$B$53)^Parameters!B$65</f>
        <v>32.687931201504917</v>
      </c>
      <c r="K69" s="23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114.36017837522463</v>
      </c>
      <c r="L69" s="8">
        <f>L68+K69*Parameters!B$65</f>
        <v>7494.437008912967</v>
      </c>
      <c r="M69" s="7">
        <f>M68+Parameters!$B$45*K69</f>
        <v>4.4966622053477785</v>
      </c>
      <c r="N69" s="7">
        <f>'6states'!O69</f>
        <v>0.96446531417791836</v>
      </c>
      <c r="O69" s="7">
        <f>MAX(O68+(Parameters!B$31-K69)*Parameters!B$65,30)</f>
        <v>30</v>
      </c>
      <c r="P69" s="7">
        <f>Parameters!B$61*EXP(-Parameters!B$60*A69)+(1-Parameters!B$61)*(O69/Parameters!B$62)^-Parameters!B$63</f>
        <v>0.61265851072032085</v>
      </c>
      <c r="Q69" s="9">
        <f>1-P69/Parameters!$B$12</f>
        <v>0.69367074463983958</v>
      </c>
      <c r="R69" s="23">
        <f t="shared" ref="R69:R132" si="34">1/(1-Q69)</f>
        <v>3.2644613026733937</v>
      </c>
      <c r="S69" s="7">
        <f>(Parameters!$B$19*(E69+Parameters!$B$20)^Q69+Parameters!$B$18*F69^Q69)^(1/Q69)</f>
        <v>0.53674411952782941</v>
      </c>
      <c r="T69" s="7">
        <f>(Parameters!$B$10*G69^Parameters!$B$9 + Parameters!$B$11*S69^Parameters!$B$9) ^ (Parameters!$B$7/Parameters!$B$9) * N69</f>
        <v>1.4783463617331236</v>
      </c>
      <c r="U69" s="7">
        <f t="shared" ref="U69:U132" si="35">T69-B69-C69-D69</f>
        <v>1.1273359074043925</v>
      </c>
      <c r="V69" s="7">
        <f>EXP(-Parameters!$B$55*A69)</f>
        <v>0.37474855421707526</v>
      </c>
      <c r="W69" s="7">
        <f>IF(U69&gt;0,U69^(1-Parameters!$B$52)/(1-Parameters!$B$52)*V69,-10+U69*1000)</f>
        <v>-1.0267229094021495</v>
      </c>
      <c r="X69" s="7"/>
      <c r="Y69" s="7"/>
      <c r="Z69" s="7"/>
      <c r="AA69" s="7"/>
    </row>
    <row r="70" spans="1:27" x14ac:dyDescent="0.25">
      <c r="A70">
        <f>A69+Parameters!$B$65</f>
        <v>66</v>
      </c>
      <c r="B70" s="46">
        <f t="shared" si="33"/>
        <v>5.4994544781243625E-2</v>
      </c>
      <c r="C70" s="46">
        <f t="shared" si="31"/>
        <v>3.2100653343699304E-3</v>
      </c>
      <c r="D70" s="46">
        <f t="shared" si="32"/>
        <v>0.29280584421311762</v>
      </c>
      <c r="E70" s="7">
        <f>MAX((1-Parameters!$B$4)^Parameters!B$65*E69+B69*Parameters!B$65-Parameters!$B$5*B69^2/E69*Parameters!B$65,0.0001)</f>
        <v>0.81209056388366796</v>
      </c>
      <c r="F70" s="9">
        <f>(1-Parameters!$B$4)^Parameters!B$65*F69+C69*Parameters!B$65-Parameters!$B$5*C69^2/F69*Parameters!B$65</f>
        <v>5.6807769913966993E-2</v>
      </c>
      <c r="G70" s="7">
        <f>(1-Parameters!$B$4)^Parameters!B$65*G69+D69*Parameters!B$65-Parameters!$B$5*D69^2/G69*Parameters!B$65</f>
        <v>4.3475496643032612</v>
      </c>
      <c r="H70" s="7">
        <f>H69 *(1-Parameters!$B$4)-B69*(B69&lt;0)*Parameters!B$65</f>
        <v>0</v>
      </c>
      <c r="I70" s="7">
        <f>I69*(1+Parameters!$B$51)^Parameters!B$65</f>
        <v>9.8785641709283549</v>
      </c>
      <c r="J70" s="7">
        <f>J69*(1+Parameters!$B$53)^Parameters!B$65</f>
        <v>33.341689825535013</v>
      </c>
      <c r="K70" s="23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115.77101668184268</v>
      </c>
      <c r="L70" s="8">
        <f>L69+K70*Parameters!B$65</f>
        <v>7610.2080255948094</v>
      </c>
      <c r="M70" s="7">
        <f>M69+Parameters!$B$45*K70</f>
        <v>4.5661248153568845</v>
      </c>
      <c r="N70" s="7">
        <f>'6states'!O70</f>
        <v>0.9644164582828606</v>
      </c>
      <c r="O70" s="7">
        <f>MAX(O69+(Parameters!B$31-K70)*Parameters!B$65,30)</f>
        <v>30</v>
      </c>
      <c r="P70" s="7">
        <f>Parameters!B$61*EXP(-Parameters!B$60*A70)+(1-Parameters!B$61)*(O70/Parameters!B$62)^-Parameters!B$63</f>
        <v>0.61035549358726982</v>
      </c>
      <c r="Q70" s="9">
        <f>1-P70/Parameters!$B$12</f>
        <v>0.69482225320636504</v>
      </c>
      <c r="R70" s="23">
        <f t="shared" si="34"/>
        <v>3.2767788952718515</v>
      </c>
      <c r="S70" s="7">
        <f>(Parameters!$B$19*(E70+Parameters!$B$20)^Q70+Parameters!$B$18*F70^Q70)^(1/Q70)</f>
        <v>0.53674539063725846</v>
      </c>
      <c r="T70" s="7">
        <f>(Parameters!$B$10*G70^Parameters!$B$9 + Parameters!$B$11*S70^Parameters!$B$9) ^ (Parameters!$B$7/Parameters!$B$9) * N70</f>
        <v>1.4782378245239005</v>
      </c>
      <c r="U70" s="7">
        <f t="shared" si="35"/>
        <v>1.1272273701951694</v>
      </c>
      <c r="V70" s="7">
        <f>EXP(-Parameters!$B$55*A70)</f>
        <v>0.36913236002650052</v>
      </c>
      <c r="W70" s="7">
        <f>IF(U70&gt;0,U70^(1-Parameters!$B$52)/(1-Parameters!$B$52)*V70,-10+U70*1000)</f>
        <v>-1.0113699394387916</v>
      </c>
      <c r="X70" s="7"/>
      <c r="Y70" s="7"/>
      <c r="Z70" s="7"/>
      <c r="AA70" s="7"/>
    </row>
    <row r="71" spans="1:27" x14ac:dyDescent="0.25">
      <c r="A71">
        <f>A70+Parameters!$B$65</f>
        <v>67</v>
      </c>
      <c r="B71" s="46">
        <f t="shared" si="33"/>
        <v>5.4994544781243625E-2</v>
      </c>
      <c r="C71" s="46">
        <f t="shared" si="31"/>
        <v>3.2100653343699304E-3</v>
      </c>
      <c r="D71" s="46">
        <f t="shared" si="32"/>
        <v>0.29280584421311762</v>
      </c>
      <c r="E71" s="7">
        <f>MAX((1-Parameters!$B$4)^Parameters!B$65*E70+B70*Parameters!B$65-Parameters!$B$5*B70^2/E70*Parameters!B$65,0.0001)</f>
        <v>0.81228039707801869</v>
      </c>
      <c r="F71" s="9">
        <f>(1-Parameters!$B$4)^Parameters!B$65*F70+C70*Parameters!B$65-Parameters!$B$5*C70^2/F70*Parameters!B$65</f>
        <v>5.626323373827289E-2</v>
      </c>
      <c r="G71" s="7">
        <f>(1-Parameters!$B$4)^Parameters!B$65*G70+D70*Parameters!B$65-Parameters!$B$5*D70^2/G70*Parameters!B$65</f>
        <v>4.3471742705127365</v>
      </c>
      <c r="H71" s="7">
        <f>H70 *(1-Parameters!$B$4)-B70*(B70&lt;0)*Parameters!B$65</f>
        <v>0</v>
      </c>
      <c r="I71" s="7">
        <f>I70*(1+Parameters!$B$51)^Parameters!B$65</f>
        <v>9.9072120070240466</v>
      </c>
      <c r="J71" s="7">
        <f>J70*(1+Parameters!$B$53)^Parameters!B$65</f>
        <v>34.008523622045715</v>
      </c>
      <c r="K71" s="23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117.19982113928988</v>
      </c>
      <c r="L71" s="8">
        <f>L70+K71*Parameters!B$65</f>
        <v>7727.4078467340996</v>
      </c>
      <c r="M71" s="7">
        <f>M70+Parameters!$B$45*K71</f>
        <v>4.6364447080404583</v>
      </c>
      <c r="N71" s="7">
        <f>'6states'!O71</f>
        <v>0.96437000358234404</v>
      </c>
      <c r="O71" s="7">
        <f>MAX(O70+(Parameters!B$31-K71)*Parameters!B$65,30)</f>
        <v>30</v>
      </c>
      <c r="P71" s="7">
        <f>Parameters!B$61*EXP(-Parameters!B$60*A71)+(1-Parameters!B$61)*(O71/Parameters!B$62)^-Parameters!B$63</f>
        <v>0.60811382597139152</v>
      </c>
      <c r="Q71" s="9">
        <f>1-P71/Parameters!$B$12</f>
        <v>0.69594308701430418</v>
      </c>
      <c r="R71" s="23">
        <f t="shared" si="34"/>
        <v>3.2888579647161138</v>
      </c>
      <c r="S71" s="7">
        <f>(Parameters!$B$19*(E71+Parameters!$B$20)^Q71+Parameters!$B$18*F71^Q71)^(1/Q71)</f>
        <v>0.53675484565711629</v>
      </c>
      <c r="T71" s="7">
        <f>(Parameters!$B$10*G71^Parameters!$B$9 + Parameters!$B$11*S71^Parameters!$B$9) ^ (Parameters!$B$7/Parameters!$B$9) * N71</f>
        <v>1.4781360774655508</v>
      </c>
      <c r="U71" s="7">
        <f t="shared" si="35"/>
        <v>1.1271256231368196</v>
      </c>
      <c r="V71" s="7">
        <f>EXP(-Parameters!$B$55*A71)</f>
        <v>0.3636003333045692</v>
      </c>
      <c r="W71" s="7">
        <f>IF(U71&gt;0,U71^(1-Parameters!$B$52)/(1-Parameters!$B$52)*V71,-10+U71*1000)</f>
        <v>-0.99624445078726698</v>
      </c>
      <c r="X71" s="7"/>
      <c r="Y71" s="7"/>
      <c r="Z71" s="7"/>
      <c r="AA71" s="7"/>
    </row>
    <row r="72" spans="1:27" x14ac:dyDescent="0.25">
      <c r="A72">
        <f>A71+Parameters!$B$65</f>
        <v>68</v>
      </c>
      <c r="B72" s="46">
        <f t="shared" si="33"/>
        <v>5.4994544781243625E-2</v>
      </c>
      <c r="C72" s="46">
        <f t="shared" si="31"/>
        <v>3.2100653343699304E-3</v>
      </c>
      <c r="D72" s="46">
        <f t="shared" si="32"/>
        <v>0.29280584421311762</v>
      </c>
      <c r="E72" s="7">
        <f>MAX((1-Parameters!$B$4)^Parameters!B$65*E71+B71*Parameters!B$65-Parameters!$B$5*B71^2/E71*Parameters!B$65,0.0001)</f>
        <v>0.81245916012849029</v>
      </c>
      <c r="F72" s="9">
        <f>(1-Parameters!$B$4)^Parameters!B$65*F71+C71*Parameters!B$65-Parameters!$B$5*C71^2/F71*Parameters!B$65</f>
        <v>5.5751193302268069E-2</v>
      </c>
      <c r="G72" s="7">
        <f>(1-Parameters!$B$4)^Parameters!B$65*G71+D71*Parameters!B$65-Parameters!$B$5*D71^2/G71*Parameters!B$65</f>
        <v>4.3468207860688226</v>
      </c>
      <c r="H72" s="7">
        <f>H71 *(1-Parameters!$B$4)-B71*(B71&lt;0)*Parameters!B$65</f>
        <v>0</v>
      </c>
      <c r="I72" s="7">
        <f>I71*(1+Parameters!$B$51)^Parameters!B$65</f>
        <v>9.9359429218444149</v>
      </c>
      <c r="J72" s="7">
        <f>J71*(1+Parameters!$B$53)^Parameters!B$65</f>
        <v>34.688694094486628</v>
      </c>
      <c r="K72" s="23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118.64688048660575</v>
      </c>
      <c r="L72" s="8">
        <f>L71+K72*Parameters!B$65</f>
        <v>7846.054727220705</v>
      </c>
      <c r="M72" s="7">
        <f>M71+Parameters!$B$45*K72</f>
        <v>4.7076328363324214</v>
      </c>
      <c r="N72" s="7">
        <f>'6states'!O72</f>
        <v>0.96432582987612914</v>
      </c>
      <c r="O72" s="7">
        <f>MAX(O71+(Parameters!B$31-K72)*Parameters!B$65,30)</f>
        <v>30</v>
      </c>
      <c r="P72" s="7">
        <f>Parameters!B$61*EXP(-Parameters!B$60*A72)+(1-Parameters!B$61)*(O72/Parameters!B$62)^-Parameters!B$63</f>
        <v>0.60593187359771528</v>
      </c>
      <c r="Q72" s="9">
        <f>1-P72/Parameters!$B$12</f>
        <v>0.69703406320114236</v>
      </c>
      <c r="R72" s="23">
        <f t="shared" si="34"/>
        <v>3.3007010971794855</v>
      </c>
      <c r="S72" s="7">
        <f>(Parameters!$B$19*(E72+Parameters!$B$20)^Q72+Parameters!$B$18*F72^Q72)^(1/Q72)</f>
        <v>0.53677176237849555</v>
      </c>
      <c r="T72" s="7">
        <f>(Parameters!$B$10*G72^Parameters!$B$9 + Parameters!$B$11*S72^Parameters!$B$9) ^ (Parameters!$B$7/Parameters!$B$9) * N72</f>
        <v>1.4780407196356067</v>
      </c>
      <c r="U72" s="7">
        <f t="shared" si="35"/>
        <v>1.1270302653068756</v>
      </c>
      <c r="V72" s="7">
        <f>EXP(-Parameters!$B$55*A72)</f>
        <v>0.35815121266990152</v>
      </c>
      <c r="W72" s="7">
        <f>IF(U72&gt;0,U72^(1-Parameters!$B$52)/(1-Parameters!$B$52)*V72,-10+U72*1000)</f>
        <v>-0.98134322619723169</v>
      </c>
      <c r="X72" s="7"/>
      <c r="Y72" s="7"/>
      <c r="Z72" s="7"/>
      <c r="AA72" s="7"/>
    </row>
    <row r="73" spans="1:27" x14ac:dyDescent="0.25">
      <c r="A73">
        <f>A72+Parameters!$B$65</f>
        <v>69</v>
      </c>
      <c r="B73" s="46">
        <f t="shared" si="33"/>
        <v>5.4994544781243625E-2</v>
      </c>
      <c r="C73" s="46">
        <f t="shared" si="31"/>
        <v>3.2100653343699304E-3</v>
      </c>
      <c r="D73" s="46">
        <f t="shared" si="32"/>
        <v>0.29280584421311762</v>
      </c>
      <c r="E73" s="7">
        <f>MAX((1-Parameters!$B$4)^Parameters!B$65*E72+B72*Parameters!B$65-Parameters!$B$5*B72^2/E72*Parameters!B$65,0.0001)</f>
        <v>0.81262749821991653</v>
      </c>
      <c r="F73" s="9">
        <f>(1-Parameters!$B$4)^Parameters!B$65*F72+C72*Parameters!B$65-Parameters!$B$5*C72^2/F72*Parameters!B$65</f>
        <v>5.5269678104520853E-2</v>
      </c>
      <c r="G73" s="7">
        <f>(1-Parameters!$B$4)^Parameters!B$65*G72+D72*Parameters!B$65-Parameters!$B$5*D72^2/G72*Parameters!B$65</f>
        <v>4.3464879319935035</v>
      </c>
      <c r="H73" s="7">
        <f>H72 *(1-Parameters!$B$4)-B72*(B72&lt;0)*Parameters!B$65</f>
        <v>0</v>
      </c>
      <c r="I73" s="7">
        <f>I72*(1+Parameters!$B$51)^Parameters!B$65</f>
        <v>9.9647571563177628</v>
      </c>
      <c r="J73" s="7">
        <f>J72*(1+Parameters!$B$53)^Parameters!B$65</f>
        <v>35.382467976376361</v>
      </c>
      <c r="K73" s="23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120.11248414318614</v>
      </c>
      <c r="L73" s="8">
        <f>L72+K73*Parameters!B$65</f>
        <v>7966.1672113638915</v>
      </c>
      <c r="M73" s="7">
        <f>M72+Parameters!$B$45*K73</f>
        <v>4.7797003268183333</v>
      </c>
      <c r="N73" s="7">
        <f>'6states'!O73</f>
        <v>0.96428382279557934</v>
      </c>
      <c r="O73" s="7">
        <f>MAX(O72+(Parameters!B$31-K73)*Parameters!B$65,30)</f>
        <v>30</v>
      </c>
      <c r="P73" s="7">
        <f>Parameters!B$61*EXP(-Parameters!B$60*A73)+(1-Parameters!B$61)*(O73/Parameters!B$62)^-Parameters!B$63</f>
        <v>0.60380804572632674</v>
      </c>
      <c r="Q73" s="9">
        <f>1-P73/Parameters!$B$12</f>
        <v>0.69809597713683669</v>
      </c>
      <c r="R73" s="23">
        <f t="shared" si="34"/>
        <v>3.3123109474206829</v>
      </c>
      <c r="S73" s="7">
        <f>(Parameters!$B$19*(E73+Parameters!$B$20)^Q73+Parameters!$B$18*F73^Q73)^(1/Q73)</f>
        <v>0.53679546728083283</v>
      </c>
      <c r="T73" s="7">
        <f>(Parameters!$B$10*G73^Parameters!$B$9 + Parameters!$B$11*S73^Parameters!$B$9) ^ (Parameters!$B$7/Parameters!$B$9) * N73</f>
        <v>1.4779513726193398</v>
      </c>
      <c r="U73" s="7">
        <f t="shared" si="35"/>
        <v>1.1269409182906087</v>
      </c>
      <c r="V73" s="7">
        <f>EXP(-Parameters!$B$55*A73)</f>
        <v>0.35278375564489362</v>
      </c>
      <c r="W73" s="7">
        <f>IF(U73&gt;0,U73^(1-Parameters!$B$52)/(1-Parameters!$B$52)*V73,-10+U73*1000)</f>
        <v>-0.96666308299067438</v>
      </c>
      <c r="X73" s="7"/>
      <c r="Y73" s="7"/>
      <c r="Z73" s="7"/>
      <c r="AA73" s="7"/>
    </row>
    <row r="74" spans="1:27" x14ac:dyDescent="0.25">
      <c r="A74">
        <f>A73+Parameters!$B$65</f>
        <v>70</v>
      </c>
      <c r="B74" s="19">
        <v>5.5067337814162412E-2</v>
      </c>
      <c r="C74" s="19">
        <v>3.024747646627374E-3</v>
      </c>
      <c r="D74" s="18">
        <v>0.29288834148276138</v>
      </c>
      <c r="E74" s="7">
        <f>MAX((1-Parameters!$B$4)^Parameters!B$65*E73+B73*Parameters!B$65-Parameters!$B$5*B73^2/E73*Parameters!B$65,0.0001)</f>
        <v>0.81278601897711267</v>
      </c>
      <c r="F74" s="9">
        <f>(1-Parameters!$B$4)^Parameters!B$65*F73+C73*Parameters!B$65-Parameters!$B$5*C73^2/F73*Parameters!B$65</f>
        <v>5.481683995035827E-2</v>
      </c>
      <c r="G74" s="7">
        <f>(1-Parameters!$B$4)^Parameters!B$65*G73+D73*Parameters!B$65-Parameters!$B$5*D73^2/G73*Parameters!B$65</f>
        <v>4.3461745040006745</v>
      </c>
      <c r="H74" s="7">
        <f>H73 *(1-Parameters!$B$4)-B73*(B73&lt;0)*Parameters!B$65</f>
        <v>0</v>
      </c>
      <c r="I74" s="7">
        <f>I73*(1+Parameters!$B$51)^Parameters!B$65</f>
        <v>9.9936549520710827</v>
      </c>
      <c r="J74" s="7">
        <f>J73*(1+Parameters!$B$53)^Parameters!B$65</f>
        <v>36.090117335903891</v>
      </c>
      <c r="K74" s="23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121.59692237189387</v>
      </c>
      <c r="L74" s="8">
        <f>L73+K74*Parameters!B$65</f>
        <v>8087.7641337357854</v>
      </c>
      <c r="M74" s="7">
        <f>M73+Parameters!$B$45*K74</f>
        <v>4.8526584802414696</v>
      </c>
      <c r="N74" s="7">
        <f>'6states'!O74</f>
        <v>0.96424387353437802</v>
      </c>
      <c r="O74" s="7">
        <f>MAX(O73+(Parameters!B$31-K74)*Parameters!B$65,30)</f>
        <v>30</v>
      </c>
      <c r="P74" s="7">
        <f>Parameters!B$61*EXP(-Parameters!B$60*A74)+(1-Parameters!B$61)*(O74/Parameters!B$62)^-Parameters!B$63</f>
        <v>0.60174079399264813</v>
      </c>
      <c r="Q74" s="9">
        <f>1-P74/Parameters!$B$12</f>
        <v>0.69912960300367599</v>
      </c>
      <c r="R74" s="23">
        <f t="shared" si="34"/>
        <v>3.3236902333472771</v>
      </c>
      <c r="S74" s="7">
        <f>(Parameters!$B$19*(E74+Parameters!$B$20)^Q74+Parameters!$B$18*F74^Q74)^(1/Q74)</f>
        <v>0.53682533274517852</v>
      </c>
      <c r="T74" s="7">
        <f>(Parameters!$B$10*G74^Parameters!$B$9 + Parameters!$B$11*S74^Parameters!$B$9) ^ (Parameters!$B$7/Parameters!$B$9) * N74</f>
        <v>1.4778676793295118</v>
      </c>
      <c r="U74" s="7">
        <f t="shared" si="35"/>
        <v>1.1268872523859605</v>
      </c>
      <c r="V74" s="7">
        <f>EXP(-Parameters!$B$55*A74)</f>
        <v>0.34749673837241518</v>
      </c>
      <c r="W74" s="7">
        <f>IF(U74&gt;0,U74^(1-Parameters!$B$52)/(1-Parameters!$B$52)*V74,-10+U74*1000)</f>
        <v>-0.95219199297318846</v>
      </c>
      <c r="X74" s="7"/>
      <c r="Y74" s="7"/>
      <c r="Z74" s="7"/>
      <c r="AA74" s="7"/>
    </row>
    <row r="75" spans="1:27" x14ac:dyDescent="0.25">
      <c r="A75">
        <f>A74+Parameters!$B$65</f>
        <v>71</v>
      </c>
      <c r="B75" s="46">
        <f>B74</f>
        <v>5.5067337814162412E-2</v>
      </c>
      <c r="C75" s="46">
        <f t="shared" ref="C75:C83" si="36">C74</f>
        <v>3.024747646627374E-3</v>
      </c>
      <c r="D75" s="46">
        <f t="shared" ref="D75:D83" si="37">D74</f>
        <v>0.29288834148276138</v>
      </c>
      <c r="E75" s="7">
        <f>MAX((1-Parameters!$B$4)^Parameters!B$65*E74+B74*Parameters!B$65-Parameters!$B$5*B74^2/E74*Parameters!B$65,0.0001)</f>
        <v>0.81299823054857834</v>
      </c>
      <c r="F75" s="9">
        <f>(1-Parameters!$B$4)^Parameters!B$65*F74+C74*Parameters!B$65-Parameters!$B$5*C74^2/F74*Parameters!B$65</f>
        <v>5.422670530413487E-2</v>
      </c>
      <c r="G75" s="7">
        <f>(1-Parameters!$B$4)^Parameters!B$65*G74+D74*Parameters!B$65-Parameters!$B$5*D74^2/G74*Parameters!B$65</f>
        <v>4.3459507479978985</v>
      </c>
      <c r="H75" s="7">
        <f>H74 *(1-Parameters!$B$4)-B74*(B74&lt;0)*Parameters!B$65</f>
        <v>0</v>
      </c>
      <c r="I75" s="7">
        <f>I74*(1+Parameters!$B$51)^Parameters!B$65</f>
        <v>10.022636551432088</v>
      </c>
      <c r="J75" s="7">
        <f>J74*(1+Parameters!$B$53)^Parameters!B$65</f>
        <v>36.811919682621969</v>
      </c>
      <c r="K75" s="23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123.11001664173209</v>
      </c>
      <c r="L75" s="8">
        <f>L74+K75*Parameters!B$65</f>
        <v>8210.8741503775182</v>
      </c>
      <c r="M75" s="7">
        <f>M74+Parameters!$B$45*K75</f>
        <v>4.9265244902265088</v>
      </c>
      <c r="N75" s="7">
        <f>'6states'!O75</f>
        <v>0.96420587933932589</v>
      </c>
      <c r="O75" s="7">
        <f>MAX(O74+(Parameters!B$31-K75)*Parameters!B$65,30)</f>
        <v>30</v>
      </c>
      <c r="P75" s="7">
        <f>Parameters!B$61*EXP(-Parameters!B$60*A75)+(1-Parameters!B$61)*(O75/Parameters!B$62)^-Parameters!B$63</f>
        <v>0.59972861127861121</v>
      </c>
      <c r="Q75" s="9">
        <f>1-P75/Parameters!$B$12</f>
        <v>0.70013569436069445</v>
      </c>
      <c r="R75" s="23">
        <f t="shared" si="34"/>
        <v>3.3348417307222249</v>
      </c>
      <c r="S75" s="7">
        <f>(Parameters!$B$19*(E75+Parameters!$B$20)^Q75+Parameters!$B$18*F75^Q75)^(1/Q75)</f>
        <v>0.53680012994244353</v>
      </c>
      <c r="T75" s="7">
        <f>(Parameters!$B$10*G75^Parameters!$B$9 + Parameters!$B$11*S75^Parameters!$B$9) ^ (Parameters!$B$7/Parameters!$B$9) * N75</f>
        <v>1.4777869590723705</v>
      </c>
      <c r="U75" s="7">
        <f t="shared" si="35"/>
        <v>1.1268065321288192</v>
      </c>
      <c r="V75" s="7">
        <f>EXP(-Parameters!$B$55*A75)</f>
        <v>0.34228895533675241</v>
      </c>
      <c r="W75" s="7">
        <f>IF(U75&gt;0,U75^(1-Parameters!$B$52)/(1-Parameters!$B$52)*V75,-10+U75*1000)</f>
        <v>-0.93794541988573032</v>
      </c>
      <c r="X75" s="7"/>
      <c r="Y75" s="7"/>
      <c r="Z75" s="7"/>
      <c r="AA75" s="7"/>
    </row>
    <row r="76" spans="1:27" x14ac:dyDescent="0.25">
      <c r="A76">
        <f>A75+Parameters!$B$65</f>
        <v>72</v>
      </c>
      <c r="B76" s="46">
        <f t="shared" ref="B76:B83" si="38">B75</f>
        <v>5.5067337814162412E-2</v>
      </c>
      <c r="C76" s="46">
        <f t="shared" si="36"/>
        <v>3.024747646627374E-3</v>
      </c>
      <c r="D76" s="46">
        <f t="shared" si="37"/>
        <v>0.29288834148276138</v>
      </c>
      <c r="E76" s="7">
        <f>MAX((1-Parameters!$B$4)^Parameters!B$65*E75+B75*Parameters!B$65-Parameters!$B$5*B75^2/E75*Parameters!B$65,0.0001)</f>
        <v>0.81319806786069793</v>
      </c>
      <c r="F76" s="9">
        <f>(1-Parameters!$B$4)^Parameters!B$65*F75+C75*Parameters!B$65-Parameters!$B$5*C75^2/F75*Parameters!B$65</f>
        <v>5.3671873766056068E-2</v>
      </c>
      <c r="G76" s="7">
        <f>(1-Parameters!$B$4)^Parameters!B$65*G75+D75*Parameters!B$65-Parameters!$B$5*D75^2/G75*Parameters!B$65</f>
        <v>4.3457400500296464</v>
      </c>
      <c r="H76" s="7">
        <f>H75 *(1-Parameters!$B$4)-B75*(B75&lt;0)*Parameters!B$65</f>
        <v>0</v>
      </c>
      <c r="I76" s="7">
        <f>I75*(1+Parameters!$B$51)^Parameters!B$65</f>
        <v>10.05170219743124</v>
      </c>
      <c r="J76" s="7">
        <f>J75*(1+Parameters!$B$53)^Parameters!B$65</f>
        <v>37.548158076274412</v>
      </c>
      <c r="K76" s="23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124.64219941727193</v>
      </c>
      <c r="L76" s="8">
        <f>L75+K76*Parameters!B$65</f>
        <v>8335.5163497947906</v>
      </c>
      <c r="M76" s="7">
        <f>M75+Parameters!$B$45*K76</f>
        <v>5.0013098098768722</v>
      </c>
      <c r="N76" s="7">
        <f>'6states'!O76</f>
        <v>0.96416973991847144</v>
      </c>
      <c r="O76" s="7">
        <f>MAX(O75+(Parameters!B$31-K76)*Parameters!B$65,30)</f>
        <v>30</v>
      </c>
      <c r="P76" s="7">
        <f>Parameters!B$61*EXP(-Parameters!B$60*A76)+(1-Parameters!B$61)*(O76/Parameters!B$62)^-Parameters!B$63</f>
        <v>0.59777003061390255</v>
      </c>
      <c r="Q76" s="9">
        <f>1-P76/Parameters!$B$12</f>
        <v>0.70111498469304867</v>
      </c>
      <c r="R76" s="23">
        <f t="shared" si="34"/>
        <v>3.3457682680177592</v>
      </c>
      <c r="S76" s="7">
        <f>(Parameters!$B$19*(E76+Parameters!$B$20)^Q76+Parameters!$B$18*F76^Q76)^(1/Q76)</f>
        <v>0.53678369352953448</v>
      </c>
      <c r="T76" s="7">
        <f>(Parameters!$B$10*G76^Parameters!$B$9 + Parameters!$B$11*S76^Parameters!$B$9) ^ (Parameters!$B$7/Parameters!$B$9) * N76</f>
        <v>1.4777114061244685</v>
      </c>
      <c r="U76" s="7">
        <f t="shared" si="35"/>
        <v>1.1267309791809172</v>
      </c>
      <c r="V76" s="7">
        <f>EXP(-Parameters!$B$55*A76)</f>
        <v>0.33715921908873309</v>
      </c>
      <c r="W76" s="7">
        <f>IF(U76&gt;0,U76^(1-Parameters!$B$52)/(1-Parameters!$B$52)*V76,-10+U76*1000)</f>
        <v>-0.92391052082821279</v>
      </c>
      <c r="X76" s="7"/>
      <c r="Y76" s="7"/>
      <c r="Z76" s="7"/>
      <c r="AA76" s="7"/>
    </row>
    <row r="77" spans="1:27" x14ac:dyDescent="0.25">
      <c r="A77">
        <f>A76+Parameters!$B$65</f>
        <v>73</v>
      </c>
      <c r="B77" s="46">
        <f t="shared" si="38"/>
        <v>5.5067337814162412E-2</v>
      </c>
      <c r="C77" s="46">
        <f t="shared" si="36"/>
        <v>3.024747646627374E-3</v>
      </c>
      <c r="D77" s="46">
        <f t="shared" si="37"/>
        <v>0.29288834148276138</v>
      </c>
      <c r="E77" s="7">
        <f>MAX((1-Parameters!$B$4)^Parameters!B$65*E76+B76*Parameters!B$65-Parameters!$B$5*B76^2/E76*Parameters!B$65,0.0001)</f>
        <v>0.81338625200367132</v>
      </c>
      <c r="F77" s="9">
        <f>(1-Parameters!$B$4)^Parameters!B$65*F76+C76*Parameters!B$65-Parameters!$B$5*C76^2/F76*Parameters!B$65</f>
        <v>5.3150196999287101E-2</v>
      </c>
      <c r="G77" s="7">
        <f>(1-Parameters!$B$4)^Parameters!B$65*G76+D76*Parameters!B$65-Parameters!$B$5*D76^2/G76*Parameters!B$65</f>
        <v>4.3455416479547058</v>
      </c>
      <c r="H77" s="7">
        <f>H76 *(1-Parameters!$B$4)-B76*(B76&lt;0)*Parameters!B$65</f>
        <v>0</v>
      </c>
      <c r="I77" s="7">
        <f>I76*(1+Parameters!$B$51)^Parameters!B$65</f>
        <v>10.08085213380379</v>
      </c>
      <c r="J77" s="7">
        <f>J76*(1+Parameters!$B$53)^Parameters!B$65</f>
        <v>38.299121237799902</v>
      </c>
      <c r="K77" s="23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126.19378169809971</v>
      </c>
      <c r="L77" s="8">
        <f>L76+K77*Parameters!B$65</f>
        <v>8461.7101314928896</v>
      </c>
      <c r="M77" s="7">
        <f>M76+Parameters!$B$45*K77</f>
        <v>5.0770260788957318</v>
      </c>
      <c r="N77" s="7">
        <f>'6states'!O77</f>
        <v>0.9641353616854933</v>
      </c>
      <c r="O77" s="7">
        <f>MAX(O76+(Parameters!B$31-K77)*Parameters!B$65,30)</f>
        <v>30</v>
      </c>
      <c r="P77" s="7">
        <f>Parameters!B$61*EXP(-Parameters!B$60*A77)+(1-Parameters!B$61)*(O77/Parameters!B$62)^-Parameters!B$63</f>
        <v>0.59586362410647609</v>
      </c>
      <c r="Q77" s="9">
        <f>1-P77/Parameters!$B$12</f>
        <v>0.70206818794676196</v>
      </c>
      <c r="R77" s="23">
        <f t="shared" si="34"/>
        <v>3.3564727214202557</v>
      </c>
      <c r="S77" s="7">
        <f>(Parameters!$B$19*(E77+Parameters!$B$20)^Q77+Parameters!$B$18*F77^Q77)^(1/Q77)</f>
        <v>0.53677530218322478</v>
      </c>
      <c r="T77" s="7">
        <f>(Parameters!$B$10*G77^Parameters!$B$9 + Parameters!$B$11*S77^Parameters!$B$9) ^ (Parameters!$B$7/Parameters!$B$9) * N77</f>
        <v>1.4776407120064678</v>
      </c>
      <c r="U77" s="7">
        <f t="shared" si="35"/>
        <v>1.1266602850629166</v>
      </c>
      <c r="V77" s="7">
        <f>EXP(-Parameters!$B$55*A77)</f>
        <v>0.33210635997497118</v>
      </c>
      <c r="W77" s="7">
        <f>IF(U77&gt;0,U77^(1-Parameters!$B$52)/(1-Parameters!$B$52)*V77,-10+U77*1000)</f>
        <v>-0.91008426001540543</v>
      </c>
      <c r="X77" s="7"/>
      <c r="Y77" s="7"/>
      <c r="Z77" s="7"/>
      <c r="AA77" s="7"/>
    </row>
    <row r="78" spans="1:27" x14ac:dyDescent="0.25">
      <c r="A78">
        <f>A77+Parameters!$B$65</f>
        <v>74</v>
      </c>
      <c r="B78" s="46">
        <f t="shared" si="38"/>
        <v>5.5067337814162412E-2</v>
      </c>
      <c r="C78" s="46">
        <f t="shared" si="36"/>
        <v>3.024747646627374E-3</v>
      </c>
      <c r="D78" s="46">
        <f t="shared" si="37"/>
        <v>0.29288834148276138</v>
      </c>
      <c r="E78" s="7">
        <f>MAX((1-Parameters!$B$4)^Parameters!B$65*E77+B77*Parameters!B$65-Parameters!$B$5*B77^2/E77*Parameters!B$65,0.0001)</f>
        <v>0.81356346210025432</v>
      </c>
      <c r="F78" s="9">
        <f>(1-Parameters!$B$4)^Parameters!B$65*F77+C77*Parameters!B$65-Parameters!$B$5*C77^2/F77*Parameters!B$65</f>
        <v>5.2659660577049246E-2</v>
      </c>
      <c r="G78" s="7">
        <f>(1-Parameters!$B$4)^Parameters!B$65*G77+D77*Parameters!B$65-Parameters!$B$5*D77^2/G77*Parameters!B$65</f>
        <v>4.3453548241255904</v>
      </c>
      <c r="H78" s="7">
        <f>H77 *(1-Parameters!$B$4)-B77*(B77&lt;0)*Parameters!B$65</f>
        <v>0</v>
      </c>
      <c r="I78" s="7">
        <f>I77*(1+Parameters!$B$51)^Parameters!B$65</f>
        <v>10.110086604991819</v>
      </c>
      <c r="J78" s="7">
        <f>J77*(1+Parameters!$B$53)^Parameters!B$65</f>
        <v>39.065103662555899</v>
      </c>
      <c r="K78" s="23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127.76507511794279</v>
      </c>
      <c r="L78" s="8">
        <f>L77+K78*Parameters!B$65</f>
        <v>8589.4752066108322</v>
      </c>
      <c r="M78" s="7">
        <f>M77+Parameters!$B$45*K78</f>
        <v>5.1536851239664978</v>
      </c>
      <c r="N78" s="7">
        <f>'6states'!O78</f>
        <v>0.96410265564367226</v>
      </c>
      <c r="O78" s="7">
        <f>MAX(O77+(Parameters!B$31-K78)*Parameters!B$65,30)</f>
        <v>30</v>
      </c>
      <c r="P78" s="7">
        <f>Parameters!B$61*EXP(-Parameters!B$60*A78)+(1-Parameters!B$61)*(O78/Parameters!B$62)^-Parameters!B$63</f>
        <v>0.59400800190155745</v>
      </c>
      <c r="Q78" s="9">
        <f>1-P78/Parameters!$B$12</f>
        <v>0.70299599904922128</v>
      </c>
      <c r="R78" s="23">
        <f t="shared" si="34"/>
        <v>3.3669580099889833</v>
      </c>
      <c r="S78" s="7">
        <f>(Parameters!$B$19*(E78+Parameters!$B$20)^Q78+Parameters!$B$18*F78^Q78)^(1/Q78)</f>
        <v>0.53677428151648754</v>
      </c>
      <c r="T78" s="7">
        <f>(Parameters!$B$10*G78^Parameters!$B$9 + Parameters!$B$11*S78^Parameters!$B$9) ^ (Parameters!$B$7/Parameters!$B$9) * N78</f>
        <v>1.477574585464412</v>
      </c>
      <c r="U78" s="7">
        <f t="shared" si="35"/>
        <v>1.1265941585208608</v>
      </c>
      <c r="V78" s="7">
        <f>EXP(-Parameters!$B$55*A78)</f>
        <v>0.32712922587116899</v>
      </c>
      <c r="W78" s="7">
        <f>IF(U78&gt;0,U78^(1-Parameters!$B$52)/(1-Parameters!$B$52)*V78,-10+U78*1000)</f>
        <v>-0.8964636374342293</v>
      </c>
      <c r="X78" s="7"/>
      <c r="Y78" s="7"/>
      <c r="Z78" s="7"/>
      <c r="AA78" s="7"/>
    </row>
    <row r="79" spans="1:27" x14ac:dyDescent="0.25">
      <c r="A79">
        <f>A78+Parameters!$B$65</f>
        <v>75</v>
      </c>
      <c r="B79" s="46">
        <f t="shared" si="38"/>
        <v>5.5067337814162412E-2</v>
      </c>
      <c r="C79" s="46">
        <f t="shared" si="36"/>
        <v>3.024747646627374E-3</v>
      </c>
      <c r="D79" s="46">
        <f t="shared" si="37"/>
        <v>0.29288834148276138</v>
      </c>
      <c r="E79" s="7">
        <f>MAX((1-Parameters!$B$4)^Parameters!B$65*E78+B78*Parameters!B$65-Parameters!$B$5*B78^2/E78*Parameters!B$65,0.0001)</f>
        <v>0.81373033774221637</v>
      </c>
      <c r="F79" s="9">
        <f>(1-Parameters!$B$4)^Parameters!B$65*F78+C78*Parameters!B$65-Parameters!$B$5*C78^2/F78*Parameters!B$65</f>
        <v>5.2198375404425061E-2</v>
      </c>
      <c r="G79" s="7">
        <f>(1-Parameters!$B$4)^Parameters!B$65*G78+D78*Parameters!B$65-Parameters!$B$5*D78^2/G78*Parameters!B$65</f>
        <v>4.3451789027897751</v>
      </c>
      <c r="H79" s="7">
        <f>H78 *(1-Parameters!$B$4)-B78*(B78&lt;0)*Parameters!B$65</f>
        <v>0</v>
      </c>
      <c r="I79" s="7">
        <f>I78*(1+Parameters!$B$51)^Parameters!B$65</f>
        <v>10.139405856146295</v>
      </c>
      <c r="J79" s="7">
        <f>J78*(1+Parameters!$B$53)^Parameters!B$65</f>
        <v>39.846405735807018</v>
      </c>
      <c r="K79" s="23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129.35639212227122</v>
      </c>
      <c r="L79" s="8">
        <f>L78+K79*Parameters!B$65</f>
        <v>8718.8315987331025</v>
      </c>
      <c r="M79" s="7">
        <f>M78+Parameters!$B$45*K79</f>
        <v>5.2312989592398607</v>
      </c>
      <c r="N79" s="7">
        <f>'6states'!O79</f>
        <v>0.96407153716847249</v>
      </c>
      <c r="O79" s="7">
        <f>MAX(O78+(Parameters!B$31-K79)*Parameters!B$65,30)</f>
        <v>30</v>
      </c>
      <c r="P79" s="7">
        <f>Parameters!B$61*EXP(-Parameters!B$60*A79)+(1-Parameters!B$61)*(O79/Parameters!B$62)^-Parameters!B$63</f>
        <v>0.59220181116837778</v>
      </c>
      <c r="Q79" s="9">
        <f>1-P79/Parameters!$B$12</f>
        <v>0.70389909441581111</v>
      </c>
      <c r="R79" s="23">
        <f t="shared" si="34"/>
        <v>3.3772270909711049</v>
      </c>
      <c r="S79" s="7">
        <f>(Parameters!$B$19*(E79+Parameters!$B$20)^Q79+Parameters!$B$18*F79^Q79)^(1/Q79)</f>
        <v>0.53678000149735849</v>
      </c>
      <c r="T79" s="7">
        <f>(Parameters!$B$10*G79^Parameters!$B$9 + Parameters!$B$11*S79^Parameters!$B$9) ^ (Parameters!$B$7/Parameters!$B$9) * N79</f>
        <v>1.4775127515937416</v>
      </c>
      <c r="U79" s="7">
        <f t="shared" si="35"/>
        <v>1.1265323246501904</v>
      </c>
      <c r="V79" s="7">
        <f>EXP(-Parameters!$B$55*A79)</f>
        <v>0.32222668191941661</v>
      </c>
      <c r="W79" s="7">
        <f>IF(U79&gt;0,U79^(1-Parameters!$B$52)/(1-Parameters!$B$52)*V79,-10+U79*1000)</f>
        <v>-0.88304568896397329</v>
      </c>
      <c r="X79" s="7"/>
      <c r="Y79" s="7"/>
      <c r="Z79" s="7"/>
      <c r="AA79" s="7"/>
    </row>
    <row r="80" spans="1:27" x14ac:dyDescent="0.25">
      <c r="A80">
        <f>A79+Parameters!$B$65</f>
        <v>76</v>
      </c>
      <c r="B80" s="46">
        <f t="shared" si="38"/>
        <v>5.5067337814162412E-2</v>
      </c>
      <c r="C80" s="46">
        <f t="shared" si="36"/>
        <v>3.024747646627374E-3</v>
      </c>
      <c r="D80" s="46">
        <f t="shared" si="37"/>
        <v>0.29288834148276138</v>
      </c>
      <c r="E80" s="7">
        <f>MAX((1-Parameters!$B$4)^Parameters!B$65*E79+B79*Parameters!B$65-Parameters!$B$5*B79^2/E79*Parameters!B$65,0.0001)</f>
        <v>0.81388748128604094</v>
      </c>
      <c r="F80" s="9">
        <f>(1-Parameters!$B$4)^Parameters!B$65*F79+C79*Parameters!B$65-Parameters!$B$5*C79^2/F79*Parameters!B$65</f>
        <v>5.1764569700228254E-2</v>
      </c>
      <c r="G80" s="7">
        <f>(1-Parameters!$B$4)^Parameters!B$65*G79+D79*Parameters!B$65-Parameters!$B$5*D79^2/G79*Parameters!B$65</f>
        <v>4.345013247642858</v>
      </c>
      <c r="H80" s="7">
        <f>H79 *(1-Parameters!$B$4)-B79*(B79&lt;0)*Parameters!B$65</f>
        <v>0</v>
      </c>
      <c r="I80" s="7">
        <f>I79*(1+Parameters!$B$51)^Parameters!B$65</f>
        <v>10.168810133129119</v>
      </c>
      <c r="J80" s="7">
        <f>J79*(1+Parameters!$B$53)^Parameters!B$65</f>
        <v>40.643333850523156</v>
      </c>
      <c r="K80" s="23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130.96804613981217</v>
      </c>
      <c r="L80" s="8">
        <f>L79+K80*Parameters!B$65</f>
        <v>8849.7996448729155</v>
      </c>
      <c r="M80" s="7">
        <f>M79+Parameters!$B$45*K80</f>
        <v>5.309879786923748</v>
      </c>
      <c r="N80" s="7">
        <f>'6states'!O80</f>
        <v>0.96404192579955517</v>
      </c>
      <c r="O80" s="7">
        <f>MAX(O79+(Parameters!B$31-K80)*Parameters!B$65,30)</f>
        <v>30</v>
      </c>
      <c r="P80" s="7">
        <f>Parameters!B$61*EXP(-Parameters!B$60*A80)+(1-Parameters!B$61)*(O80/Parameters!B$62)^-Parameters!B$63</f>
        <v>0.59044373511390014</v>
      </c>
      <c r="Q80" s="9">
        <f>1-P80/Parameters!$B$12</f>
        <v>0.70477813244304999</v>
      </c>
      <c r="R80" s="23">
        <f t="shared" si="34"/>
        <v>3.3872829552746264</v>
      </c>
      <c r="S80" s="7">
        <f>(Parameters!$B$19*(E80+Parameters!$B$20)^Q80+Parameters!$B$18*F80^Q80)^(1/Q80)</f>
        <v>0.53679187396760841</v>
      </c>
      <c r="T80" s="7">
        <f>(Parameters!$B$10*G80^Parameters!$B$9 + Parameters!$B$11*S80^Parameters!$B$9) ^ (Parameters!$B$7/Parameters!$B$9) * N80</f>
        <v>1.4774549509974484</v>
      </c>
      <c r="U80" s="7">
        <f t="shared" si="35"/>
        <v>1.1264745240538971</v>
      </c>
      <c r="V80" s="7">
        <f>EXP(-Parameters!$B$55*A80)</f>
        <v>0.31739761026942775</v>
      </c>
      <c r="W80" s="7">
        <f>IF(U80&gt;0,U80^(1-Parameters!$B$52)/(1-Parameters!$B$52)*V80,-10+U80*1000)</f>
        <v>-0.86982748645472363</v>
      </c>
      <c r="X80" s="7"/>
      <c r="Y80" s="7"/>
      <c r="Z80" s="7"/>
      <c r="AA80" s="7"/>
    </row>
    <row r="81" spans="1:27" x14ac:dyDescent="0.25">
      <c r="A81">
        <f>A80+Parameters!$B$65</f>
        <v>77</v>
      </c>
      <c r="B81" s="46">
        <f t="shared" si="38"/>
        <v>5.5067337814162412E-2</v>
      </c>
      <c r="C81" s="46">
        <f t="shared" si="36"/>
        <v>3.024747646627374E-3</v>
      </c>
      <c r="D81" s="46">
        <f t="shared" si="37"/>
        <v>0.29288834148276138</v>
      </c>
      <c r="E81" s="7">
        <f>MAX((1-Parameters!$B$4)^Parameters!B$65*E80+B80*Parameters!B$65-Parameters!$B$5*B80^2/E80*Parameters!B$65,0.0001)</f>
        <v>0.81403546001592109</v>
      </c>
      <c r="F81" s="9">
        <f>(1-Parameters!$B$4)^Parameters!B$65*F80+C80*Parameters!B$65-Parameters!$B$5*C80^2/F80*Parameters!B$65</f>
        <v>5.1356581502803859E-2</v>
      </c>
      <c r="G81" s="7">
        <f>(1-Parameters!$B$4)^Parameters!B$65*G80+D80*Parameters!B$65-Parameters!$B$5*D80^2/G80*Parameters!B$65</f>
        <v>4.3448572595247503</v>
      </c>
      <c r="H81" s="7">
        <f>H80 *(1-Parameters!$B$4)-B80*(B80&lt;0)*Parameters!B$65</f>
        <v>0</v>
      </c>
      <c r="I81" s="7">
        <f>I80*(1+Parameters!$B$51)^Parameters!B$65</f>
        <v>10.198299682515193</v>
      </c>
      <c r="J81" s="7">
        <f>J80*(1+Parameters!$B$53)^Parameters!B$65</f>
        <v>41.456200527533618</v>
      </c>
      <c r="K81" s="23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132.60035174831555</v>
      </c>
      <c r="L81" s="8">
        <f>L80+K81*Parameters!B$65</f>
        <v>8982.3999966212305</v>
      </c>
      <c r="M81" s="7">
        <f>M80+Parameters!$B$45*K81</f>
        <v>5.3894399979727377</v>
      </c>
      <c r="N81" s="7">
        <f>'6states'!O81</f>
        <v>0.96401374504190562</v>
      </c>
      <c r="O81" s="7">
        <f>MAX(O80+(Parameters!B$31-K81)*Parameters!B$65,30)</f>
        <v>30</v>
      </c>
      <c r="P81" s="7">
        <f>Parameters!B$61*EXP(-Parameters!B$60*A81)+(1-Parameters!B$61)*(O81/Parameters!B$62)^-Parameters!B$63</f>
        <v>0.58873249202281963</v>
      </c>
      <c r="Q81" s="9">
        <f>1-P81/Parameters!$B$12</f>
        <v>0.70563375398859018</v>
      </c>
      <c r="R81" s="23">
        <f t="shared" si="34"/>
        <v>3.3971286231004876</v>
      </c>
      <c r="S81" s="7">
        <f>(Parameters!$B$19*(E81+Parameters!$B$20)^Q81+Parameters!$B$18*F81^Q81)^(1/Q81)</f>
        <v>0.53680935026250742</v>
      </c>
      <c r="T81" s="7">
        <f>(Parameters!$B$10*G81^Parameters!$B$9 + Parameters!$B$11*S81^Parameters!$B$9) ^ (Parameters!$B$7/Parameters!$B$9) * N81</f>
        <v>1.4774009389783691</v>
      </c>
      <c r="U81" s="7">
        <f t="shared" si="35"/>
        <v>1.1264205120348179</v>
      </c>
      <c r="V81" s="7">
        <f>EXP(-Parameters!$B$55*A81)</f>
        <v>0.31264090982365395</v>
      </c>
      <c r="W81" s="7">
        <f>IF(U81&gt;0,U81^(1-Parameters!$B$52)/(1-Parameters!$B$52)*V81,-10+U81*1000)</f>
        <v>-0.85680613776650549</v>
      </c>
      <c r="X81" s="7"/>
      <c r="Y81" s="7"/>
      <c r="Z81" s="7"/>
      <c r="AA81" s="7"/>
    </row>
    <row r="82" spans="1:27" x14ac:dyDescent="0.25">
      <c r="A82">
        <f>A81+Parameters!$B$65</f>
        <v>78</v>
      </c>
      <c r="B82" s="46">
        <f t="shared" si="38"/>
        <v>5.5067337814162412E-2</v>
      </c>
      <c r="C82" s="46">
        <f t="shared" si="36"/>
        <v>3.024747646627374E-3</v>
      </c>
      <c r="D82" s="46">
        <f t="shared" si="37"/>
        <v>0.29288834148276138</v>
      </c>
      <c r="E82" s="7">
        <f>MAX((1-Parameters!$B$4)^Parameters!B$65*E81+B81*Parameters!B$65-Parameters!$B$5*B81^2/E81*Parameters!B$65,0.0001)</f>
        <v>0.81417480818164956</v>
      </c>
      <c r="F82" s="9">
        <f>(1-Parameters!$B$4)^Parameters!B$65*F81+C81*Parameters!B$65-Parameters!$B$5*C81^2/F81*Parameters!B$65</f>
        <v>5.0972851665779681E-2</v>
      </c>
      <c r="G82" s="7">
        <f>(1-Parameters!$B$4)^Parameters!B$65*G81+D81*Parameters!B$65-Parameters!$B$5*D81^2/G81*Parameters!B$65</f>
        <v>4.3447103742505222</v>
      </c>
      <c r="H82" s="7">
        <f>H81 *(1-Parameters!$B$4)-B81*(B81&lt;0)*Parameters!B$65</f>
        <v>0</v>
      </c>
      <c r="I82" s="7">
        <f>I81*(1+Parameters!$B$51)^Parameters!B$65</f>
        <v>10.227874751594486</v>
      </c>
      <c r="J82" s="7">
        <f>J81*(1+Parameters!$B$53)^Parameters!B$65</f>
        <v>42.285324538084289</v>
      </c>
      <c r="K82" s="23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134.25362483489545</v>
      </c>
      <c r="L82" s="8">
        <f>L81+K82*Parameters!B$65</f>
        <v>9116.6536214561256</v>
      </c>
      <c r="M82" s="7">
        <f>M81+Parameters!$B$45*K82</f>
        <v>5.4699921728736749</v>
      </c>
      <c r="N82" s="7">
        <f>'6states'!O82</f>
        <v>0.96398692217575954</v>
      </c>
      <c r="O82" s="7">
        <f>MAX(O81+(Parameters!B$31-K82)*Parameters!B$65,30)</f>
        <v>30</v>
      </c>
      <c r="P82" s="7">
        <f>Parameters!B$61*EXP(-Parameters!B$60*A82)+(1-Parameters!B$61)*(O82/Parameters!B$62)^-Parameters!B$63</f>
        <v>0.58706683432313556</v>
      </c>
      <c r="Q82" s="9">
        <f>1-P82/Parameters!$B$12</f>
        <v>0.70646658283843222</v>
      </c>
      <c r="R82" s="23">
        <f t="shared" si="34"/>
        <v>3.4067671397344728</v>
      </c>
      <c r="S82" s="7">
        <f>(Parameters!$B$19*(E82+Parameters!$B$20)^Q82+Parameters!$B$18*F82^Q82)^(1/Q82)</f>
        <v>0.5368319189321441</v>
      </c>
      <c r="T82" s="7">
        <f>(Parameters!$B$10*G82^Parameters!$B$9 + Parameters!$B$11*S82^Parameters!$B$9) ^ (Parameters!$B$7/Parameters!$B$9) * N82</f>
        <v>1.477350484765424</v>
      </c>
      <c r="U82" s="7">
        <f t="shared" si="35"/>
        <v>1.1263700578218727</v>
      </c>
      <c r="V82" s="7">
        <f>EXP(-Parameters!$B$55*A82)</f>
        <v>0.30795549598621846</v>
      </c>
      <c r="W82" s="7">
        <f>IF(U82&gt;0,U82^(1-Parameters!$B$52)/(1-Parameters!$B$52)*V82,-10+U82*1000)</f>
        <v>-0.84397878677157334</v>
      </c>
      <c r="X82" s="7"/>
      <c r="Y82" s="7"/>
      <c r="Z82" s="7"/>
      <c r="AA82" s="7"/>
    </row>
    <row r="83" spans="1:27" x14ac:dyDescent="0.25">
      <c r="A83">
        <f>A82+Parameters!$B$65</f>
        <v>79</v>
      </c>
      <c r="B83" s="46">
        <f t="shared" si="38"/>
        <v>5.5067337814162412E-2</v>
      </c>
      <c r="C83" s="46">
        <f t="shared" si="36"/>
        <v>3.024747646627374E-3</v>
      </c>
      <c r="D83" s="46">
        <f t="shared" si="37"/>
        <v>0.29288834148276138</v>
      </c>
      <c r="E83" s="7">
        <f>MAX((1-Parameters!$B$4)^Parameters!B$65*E82+B82*Parameters!B$65-Parameters!$B$5*B82^2/E82*Parameters!B$65,0.0001)</f>
        <v>0.81430602891857784</v>
      </c>
      <c r="F83" s="9">
        <f>(1-Parameters!$B$4)^Parameters!B$65*F82+C82*Parameters!B$65-Parameters!$B$5*C82^2/F82*Parameters!B$65</f>
        <v>5.0611917311840032E-2</v>
      </c>
      <c r="G83" s="7">
        <f>(1-Parameters!$B$4)^Parameters!B$65*G82+D82*Parameters!B$65-Parameters!$B$5*D82^2/G82*Parameters!B$65</f>
        <v>4.3445720605680149</v>
      </c>
      <c r="H83" s="7">
        <f>H82 *(1-Parameters!$B$4)-B82*(B82&lt;0)*Parameters!B$65</f>
        <v>0</v>
      </c>
      <c r="I83" s="7">
        <f>I82*(1+Parameters!$B$51)^Parameters!B$65</f>
        <v>10.257535588374109</v>
      </c>
      <c r="J83" s="7">
        <f>J82*(1+Parameters!$B$53)^Parameters!B$65</f>
        <v>43.131031028845975</v>
      </c>
      <c r="K83" s="23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135.92818275125478</v>
      </c>
      <c r="L83" s="8">
        <f>L82+K83*Parameters!B$65</f>
        <v>9252.5818042073806</v>
      </c>
      <c r="M83" s="7">
        <f>M82+Parameters!$B$45*K83</f>
        <v>5.5515490825244278</v>
      </c>
      <c r="N83" s="7">
        <f>'6states'!O83</f>
        <v>0.96396138807500931</v>
      </c>
      <c r="O83" s="7">
        <f>MAX(O82+(Parameters!B$31-K83)*Parameters!B$65,30)</f>
        <v>30</v>
      </c>
      <c r="P83" s="7">
        <f>Parameters!B$61*EXP(-Parameters!B$60*A83)+(1-Parameters!B$61)*(O83/Parameters!B$62)^-Parameters!B$63</f>
        <v>0.5854455476766165</v>
      </c>
      <c r="Q83" s="9">
        <f>1-P83/Parameters!$B$12</f>
        <v>0.70727722616169175</v>
      </c>
      <c r="R83" s="23">
        <f t="shared" si="34"/>
        <v>3.4162015714990854</v>
      </c>
      <c r="S83" s="7">
        <f>(Parameters!$B$19*(E83+Parameters!$B$20)^Q83+Parameters!$B$18*F83^Q83)^(1/Q83)</f>
        <v>0.5368591035640482</v>
      </c>
      <c r="T83" s="7">
        <f>(Parameters!$B$10*G83^Parameters!$B$9 + Parameters!$B$11*S83^Parameters!$B$9) ^ (Parameters!$B$7/Parameters!$B$9) * N83</f>
        <v>1.4773033707734173</v>
      </c>
      <c r="U83" s="7">
        <f t="shared" si="35"/>
        <v>1.1263229438298661</v>
      </c>
      <c r="V83" s="7">
        <f>EXP(-Parameters!$B$55*A83)</f>
        <v>0.30334030041561322</v>
      </c>
      <c r="W83" s="7">
        <f>IF(U83&gt;0,U83^(1-Parameters!$B$52)/(1-Parameters!$B$52)*V83,-10+U83*1000)</f>
        <v>-0.8313426133222459</v>
      </c>
      <c r="X83" s="7"/>
      <c r="Y83" s="7"/>
      <c r="Z83" s="7"/>
      <c r="AA83" s="7"/>
    </row>
    <row r="84" spans="1:27" x14ac:dyDescent="0.25">
      <c r="A84">
        <f>A83+Parameters!$B$65</f>
        <v>80</v>
      </c>
      <c r="B84" s="19">
        <v>5.5253840042828066E-2</v>
      </c>
      <c r="C84" s="19">
        <v>2.9056551594271868E-3</v>
      </c>
      <c r="D84" s="18">
        <v>0.29297220517943928</v>
      </c>
      <c r="E84" s="7">
        <f>MAX((1-Parameters!$B$4)^Parameters!B$65*E83+B83*Parameters!B$65-Parameters!$B$5*B83^2/E83*Parameters!B$65,0.0001)</f>
        <v>0.81442959605641208</v>
      </c>
      <c r="F84" s="9">
        <f>(1-Parameters!$B$4)^Parameters!B$65*F83+C83*Parameters!B$65-Parameters!$B$5*C83^2/F83*Parameters!B$65</f>
        <v>5.0272405714541855E-2</v>
      </c>
      <c r="G84" s="7">
        <f>(1-Parameters!$B$4)^Parameters!B$65*G83+D83*Parameters!B$65-Parameters!$B$5*D83^2/G83*Parameters!B$65</f>
        <v>4.3444418182348059</v>
      </c>
      <c r="H84" s="7">
        <f>H83 *(1-Parameters!$B$4)-B83*(B83&lt;0)*Parameters!B$65</f>
        <v>0</v>
      </c>
      <c r="I84" s="7">
        <f>I83*(1+Parameters!$B$51)^Parameters!B$65</f>
        <v>10.287282441580393</v>
      </c>
      <c r="J84" s="7">
        <f>J83*(1+Parameters!$B$53)^Parameters!B$65</f>
        <v>43.993651649422894</v>
      </c>
      <c r="K84" s="23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137.62434446408506</v>
      </c>
      <c r="L84" s="8">
        <f>L83+K84*Parameters!B$65</f>
        <v>9390.2061486714665</v>
      </c>
      <c r="M84" s="7">
        <f>M83+Parameters!$B$45*K84</f>
        <v>5.6341236892028785</v>
      </c>
      <c r="N84" s="7">
        <f>'6states'!O84</f>
        <v>0.9639370770337794</v>
      </c>
      <c r="O84" s="7">
        <f>MAX(O83+(Parameters!B$31-K84)*Parameters!B$65,30)</f>
        <v>30</v>
      </c>
      <c r="P84" s="7">
        <f>Parameters!B$61*EXP(-Parameters!B$60*A84)+(1-Parameters!B$61)*(O84/Parameters!B$62)^-Parameters!B$63</f>
        <v>0.58386745009349394</v>
      </c>
      <c r="Q84" s="9">
        <f>1-P84/Parameters!$B$12</f>
        <v>0.70806627495325303</v>
      </c>
      <c r="R84" s="23">
        <f t="shared" si="34"/>
        <v>3.4254350018651367</v>
      </c>
      <c r="S84" s="7">
        <f>(Parameters!$B$19*(E84+Parameters!$B$20)^Q84+Parameters!$B$18*F84^Q84)^(1/Q84)</f>
        <v>0.53689046070623847</v>
      </c>
      <c r="T84" s="7">
        <f>(Parameters!$B$10*G84^Parameters!$B$9 + Parameters!$B$11*S84^Parameters!$B$9) ^ (Parameters!$B$7/Parameters!$B$9) * N84</f>
        <v>1.4772593918958856</v>
      </c>
      <c r="U84" s="7">
        <f t="shared" si="35"/>
        <v>1.1261276915141913</v>
      </c>
      <c r="V84" s="7">
        <f>EXP(-Parameters!$B$55*A84)</f>
        <v>0.29879427078110121</v>
      </c>
      <c r="W84" s="7">
        <f>IF(U84&gt;0,U84^(1-Parameters!$B$52)/(1-Parameters!$B$52)*V84,-10+U84*1000)</f>
        <v>-0.81893333243541422</v>
      </c>
      <c r="X84" s="7"/>
      <c r="Y84" s="7"/>
      <c r="Z84" s="7"/>
      <c r="AA84" s="7"/>
    </row>
    <row r="85" spans="1:27" x14ac:dyDescent="0.25">
      <c r="A85">
        <f>A84+Parameters!$B$65</f>
        <v>81</v>
      </c>
      <c r="B85" s="46">
        <f>B84</f>
        <v>5.5253840042828066E-2</v>
      </c>
      <c r="C85" s="46">
        <f t="shared" ref="C85:C93" si="39">C84</f>
        <v>2.9056551594271868E-3</v>
      </c>
      <c r="D85" s="46">
        <f t="shared" ref="D85:D93" si="40">D84</f>
        <v>0.29297220517943928</v>
      </c>
      <c r="E85" s="7">
        <f>MAX((1-Parameters!$B$4)^Parameters!B$65*E84+B84*Parameters!B$65-Parameters!$B$5*B84^2/E84*Parameters!B$65,0.0001)</f>
        <v>0.81470719479324727</v>
      </c>
      <c r="F85" s="9">
        <f>(1-Parameters!$B$4)^Parameters!B$65*F84+C84*Parameters!B$65-Parameters!$B$5*C84^2/F84*Parameters!B$65</f>
        <v>4.9847984881841216E-2</v>
      </c>
      <c r="G85" s="7">
        <f>(1-Parameters!$B$4)^Parameters!B$65*G84+D84*Parameters!B$65-Parameters!$B$5*D84^2/G84*Parameters!B$65</f>
        <v>4.3443917306421289</v>
      </c>
      <c r="H85" s="7">
        <f>H84 *(1-Parameters!$B$4)-B84*(B84&lt;0)*Parameters!B$65</f>
        <v>0</v>
      </c>
      <c r="I85" s="7">
        <f>I84*(1+Parameters!$B$51)^Parameters!B$65</f>
        <v>10.317115560660975</v>
      </c>
      <c r="J85" s="7">
        <f>J84*(1+Parameters!$B$53)^Parameters!B$65</f>
        <v>44.87352468241135</v>
      </c>
      <c r="K85" s="23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139.37001346631894</v>
      </c>
      <c r="L85" s="8">
        <f>L84+K85*Parameters!B$65</f>
        <v>9529.576162137786</v>
      </c>
      <c r="M85" s="7">
        <f>M84+Parameters!$B$45*K85</f>
        <v>5.7177456972826697</v>
      </c>
      <c r="N85" s="7">
        <f>'6states'!O85</f>
        <v>0.96391395218032594</v>
      </c>
      <c r="O85" s="7">
        <f>MAX(O84+(Parameters!B$31-K85)*Parameters!B$65,30)</f>
        <v>30</v>
      </c>
      <c r="P85" s="7">
        <f>Parameters!B$61*EXP(-Parameters!B$60*A85)+(1-Parameters!B$61)*(O85/Parameters!B$62)^-Parameters!B$63</f>
        <v>0.58233139107073917</v>
      </c>
      <c r="Q85" s="9">
        <f>1-P85/Parameters!$B$12</f>
        <v>0.70883430446463036</v>
      </c>
      <c r="R85" s="23">
        <f t="shared" si="34"/>
        <v>3.4344705277223291</v>
      </c>
      <c r="S85" s="7">
        <f>(Parameters!$B$19*(E85+Parameters!$B$20)^Q85+Parameters!$B$18*F85^Q85)^(1/Q85)</f>
        <v>0.53696090191182466</v>
      </c>
      <c r="T85" s="7">
        <f>(Parameters!$B$10*G85^Parameters!$B$9 + Parameters!$B$11*S85^Parameters!$B$9) ^ (Parameters!$B$7/Parameters!$B$9) * N85</f>
        <v>1.4772294389473222</v>
      </c>
      <c r="U85" s="7">
        <f t="shared" si="35"/>
        <v>1.1260977385656279</v>
      </c>
      <c r="V85" s="7">
        <f>EXP(-Parameters!$B$55*A85)</f>
        <v>0.29431637052277015</v>
      </c>
      <c r="W85" s="7">
        <f>IF(U85&gt;0,U85^(1-Parameters!$B$52)/(1-Parameters!$B$52)*V85,-10+U85*1000)</f>
        <v>-0.80666784308333894</v>
      </c>
      <c r="X85" s="7"/>
      <c r="Y85" s="7"/>
      <c r="Z85" s="7"/>
      <c r="AA85" s="7"/>
    </row>
    <row r="86" spans="1:27" x14ac:dyDescent="0.25">
      <c r="A86">
        <f>A85+Parameters!$B$65</f>
        <v>82</v>
      </c>
      <c r="B86" s="46">
        <f t="shared" ref="B86:B93" si="41">B85</f>
        <v>5.5253840042828066E-2</v>
      </c>
      <c r="C86" s="46">
        <f t="shared" si="39"/>
        <v>2.9056551594271868E-3</v>
      </c>
      <c r="D86" s="46">
        <f t="shared" si="40"/>
        <v>0.29297220517943928</v>
      </c>
      <c r="E86" s="7">
        <f>MAX((1-Parameters!$B$4)^Parameters!B$65*E85+B85*Parameters!B$65-Parameters!$B$5*B85^2/E85*Parameters!B$65,0.0001)</f>
        <v>0.81496860985308495</v>
      </c>
      <c r="F86" s="9">
        <f>(1-Parameters!$B$4)^Parameters!B$65*F85+C85*Parameters!B$65-Parameters!$B$5*C85^2/F85*Parameters!B$65</f>
        <v>4.9448830213278824E-2</v>
      </c>
      <c r="G86" s="7">
        <f>(1-Parameters!$B$4)^Parameters!B$65*G85+D85*Parameters!B$65-Parameters!$B$5*D85^2/G85*Parameters!B$65</f>
        <v>4.3443445657766997</v>
      </c>
      <c r="H86" s="7">
        <f>H85 *(1-Parameters!$B$4)-B85*(B85&lt;0)*Parameters!B$65</f>
        <v>0</v>
      </c>
      <c r="I86" s="7">
        <f>I85*(1+Parameters!$B$51)^Parameters!B$65</f>
        <v>10.347035195786891</v>
      </c>
      <c r="J86" s="7">
        <f>J85*(1+Parameters!$B$53)^Parameters!B$65</f>
        <v>45.770995176059579</v>
      </c>
      <c r="K86" s="23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141.13698380554689</v>
      </c>
      <c r="L86" s="8">
        <f>L85+K86*Parameters!B$65</f>
        <v>9670.7131459433331</v>
      </c>
      <c r="M86" s="7">
        <f>M85+Parameters!$B$45*K86</f>
        <v>5.8024278875659974</v>
      </c>
      <c r="N86" s="7">
        <f>'6states'!O86</f>
        <v>0.96389198887297245</v>
      </c>
      <c r="O86" s="7">
        <f>MAX(O85+(Parameters!B$31-K86)*Parameters!B$65,30)</f>
        <v>30</v>
      </c>
      <c r="P86" s="7">
        <f>Parameters!B$61*EXP(-Parameters!B$60*A86)+(1-Parameters!B$61)*(O86/Parameters!B$62)^-Parameters!B$63</f>
        <v>0.58083625075329581</v>
      </c>
      <c r="Q86" s="9">
        <f>1-P86/Parameters!$B$12</f>
        <v>0.70958187462335209</v>
      </c>
      <c r="R86" s="23">
        <f t="shared" si="34"/>
        <v>3.4433112558077568</v>
      </c>
      <c r="S86" s="7">
        <f>(Parameters!$B$19*(E86+Parameters!$B$20)^Q86+Parameters!$B$18*F86^Q86)^(1/Q86)</f>
        <v>0.53703281243212075</v>
      </c>
      <c r="T86" s="7">
        <f>(Parameters!$B$10*G86^Parameters!$B$9 + Parameters!$B$11*S86^Parameters!$B$9) ^ (Parameters!$B$7/Parameters!$B$9) * N86</f>
        <v>1.4772017107160094</v>
      </c>
      <c r="U86" s="7">
        <f t="shared" si="35"/>
        <v>1.1260700103343151</v>
      </c>
      <c r="V86" s="7">
        <f>EXP(-Parameters!$B$55*A86)</f>
        <v>0.28990557861518201</v>
      </c>
      <c r="W86" s="7">
        <f>IF(U86&gt;0,U86^(1-Parameters!$B$52)/(1-Parameters!$B$52)*V86,-10+U86*1000)</f>
        <v>-0.79458550958918772</v>
      </c>
      <c r="X86" s="7"/>
      <c r="Y86" s="7"/>
      <c r="Z86" s="7"/>
      <c r="AA86" s="7"/>
    </row>
    <row r="87" spans="1:27" x14ac:dyDescent="0.25">
      <c r="A87">
        <f>A86+Parameters!$B$65</f>
        <v>83</v>
      </c>
      <c r="B87" s="46">
        <f t="shared" si="41"/>
        <v>5.5253840042828066E-2</v>
      </c>
      <c r="C87" s="46">
        <f t="shared" si="39"/>
        <v>2.9056551594271868E-3</v>
      </c>
      <c r="D87" s="46">
        <f t="shared" si="40"/>
        <v>0.29297220517943928</v>
      </c>
      <c r="E87" s="7">
        <f>MAX((1-Parameters!$B$4)^Parameters!B$65*E86+B86*Parameters!B$65-Parameters!$B$5*B86^2/E86*Parameters!B$65,0.0001)</f>
        <v>0.81521478392955748</v>
      </c>
      <c r="F87" s="9">
        <f>(1-Parameters!$B$4)^Parameters!B$65*F86+C86*Parameters!B$65-Parameters!$B$5*C86^2/F86*Parameters!B$65</f>
        <v>4.9073415193272796E-2</v>
      </c>
      <c r="G87" s="7">
        <f>(1-Parameters!$B$4)^Parameters!B$65*G86+D86*Parameters!B$65-Parameters!$B$5*D86^2/G86*Parameters!B$65</f>
        <v>4.3443001530857996</v>
      </c>
      <c r="H87" s="7">
        <f>H86 *(1-Parameters!$B$4)-B86*(B86&lt;0)*Parameters!B$65</f>
        <v>0</v>
      </c>
      <c r="I87" s="7">
        <f>I86*(1+Parameters!$B$51)^Parameters!B$65</f>
        <v>10.377041597854671</v>
      </c>
      <c r="J87" s="7">
        <f>J86*(1+Parameters!$B$53)^Parameters!B$65</f>
        <v>46.686415079580769</v>
      </c>
      <c r="K87" s="23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142.92562945865131</v>
      </c>
      <c r="L87" s="8">
        <f>L86+K87*Parameters!B$65</f>
        <v>9813.6387754019852</v>
      </c>
      <c r="M87" s="7">
        <f>M86+Parameters!$B$45*K87</f>
        <v>5.8881832652411878</v>
      </c>
      <c r="N87" s="7">
        <f>'6states'!O87</f>
        <v>0.96387112847263712</v>
      </c>
      <c r="O87" s="7">
        <f>MAX(O86+(Parameters!B$31-K87)*Parameters!B$65,30)</f>
        <v>30</v>
      </c>
      <c r="P87" s="7">
        <f>Parameters!B$61*EXP(-Parameters!B$60*A87)+(1-Parameters!B$61)*(O87/Parameters!B$62)^-Parameters!B$63</f>
        <v>0.5793809391176562</v>
      </c>
      <c r="Q87" s="9">
        <f>1-P87/Parameters!$B$12</f>
        <v>0.71030953044117195</v>
      </c>
      <c r="R87" s="23">
        <f t="shared" si="34"/>
        <v>3.4519602992908536</v>
      </c>
      <c r="S87" s="7">
        <f>(Parameters!$B$19*(E87+Parameters!$B$20)^Q87+Parameters!$B$18*F87^Q87)^(1/Q87)</f>
        <v>0.53710594487495689</v>
      </c>
      <c r="T87" s="7">
        <f>(Parameters!$B$10*G87^Parameters!$B$9 + Parameters!$B$11*S87^Parameters!$B$9) ^ (Parameters!$B$7/Parameters!$B$9) * N87</f>
        <v>1.4771760684008233</v>
      </c>
      <c r="U87" s="7">
        <f t="shared" si="35"/>
        <v>1.126044368019129</v>
      </c>
      <c r="V87" s="7">
        <f>EXP(-Parameters!$B$55*A87)</f>
        <v>0.28556088933456458</v>
      </c>
      <c r="W87" s="7">
        <f>IF(U87&gt;0,U87^(1-Parameters!$B$52)/(1-Parameters!$B$52)*V87,-10+U87*1000)</f>
        <v>-0.78268363893552917</v>
      </c>
      <c r="X87" s="7"/>
      <c r="Y87" s="7"/>
      <c r="Z87" s="7"/>
      <c r="AA87" s="7"/>
    </row>
    <row r="88" spans="1:27" x14ac:dyDescent="0.25">
      <c r="A88">
        <f>A87+Parameters!$B$65</f>
        <v>84</v>
      </c>
      <c r="B88" s="46">
        <f t="shared" si="41"/>
        <v>5.5253840042828066E-2</v>
      </c>
      <c r="C88" s="46">
        <f t="shared" si="39"/>
        <v>2.9056551594271868E-3</v>
      </c>
      <c r="D88" s="46">
        <f t="shared" si="40"/>
        <v>0.29297220517943928</v>
      </c>
      <c r="E88" s="7">
        <f>MAX((1-Parameters!$B$4)^Parameters!B$65*E87+B87*Parameters!B$65-Parameters!$B$5*B87^2/E87*Parameters!B$65,0.0001)</f>
        <v>0.8154466048954947</v>
      </c>
      <c r="F88" s="9">
        <f>(1-Parameters!$B$4)^Parameters!B$65*F87+C87*Parameters!B$65-Parameters!$B$5*C87^2/F87*Parameters!B$65</f>
        <v>4.8720307614710856E-2</v>
      </c>
      <c r="G88" s="7">
        <f>(1-Parameters!$B$4)^Parameters!B$65*G87+D87*Parameters!B$65-Parameters!$B$5*D87^2/G87*Parameters!B$65</f>
        <v>4.3442583319696828</v>
      </c>
      <c r="H88" s="7">
        <f>H87 *(1-Parameters!$B$4)-B87*(B87&lt;0)*Parameters!B$65</f>
        <v>0</v>
      </c>
      <c r="I88" s="7">
        <f>I87*(1+Parameters!$B$51)^Parameters!B$65</f>
        <v>10.407135018488448</v>
      </c>
      <c r="J88" s="7">
        <f>J87*(1+Parameters!$B$53)^Parameters!B$65</f>
        <v>47.620143381172383</v>
      </c>
      <c r="K88" s="23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144.73632429196047</v>
      </c>
      <c r="L88" s="8">
        <f>L87+K88*Parameters!B$65</f>
        <v>9958.3750996939452</v>
      </c>
      <c r="M88" s="7">
        <f>M87+Parameters!$B$45*K88</f>
        <v>5.9750250598163639</v>
      </c>
      <c r="N88" s="7">
        <f>'6states'!O88</f>
        <v>0.96385131526175694</v>
      </c>
      <c r="O88" s="7">
        <f>MAX(O87+(Parameters!B$31-K88)*Parameters!B$65,30)</f>
        <v>30</v>
      </c>
      <c r="P88" s="7">
        <f>Parameters!B$61*EXP(-Parameters!B$60*A88)+(1-Parameters!B$61)*(O88/Parameters!B$62)^-Parameters!B$63</f>
        <v>0.57796439517718523</v>
      </c>
      <c r="Q88" s="9">
        <f>1-P88/Parameters!$B$12</f>
        <v>0.71101780241140733</v>
      </c>
      <c r="R88" s="23">
        <f t="shared" si="34"/>
        <v>3.4604207745130462</v>
      </c>
      <c r="S88" s="7">
        <f>(Parameters!$B$19*(E88+Parameters!$B$20)^Q88+Parameters!$B$18*F88^Q88)^(1/Q88)</f>
        <v>0.53718007058697148</v>
      </c>
      <c r="T88" s="7">
        <f>(Parameters!$B$10*G88^Parameters!$B$9 + Parameters!$B$11*S88^Parameters!$B$9) ^ (Parameters!$B$7/Parameters!$B$9) * N88</f>
        <v>1.4771523811890301</v>
      </c>
      <c r="U88" s="7">
        <f t="shared" si="35"/>
        <v>1.1260206808073359</v>
      </c>
      <c r="V88" s="7">
        <f>EXP(-Parameters!$B$55*A88)</f>
        <v>0.28128131202949208</v>
      </c>
      <c r="W88" s="7">
        <f>IF(U88&gt;0,U88^(1-Parameters!$B$52)/(1-Parameters!$B$52)*V88,-10+U88*1000)</f>
        <v>-0.77095957464668208</v>
      </c>
      <c r="X88" s="7"/>
      <c r="Y88" s="7"/>
      <c r="Z88" s="7"/>
      <c r="AA88" s="7"/>
    </row>
    <row r="89" spans="1:27" x14ac:dyDescent="0.25">
      <c r="A89">
        <f>A88+Parameters!$B$65</f>
        <v>85</v>
      </c>
      <c r="B89" s="46">
        <f t="shared" si="41"/>
        <v>5.5253840042828066E-2</v>
      </c>
      <c r="C89" s="46">
        <f t="shared" si="39"/>
        <v>2.9056551594271868E-3</v>
      </c>
      <c r="D89" s="46">
        <f t="shared" si="40"/>
        <v>0.29297220517943928</v>
      </c>
      <c r="E89" s="7">
        <f>MAX((1-Parameters!$B$4)^Parameters!B$65*E88+B88*Parameters!B$65-Parameters!$B$5*B88^2/E88*Parameters!B$65,0.0001)</f>
        <v>0.81566490898054111</v>
      </c>
      <c r="F89" s="9">
        <f>(1-Parameters!$B$4)^Parameters!B$65*F88+C88*Parameters!B$65-Parameters!$B$5*C88^2/F88*Parameters!B$65</f>
        <v>4.8388163582020319E-2</v>
      </c>
      <c r="G89" s="7">
        <f>(1-Parameters!$B$4)^Parameters!B$65*G88+D88*Parameters!B$65-Parameters!$B$5*D88^2/G88*Parameters!B$65</f>
        <v>4.3442189512006824</v>
      </c>
      <c r="H89" s="7">
        <f>H88 *(1-Parameters!$B$4)-B88*(B88&lt;0)*Parameters!B$65</f>
        <v>0</v>
      </c>
      <c r="I89" s="7">
        <f>I88*(1+Parameters!$B$51)^Parameters!B$65</f>
        <v>10.437315710042064</v>
      </c>
      <c r="J89" s="7">
        <f>J88*(1+Parameters!$B$53)^Parameters!B$65</f>
        <v>48.572546248795831</v>
      </c>
      <c r="K89" s="23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146.56944230148181</v>
      </c>
      <c r="L89" s="8">
        <f>L88+K89*Parameters!B$65</f>
        <v>10104.944541995426</v>
      </c>
      <c r="M89" s="7">
        <f>M88+Parameters!$B$45*K89</f>
        <v>6.0629667251972528</v>
      </c>
      <c r="N89" s="7">
        <f>'6states'!O89</f>
        <v>0.96383249630175538</v>
      </c>
      <c r="O89" s="7">
        <f>MAX(O88+(Parameters!B$31-K89)*Parameters!B$65,30)</f>
        <v>30</v>
      </c>
      <c r="P89" s="7">
        <f>Parameters!B$61*EXP(-Parameters!B$60*A89)+(1-Parameters!B$61)*(O89/Parameters!B$62)^-Parameters!B$63</f>
        <v>0.57658558620861455</v>
      </c>
      <c r="Q89" s="9">
        <f>1-P89/Parameters!$B$12</f>
        <v>0.71170720689569267</v>
      </c>
      <c r="R89" s="23">
        <f t="shared" si="34"/>
        <v>3.4686957978800033</v>
      </c>
      <c r="S89" s="7">
        <f>(Parameters!$B$19*(E89+Parameters!$B$20)^Q89+Parameters!$B$18*F89^Q89)^(1/Q89)</f>
        <v>0.53725497857081117</v>
      </c>
      <c r="T89" s="7">
        <f>(Parameters!$B$10*G89^Parameters!$B$9 + Parameters!$B$11*S89^Parameters!$B$9) ^ (Parameters!$B$7/Parameters!$B$9) * N89</f>
        <v>1.4771305258325775</v>
      </c>
      <c r="U89" s="7">
        <f t="shared" si="35"/>
        <v>1.1259988254508833</v>
      </c>
      <c r="V89" s="7">
        <f>EXP(-Parameters!$B$55*A89)</f>
        <v>0.27706587089500223</v>
      </c>
      <c r="W89" s="7">
        <f>IF(U89&gt;0,U89^(1-Parameters!$B$52)/(1-Parameters!$B$52)*V89,-10+U89*1000)</f>
        <v>-0.75941069650753801</v>
      </c>
      <c r="X89" s="7"/>
      <c r="Y89" s="7"/>
      <c r="Z89" s="7"/>
      <c r="AA89" s="7"/>
    </row>
    <row r="90" spans="1:27" x14ac:dyDescent="0.25">
      <c r="A90">
        <f>A89+Parameters!$B$65</f>
        <v>86</v>
      </c>
      <c r="B90" s="46">
        <f t="shared" si="41"/>
        <v>5.5253840042828066E-2</v>
      </c>
      <c r="C90" s="46">
        <f t="shared" si="39"/>
        <v>2.9056551594271868E-3</v>
      </c>
      <c r="D90" s="46">
        <f t="shared" si="40"/>
        <v>0.29297220517943928</v>
      </c>
      <c r="E90" s="7">
        <f>MAX((1-Parameters!$B$4)^Parameters!B$65*E89+B89*Parameters!B$65-Parameters!$B$5*B89^2/E89*Parameters!B$65,0.0001)</f>
        <v>0.81587048376578397</v>
      </c>
      <c r="F90" s="9">
        <f>(1-Parameters!$B$4)^Parameters!B$65*F89+C89*Parameters!B$65-Parameters!$B$5*C89^2/F89*Parameters!B$65</f>
        <v>4.8075721906277992E-2</v>
      </c>
      <c r="G90" s="7">
        <f>(1-Parameters!$B$4)^Parameters!B$65*G89+D89*Parameters!B$65-Parameters!$B$5*D89^2/G89*Parameters!B$65</f>
        <v>4.3441818683762383</v>
      </c>
      <c r="H90" s="7">
        <f>H89 *(1-Parameters!$B$4)-B89*(B89&lt;0)*Parameters!B$65</f>
        <v>0</v>
      </c>
      <c r="I90" s="7">
        <f>I89*(1+Parameters!$B$51)^Parameters!B$65</f>
        <v>10.467583925601184</v>
      </c>
      <c r="J90" s="7">
        <f>J89*(1+Parameters!$B$53)^Parameters!B$65</f>
        <v>49.54399717377175</v>
      </c>
      <c r="K90" s="23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148.4253578445412</v>
      </c>
      <c r="L90" s="8">
        <f>L89+K90*Parameters!B$65</f>
        <v>10253.369899839967</v>
      </c>
      <c r="M90" s="7">
        <f>M89+Parameters!$B$45*K90</f>
        <v>6.1520219399039773</v>
      </c>
      <c r="N90" s="7">
        <f>'6states'!O90</f>
        <v>0.9638146212971439</v>
      </c>
      <c r="O90" s="7">
        <f>MAX(O89+(Parameters!B$31-K90)*Parameters!B$65,30)</f>
        <v>30</v>
      </c>
      <c r="P90" s="7">
        <f>Parameters!B$61*EXP(-Parameters!B$60*A90)+(1-Parameters!B$61)*(O90/Parameters!B$62)^-Parameters!B$63</f>
        <v>0.57524350699914173</v>
      </c>
      <c r="Q90" s="9">
        <f>1-P90/Parameters!$B$12</f>
        <v>0.71237824650042914</v>
      </c>
      <c r="R90" s="23">
        <f t="shared" si="34"/>
        <v>3.4767884829041349</v>
      </c>
      <c r="S90" s="7">
        <f>(Parameters!$B$19*(E90+Parameters!$B$20)^Q90+Parameters!$B$18*F90^Q90)^(1/Q90)</f>
        <v>0.53733047444120208</v>
      </c>
      <c r="T90" s="7">
        <f>(Parameters!$B$10*G90^Parameters!$B$9 + Parameters!$B$11*S90^Parameters!$B$9) ^ (Parameters!$B$7/Parameters!$B$9) * N90</f>
        <v>1.4771103862427901</v>
      </c>
      <c r="U90" s="7">
        <f t="shared" si="35"/>
        <v>1.1259786858610958</v>
      </c>
      <c r="V90" s="7">
        <f>EXP(-Parameters!$B$55*A90)</f>
        <v>0.27291360475009885</v>
      </c>
      <c r="W90" s="7">
        <f>IF(U90&gt;0,U90^(1-Parameters!$B$52)/(1-Parameters!$B$52)*V90,-10+U90*1000)</f>
        <v>-0.74803442026946709</v>
      </c>
      <c r="X90" s="7"/>
      <c r="Y90" s="7"/>
      <c r="Z90" s="7"/>
      <c r="AA90" s="7"/>
    </row>
    <row r="91" spans="1:27" x14ac:dyDescent="0.25">
      <c r="A91">
        <f>A90+Parameters!$B$65</f>
        <v>87</v>
      </c>
      <c r="B91" s="46">
        <f t="shared" si="41"/>
        <v>5.5253840042828066E-2</v>
      </c>
      <c r="C91" s="46">
        <f t="shared" si="39"/>
        <v>2.9056551594271868E-3</v>
      </c>
      <c r="D91" s="46">
        <f t="shared" si="40"/>
        <v>0.29297220517943928</v>
      </c>
      <c r="E91" s="7">
        <f>MAX((1-Parameters!$B$4)^Parameters!B$65*E90+B90*Parameters!B$65-Parameters!$B$5*B90^2/E90*Parameters!B$65,0.0001)</f>
        <v>0.81606407100579115</v>
      </c>
      <c r="F91" s="9">
        <f>(1-Parameters!$B$4)^Parameters!B$65*F90+C90*Parameters!B$65-Parameters!$B$5*C90^2/F90*Parameters!B$65</f>
        <v>4.7781798866531978E-2</v>
      </c>
      <c r="G91" s="7">
        <f>(1-Parameters!$B$4)^Parameters!B$65*G90+D90*Parameters!B$65-Parameters!$B$5*D90^2/G90*Parameters!B$65</f>
        <v>4.3441469494038421</v>
      </c>
      <c r="H91" s="7">
        <f>H90 *(1-Parameters!$B$4)-B90*(B90&lt;0)*Parameters!B$65</f>
        <v>0</v>
      </c>
      <c r="I91" s="7">
        <f>I90*(1+Parameters!$B$51)^Parameters!B$65</f>
        <v>10.497939918985427</v>
      </c>
      <c r="J91" s="7">
        <f>J90*(1+Parameters!$B$53)^Parameters!B$65</f>
        <v>50.534877117247184</v>
      </c>
      <c r="K91" s="23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150.30444586328144</v>
      </c>
      <c r="L91" s="8">
        <f>L90+K91*Parameters!B$65</f>
        <v>10403.674345703248</v>
      </c>
      <c r="M91" s="7">
        <f>M90+Parameters!$B$45*K91</f>
        <v>6.2422046074219457</v>
      </c>
      <c r="N91" s="7">
        <f>'6states'!O91</f>
        <v>0.96379764246598409</v>
      </c>
      <c r="O91" s="7">
        <f>MAX(O90+(Parameters!B$31-K91)*Parameters!B$65,30)</f>
        <v>30</v>
      </c>
      <c r="P91" s="7">
        <f>Parameters!B$61*EXP(-Parameters!B$60*A91)+(1-Parameters!B$61)*(O91/Parameters!B$62)^-Parameters!B$63</f>
        <v>0.57393717911358522</v>
      </c>
      <c r="Q91" s="9">
        <f>1-P91/Parameters!$B$12</f>
        <v>0.71303141044320739</v>
      </c>
      <c r="R91" s="23">
        <f t="shared" si="34"/>
        <v>3.484701937394771</v>
      </c>
      <c r="S91" s="7">
        <f>(Parameters!$B$19*(E91+Parameters!$B$20)^Q91+Parameters!$B$18*F91^Q91)^(1/Q91)</f>
        <v>0.53740637942159508</v>
      </c>
      <c r="T91" s="7">
        <f>(Parameters!$B$10*G91^Parameters!$B$9 + Parameters!$B$11*S91^Parameters!$B$9) ^ (Parameters!$B$7/Parameters!$B$9) * N91</f>
        <v>1.4770918531032158</v>
      </c>
      <c r="U91" s="7">
        <f t="shared" si="35"/>
        <v>1.1259601527215215</v>
      </c>
      <c r="V91" s="7">
        <f>EXP(-Parameters!$B$55*A91)</f>
        <v>0.26882356681858899</v>
      </c>
      <c r="W91" s="7">
        <f>IF(U91&gt;0,U91^(1-Parameters!$B$52)/(1-Parameters!$B$52)*V91,-10+U91*1000)</f>
        <v>-0.73682819734440597</v>
      </c>
      <c r="X91" s="7"/>
      <c r="Y91" s="7"/>
      <c r="Z91" s="7"/>
      <c r="AA91" s="7"/>
    </row>
    <row r="92" spans="1:27" x14ac:dyDescent="0.25">
      <c r="A92">
        <f>A91+Parameters!$B$65</f>
        <v>88</v>
      </c>
      <c r="B92" s="46">
        <f t="shared" si="41"/>
        <v>5.5253840042828066E-2</v>
      </c>
      <c r="C92" s="46">
        <f t="shared" si="39"/>
        <v>2.9056551594271868E-3</v>
      </c>
      <c r="D92" s="46">
        <f t="shared" si="40"/>
        <v>0.29297220517943928</v>
      </c>
      <c r="E92" s="7">
        <f>MAX((1-Parameters!$B$4)^Parameters!B$65*E91+B91*Parameters!B$65-Parameters!$B$5*B91^2/E91*Parameters!B$65,0.0001)</f>
        <v>0.81624636928788263</v>
      </c>
      <c r="F92" s="9">
        <f>(1-Parameters!$B$4)^Parameters!B$65*F91+C91*Parameters!B$65-Parameters!$B$5*C91^2/F91*Parameters!B$65</f>
        <v>4.7505283313131884E-2</v>
      </c>
      <c r="G92" s="7">
        <f>(1-Parameters!$B$4)^Parameters!B$65*G91+D91*Parameters!B$65-Parameters!$B$5*D91^2/G91*Parameters!B$65</f>
        <v>4.3441140680160544</v>
      </c>
      <c r="H92" s="7">
        <f>H91 *(1-Parameters!$B$4)-B91*(B91&lt;0)*Parameters!B$65</f>
        <v>0</v>
      </c>
      <c r="I92" s="7">
        <f>I91*(1+Parameters!$B$51)^Parameters!B$65</f>
        <v>10.528383944750484</v>
      </c>
      <c r="J92" s="7">
        <f>J91*(1+Parameters!$B$53)^Parameters!B$65</f>
        <v>51.545574659592127</v>
      </c>
      <c r="K92" s="23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152.2070821004537</v>
      </c>
      <c r="L92" s="8">
        <f>L91+K92*Parameters!B$65</f>
        <v>10555.881427803703</v>
      </c>
      <c r="M92" s="7">
        <f>M91+Parameters!$B$45*K92</f>
        <v>6.3335288566822179</v>
      </c>
      <c r="N92" s="7">
        <f>'6states'!O92</f>
        <v>0.96378151441644011</v>
      </c>
      <c r="O92" s="7">
        <f>MAX(O91+(Parameters!B$31-K92)*Parameters!B$65,30)</f>
        <v>30</v>
      </c>
      <c r="P92" s="7">
        <f>Parameters!B$61*EXP(-Parameters!B$60*A92)+(1-Parameters!B$61)*(O92/Parameters!B$62)^-Parameters!B$63</f>
        <v>0.57266565018106208</v>
      </c>
      <c r="Q92" s="9">
        <f>1-P92/Parameters!$B$12</f>
        <v>0.71366717490946896</v>
      </c>
      <c r="R92" s="23">
        <f t="shared" si="34"/>
        <v>3.4924392607931902</v>
      </c>
      <c r="S92" s="7">
        <f>(Parameters!$B$19*(E92+Parameters!$B$20)^Q92+Parameters!$B$18*F92^Q92)^(1/Q92)</f>
        <v>0.53748252938250318</v>
      </c>
      <c r="T92" s="7">
        <f>(Parameters!$B$10*G92^Parameters!$B$9 + Parameters!$B$11*S92^Parameters!$B$9) ^ (Parameters!$B$7/Parameters!$B$9) * N92</f>
        <v>1.4770748235002908</v>
      </c>
      <c r="U92" s="7">
        <f t="shared" si="35"/>
        <v>1.1259431231185966</v>
      </c>
      <c r="V92" s="7">
        <f>EXP(-Parameters!$B$55*A92)</f>
        <v>0.26479482451320413</v>
      </c>
      <c r="W92" s="7">
        <f>IF(U92&gt;0,U92^(1-Parameters!$B$52)/(1-Parameters!$B$52)*V92,-10+U92*1000)</f>
        <v>-0.72578951448819229</v>
      </c>
      <c r="X92" s="7"/>
      <c r="Y92" s="7"/>
      <c r="Z92" s="7"/>
      <c r="AA92" s="7"/>
    </row>
    <row r="93" spans="1:27" x14ac:dyDescent="0.25">
      <c r="A93">
        <f>A92+Parameters!$B$65</f>
        <v>89</v>
      </c>
      <c r="B93" s="46">
        <f t="shared" si="41"/>
        <v>5.5253840042828066E-2</v>
      </c>
      <c r="C93" s="46">
        <f t="shared" si="39"/>
        <v>2.9056551594271868E-3</v>
      </c>
      <c r="D93" s="46">
        <f t="shared" si="40"/>
        <v>0.29297220517943928</v>
      </c>
      <c r="E93" s="7">
        <f>MAX((1-Parameters!$B$4)^Parameters!B$65*E92+B92*Parameters!B$65-Parameters!$B$5*B92^2/E92*Parameters!B$65,0.0001)</f>
        <v>0.81641803653791556</v>
      </c>
      <c r="F93" s="9">
        <f>(1-Parameters!$B$4)^Parameters!B$65*F92+C92*Parameters!B$65-Parameters!$B$5*C92^2/F92*Parameters!B$65</f>
        <v>4.7245132090402313E-2</v>
      </c>
      <c r="G93" s="7">
        <f>(1-Parameters!$B$4)^Parameters!B$65*G92+D92*Parameters!B$65-Parameters!$B$5*D92^2/G92*Parameters!B$65</f>
        <v>4.3440831053138282</v>
      </c>
      <c r="H93" s="7">
        <f>H92 *(1-Parameters!$B$4)-B92*(B92&lt;0)*Parameters!B$65</f>
        <v>0</v>
      </c>
      <c r="I93" s="7">
        <f>I92*(1+Parameters!$B$51)^Parameters!B$65</f>
        <v>10.558916258190258</v>
      </c>
      <c r="J93" s="7">
        <f>J92*(1+Parameters!$B$53)^Parameters!B$65</f>
        <v>52.576486152783971</v>
      </c>
      <c r="K93" s="23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154.13364330791535</v>
      </c>
      <c r="L93" s="8">
        <f>L92+K93*Parameters!B$65</f>
        <v>10710.015071111618</v>
      </c>
      <c r="M93" s="7">
        <f>M92+Parameters!$B$45*K93</f>
        <v>6.4260090426669674</v>
      </c>
      <c r="N93" s="7">
        <f>'6states'!O93</f>
        <v>0.96376619402916286</v>
      </c>
      <c r="O93" s="7">
        <f>MAX(O92+(Parameters!B$31-K93)*Parameters!B$65,30)</f>
        <v>30</v>
      </c>
      <c r="P93" s="7">
        <f>Parameters!B$61*EXP(-Parameters!B$60*A93)+(1-Parameters!B$61)*(O93/Parameters!B$62)^-Parameters!B$63</f>
        <v>0.57142799320066728</v>
      </c>
      <c r="Q93" s="9">
        <f>1-P93/Parameters!$B$12</f>
        <v>0.7142860033996663</v>
      </c>
      <c r="R93" s="23">
        <f t="shared" si="34"/>
        <v>3.5000035416494959</v>
      </c>
      <c r="S93" s="7">
        <f>(Parameters!$B$19*(E93+Parameters!$B$20)^Q93+Parameters!$B$18*F93^Q93)^(1/Q93)</f>
        <v>0.53755877392215101</v>
      </c>
      <c r="T93" s="7">
        <f>(Parameters!$B$10*G93^Parameters!$B$9 + Parameters!$B$11*S93^Parameters!$B$9) ^ (Parameters!$B$7/Parameters!$B$9) * N93</f>
        <v>1.4770592005714211</v>
      </c>
      <c r="U93" s="7">
        <f t="shared" si="35"/>
        <v>1.1259275001897269</v>
      </c>
      <c r="V93" s="7">
        <f>EXP(-Parameters!$B$55*A93)</f>
        <v>0.26082645922295711</v>
      </c>
      <c r="W93" s="7">
        <f>IF(U93&gt;0,U93^(1-Parameters!$B$52)/(1-Parameters!$B$52)*V93,-10+U93*1000)</f>
        <v>-0.71491589347416984</v>
      </c>
      <c r="X93" s="7"/>
      <c r="Y93" s="7"/>
      <c r="Z93" s="7"/>
      <c r="AA93" s="7"/>
    </row>
    <row r="94" spans="1:27" x14ac:dyDescent="0.25">
      <c r="A94">
        <f>A93+Parameters!$B$65</f>
        <v>90</v>
      </c>
      <c r="B94" s="19">
        <v>5.5238794691412761E-2</v>
      </c>
      <c r="C94" s="19">
        <v>2.532692781448906E-3</v>
      </c>
      <c r="D94" s="18">
        <v>0.29265407832178425</v>
      </c>
      <c r="E94" s="7">
        <f>MAX((1-Parameters!$B$4)^Parameters!B$65*E93+B93*Parameters!B$65-Parameters!$B$5*B93^2/E93*Parameters!B$65,0.0001)</f>
        <v>0.81657969238134431</v>
      </c>
      <c r="F94" s="9">
        <f>(1-Parameters!$B$4)^Parameters!B$65*F93+C93*Parameters!B$65-Parameters!$B$5*C93^2/F93*Parameters!B$65</f>
        <v>4.7000365757448682E-2</v>
      </c>
      <c r="G94" s="7">
        <f>(1-Parameters!$B$4)^Parameters!B$65*G93+D93*Parameters!B$65-Parameters!$B$5*D93^2/G93*Parameters!B$65</f>
        <v>4.3440539493364891</v>
      </c>
      <c r="H94" s="7">
        <f>H93 *(1-Parameters!$B$4)-B93*(B93&lt;0)*Parameters!B$65</f>
        <v>0</v>
      </c>
      <c r="I94" s="7">
        <f>I93*(1+Parameters!$B$51)^Parameters!B$65</f>
        <v>10.589537115339009</v>
      </c>
      <c r="J94" s="7">
        <f>J93*(1+Parameters!$B$53)^Parameters!B$65</f>
        <v>53.628015875839651</v>
      </c>
      <c r="K94" s="23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156.08450744822912</v>
      </c>
      <c r="L94" s="8">
        <f>L93+K94*Parameters!B$65</f>
        <v>10866.099578559848</v>
      </c>
      <c r="M94" s="7">
        <f>M93+Parameters!$B$45*K94</f>
        <v>6.519659747135905</v>
      </c>
      <c r="N94" s="7">
        <f>'6states'!O94</f>
        <v>0.96375164034525407</v>
      </c>
      <c r="O94" s="7">
        <f>MAX(O93+(Parameters!B$31-K94)*Parameters!B$65,30)</f>
        <v>30</v>
      </c>
      <c r="P94" s="7">
        <f>Parameters!B$61*EXP(-Parameters!B$60*A94)+(1-Parameters!B$61)*(O94/Parameters!B$62)^-Parameters!B$63</f>
        <v>0.57022330586564896</v>
      </c>
      <c r="Q94" s="9">
        <f>1-P94/Parameters!$B$12</f>
        <v>0.71488834706717552</v>
      </c>
      <c r="R94" s="23">
        <f t="shared" si="34"/>
        <v>3.5073978552381768</v>
      </c>
      <c r="S94" s="7">
        <f>(Parameters!$B$19*(E94+Parameters!$B$20)^Q94+Parameters!$B$18*F94^Q94)^(1/Q94)</f>
        <v>0.53763497548963102</v>
      </c>
      <c r="T94" s="7">
        <f>(Parameters!$B$10*G94^Parameters!$B$9 + Parameters!$B$11*S94^Parameters!$B$9) ^ (Parameters!$B$7/Parameters!$B$9) * N94</f>
        <v>1.4770448931700222</v>
      </c>
      <c r="U94" s="7">
        <f t="shared" si="35"/>
        <v>1.1266193273753764</v>
      </c>
      <c r="V94" s="7">
        <f>EXP(-Parameters!$B$55*A94)</f>
        <v>0.25691756610368538</v>
      </c>
      <c r="W94" s="7">
        <f>IF(U94&gt;0,U94^(1-Parameters!$B$52)/(1-Parameters!$B$52)*V94,-10+U94*1000)</f>
        <v>-0.70405037746237442</v>
      </c>
      <c r="X94" s="7"/>
      <c r="Y94" s="7"/>
      <c r="Z94" s="7"/>
      <c r="AA94" s="7"/>
    </row>
    <row r="95" spans="1:27" x14ac:dyDescent="0.25">
      <c r="A95">
        <f>A94+Parameters!$B$65</f>
        <v>91</v>
      </c>
      <c r="B95" s="46">
        <f>B94</f>
        <v>5.5238794691412761E-2</v>
      </c>
      <c r="C95" s="46">
        <f t="shared" ref="C95:C103" si="42">C94</f>
        <v>2.532692781448906E-3</v>
      </c>
      <c r="D95" s="46">
        <f t="shared" ref="D95:D103" si="43">D94</f>
        <v>0.29265407832178425</v>
      </c>
      <c r="E95" s="7">
        <f>MAX((1-Parameters!$B$4)^Parameters!B$65*E94+B94*Parameters!B$65-Parameters!$B$5*B94^2/E94*Parameters!B$65,0.0001)</f>
        <v>0.81671891082569981</v>
      </c>
      <c r="F95" s="9">
        <f>(1-Parameters!$B$4)^Parameters!B$65*F94+C94*Parameters!B$65-Parameters!$B$5*C94^2/F94*Parameters!B$65</f>
        <v>4.6440257175153488E-2</v>
      </c>
      <c r="G95" s="7">
        <f>(1-Parameters!$B$4)^Parameters!B$65*G94+D94*Parameters!B$65-Parameters!$B$5*D94^2/G94*Parameters!B$65</f>
        <v>4.3437512548009121</v>
      </c>
      <c r="H95" s="7">
        <f>H94 *(1-Parameters!$B$4)-B94*(B94&lt;0)*Parameters!B$65</f>
        <v>0</v>
      </c>
      <c r="I95" s="7">
        <f>I94*(1+Parameters!$B$51)^Parameters!B$65</f>
        <v>10.620246772973491</v>
      </c>
      <c r="J95" s="7">
        <f>J94*(1+Parameters!$B$53)^Parameters!B$65</f>
        <v>54.700576193356447</v>
      </c>
      <c r="K95" s="23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158.05753618609859</v>
      </c>
      <c r="L95" s="8">
        <f>L94+K95*Parameters!B$65</f>
        <v>11024.157114745947</v>
      </c>
      <c r="M95" s="7">
        <f>M94+Parameters!$B$45*K95</f>
        <v>6.6144942688475643</v>
      </c>
      <c r="N95" s="7">
        <f>'6states'!O95</f>
        <v>0.96373782374272121</v>
      </c>
      <c r="O95" s="7">
        <f>MAX(O94+(Parameters!B$31-K95)*Parameters!B$65,30)</f>
        <v>30</v>
      </c>
      <c r="P95" s="7">
        <f>Parameters!B$61*EXP(-Parameters!B$60*A95)+(1-Parameters!B$61)*(O95/Parameters!B$62)^-Parameters!B$63</f>
        <v>0.56905070990558682</v>
      </c>
      <c r="Q95" s="9">
        <f>1-P95/Parameters!$B$12</f>
        <v>0.71547464504720659</v>
      </c>
      <c r="R95" s="23">
        <f t="shared" si="34"/>
        <v>3.5146252613090088</v>
      </c>
      <c r="S95" s="7">
        <f>(Parameters!$B$19*(E95+Parameters!$B$20)^Q95+Parameters!$B$18*F95^Q95)^(1/Q95)</f>
        <v>0.53750205405086648</v>
      </c>
      <c r="T95" s="7">
        <f>(Parameters!$B$10*G95^Parameters!$B$9 + Parameters!$B$11*S95^Parameters!$B$9) ^ (Parameters!$B$7/Parameters!$B$9) * N95</f>
        <v>1.4769797172481403</v>
      </c>
      <c r="U95" s="7">
        <f t="shared" si="35"/>
        <v>1.1265541514534942</v>
      </c>
      <c r="V95" s="7">
        <f>EXP(-Parameters!$B$55*A95)</f>
        <v>0.2530672538717339</v>
      </c>
      <c r="W95" s="7">
        <f>IF(U95&gt;0,U95^(1-Parameters!$B$52)/(1-Parameters!$B$52)*V95,-10+U95*1000)</f>
        <v>-0.69351312192973291</v>
      </c>
      <c r="X95" s="7"/>
      <c r="Y95" s="7"/>
      <c r="Z95" s="7"/>
      <c r="AA95" s="7"/>
    </row>
    <row r="96" spans="1:27" x14ac:dyDescent="0.25">
      <c r="A96">
        <f>A95+Parameters!$B$65</f>
        <v>92</v>
      </c>
      <c r="B96" s="46">
        <f t="shared" ref="B96:B103" si="44">B95</f>
        <v>5.5238794691412761E-2</v>
      </c>
      <c r="C96" s="46">
        <f t="shared" si="42"/>
        <v>2.532692781448906E-3</v>
      </c>
      <c r="D96" s="46">
        <f t="shared" si="43"/>
        <v>0.29265407832178425</v>
      </c>
      <c r="E96" s="7">
        <f>MAX((1-Parameters!$B$4)^Parameters!B$65*E95+B95*Parameters!B$65-Parameters!$B$5*B95^2/E95*Parameters!B$65,0.0001)</f>
        <v>0.81685000939257013</v>
      </c>
      <c r="F96" s="9">
        <f>(1-Parameters!$B$4)^Parameters!B$65*F95+C95*Parameters!B$65-Parameters!$B$5*C95^2/F95*Parameters!B$65</f>
        <v>4.5913733378841672E-2</v>
      </c>
      <c r="G96" s="7">
        <f>(1-Parameters!$B$4)^Parameters!B$65*G95+D95*Parameters!B$65-Parameters!$B$5*D95^2/G95*Parameters!B$65</f>
        <v>4.343466225856492</v>
      </c>
      <c r="H96" s="7">
        <f>H95 *(1-Parameters!$B$4)-B95*(B95&lt;0)*Parameters!B$65</f>
        <v>0</v>
      </c>
      <c r="I96" s="7">
        <f>I95*(1+Parameters!$B$51)^Parameters!B$65</f>
        <v>10.651045488615113</v>
      </c>
      <c r="J96" s="7">
        <f>J95*(1+Parameters!$B$53)^Parameters!B$65</f>
        <v>55.794587717223578</v>
      </c>
      <c r="K96" s="23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160.05571395324415</v>
      </c>
      <c r="L96" s="8">
        <f>L95+K96*Parameters!B$65</f>
        <v>11184.212828699192</v>
      </c>
      <c r="M96" s="7">
        <f>M95+Parameters!$B$45*K96</f>
        <v>6.7105276972195105</v>
      </c>
      <c r="N96" s="7">
        <f>'6states'!O96</f>
        <v>0.96372471490336842</v>
      </c>
      <c r="O96" s="7">
        <f>MAX(O95+(Parameters!B$31-K96)*Parameters!B$65,30)</f>
        <v>30</v>
      </c>
      <c r="P96" s="7">
        <f>Parameters!B$61*EXP(-Parameters!B$60*A96)+(1-Parameters!B$61)*(O96/Parameters!B$62)^-Parameters!B$63</f>
        <v>0.56790935044609436</v>
      </c>
      <c r="Q96" s="9">
        <f>1-P96/Parameters!$B$12</f>
        <v>0.71604532477695282</v>
      </c>
      <c r="R96" s="23">
        <f t="shared" si="34"/>
        <v>3.5216888019698822</v>
      </c>
      <c r="S96" s="7">
        <f>(Parameters!$B$19*(E96+Parameters!$B$20)^Q96+Parameters!$B$18*F96^Q96)^(1/Q96)</f>
        <v>0.53738115090892791</v>
      </c>
      <c r="T96" s="7">
        <f>(Parameters!$B$10*G96^Parameters!$B$9 + Parameters!$B$11*S96^Parameters!$B$9) ^ (Parameters!$B$7/Parameters!$B$9) * N96</f>
        <v>1.4769187699034003</v>
      </c>
      <c r="U96" s="7">
        <f t="shared" si="35"/>
        <v>1.1264932041087543</v>
      </c>
      <c r="V96" s="7">
        <f>EXP(-Parameters!$B$55*A96)</f>
        <v>0.24927464460072962</v>
      </c>
      <c r="W96" s="7">
        <f>IF(U96&gt;0,U96^(1-Parameters!$B$52)/(1-Parameters!$B$52)*V96,-10+U96*1000)</f>
        <v>-0.68313267680160428</v>
      </c>
      <c r="X96" s="7"/>
      <c r="Y96" s="7"/>
      <c r="Z96" s="7"/>
      <c r="AA96" s="7"/>
    </row>
    <row r="97" spans="1:27" x14ac:dyDescent="0.25">
      <c r="A97">
        <f>A96+Parameters!$B$65</f>
        <v>93</v>
      </c>
      <c r="B97" s="46">
        <f t="shared" si="44"/>
        <v>5.5238794691412761E-2</v>
      </c>
      <c r="C97" s="46">
        <f t="shared" si="42"/>
        <v>2.532692781448906E-3</v>
      </c>
      <c r="D97" s="46">
        <f t="shared" si="43"/>
        <v>0.29265407832178425</v>
      </c>
      <c r="E97" s="7">
        <f>MAX((1-Parameters!$B$4)^Parameters!B$65*E96+B96*Parameters!B$65-Parameters!$B$5*B96^2/E96*Parameters!B$65,0.0001)</f>
        <v>0.81697346147308336</v>
      </c>
      <c r="F97" s="9">
        <f>(1-Parameters!$B$4)^Parameters!B$65*F96+C96*Parameters!B$65-Parameters!$B$5*C96^2/F96*Parameters!B$65</f>
        <v>4.5418743963500686E-2</v>
      </c>
      <c r="G97" s="7">
        <f>(1-Parameters!$B$4)^Parameters!B$65*G96+D96*Parameters!B$65-Parameters!$B$5*D96^2/G96*Parameters!B$65</f>
        <v>4.3431978313445434</v>
      </c>
      <c r="H97" s="7">
        <f>H96 *(1-Parameters!$B$4)-B96*(B96&lt;0)*Parameters!B$65</f>
        <v>0</v>
      </c>
      <c r="I97" s="7">
        <f>I96*(1+Parameters!$B$51)^Parameters!B$65</f>
        <v>10.681933520532095</v>
      </c>
      <c r="J97" s="7">
        <f>J96*(1+Parameters!$B$53)^Parameters!B$65</f>
        <v>56.910479471568053</v>
      </c>
      <c r="K97" s="23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162.07941903373788</v>
      </c>
      <c r="L97" s="8">
        <f>L96+K97*Parameters!B$65</f>
        <v>11346.29224773293</v>
      </c>
      <c r="M97" s="7">
        <f>M96+Parameters!$B$45*K97</f>
        <v>6.807775348639753</v>
      </c>
      <c r="N97" s="7">
        <f>'6states'!O97</f>
        <v>0.96371227806510162</v>
      </c>
      <c r="O97" s="7">
        <f>MAX(O96+(Parameters!B$31-K97)*Parameters!B$65,30)</f>
        <v>30</v>
      </c>
      <c r="P97" s="7">
        <f>Parameters!B$61*EXP(-Parameters!B$60*A97)+(1-Parameters!B$61)*(O97/Parameters!B$62)^-Parameters!B$63</f>
        <v>0.56679839538557719</v>
      </c>
      <c r="Q97" s="9">
        <f>1-P97/Parameters!$B$12</f>
        <v>0.71660080230721146</v>
      </c>
      <c r="R97" s="23">
        <f t="shared" si="34"/>
        <v>3.5285914996979764</v>
      </c>
      <c r="S97" s="7">
        <f>(Parameters!$B$19*(E97+Parameters!$B$20)^Q97+Parameters!$B$18*F97^Q97)^(1/Q97)</f>
        <v>0.5372714592876241</v>
      </c>
      <c r="T97" s="7">
        <f>(Parameters!$B$10*G97^Parameters!$B$9 + Parameters!$B$11*S97^Parameters!$B$9) ^ (Parameters!$B$7/Parameters!$B$9) * N97</f>
        <v>1.4768618006745533</v>
      </c>
      <c r="U97" s="7">
        <f t="shared" si="35"/>
        <v>1.1264362348799075</v>
      </c>
      <c r="V97" s="7">
        <f>EXP(-Parameters!$B$55*A97)</f>
        <v>0.24553887352140147</v>
      </c>
      <c r="W97" s="7">
        <f>IF(U97&gt;0,U97^(1-Parameters!$B$52)/(1-Parameters!$B$52)*V97,-10+U97*1000)</f>
        <v>-0.67290677422443923</v>
      </c>
      <c r="X97" s="7"/>
      <c r="Y97" s="7"/>
      <c r="Z97" s="7"/>
      <c r="AA97" s="7"/>
    </row>
    <row r="98" spans="1:27" x14ac:dyDescent="0.25">
      <c r="A98">
        <f>A97+Parameters!$B$65</f>
        <v>94</v>
      </c>
      <c r="B98" s="46">
        <f t="shared" si="44"/>
        <v>5.5238794691412761E-2</v>
      </c>
      <c r="C98" s="46">
        <f t="shared" si="42"/>
        <v>2.532692781448906E-3</v>
      </c>
      <c r="D98" s="46">
        <f t="shared" si="43"/>
        <v>0.29265407832178425</v>
      </c>
      <c r="E98" s="7">
        <f>MAX((1-Parameters!$B$4)^Parameters!B$65*E97+B97*Parameters!B$65-Parameters!$B$5*B97^2/E97*Parameters!B$65,0.0001)</f>
        <v>0.81708971288210186</v>
      </c>
      <c r="F98" s="9">
        <f>(1-Parameters!$B$4)^Parameters!B$65*F97+C97*Parameters!B$65-Parameters!$B$5*C97^2/F97*Parameters!B$65</f>
        <v>4.4953366791555538E-2</v>
      </c>
      <c r="G98" s="7">
        <f>(1-Parameters!$B$4)^Parameters!B$65*G97+D97*Parameters!B$65-Parameters!$B$5*D97^2/G97*Parameters!B$65</f>
        <v>4.3429451003159762</v>
      </c>
      <c r="H98" s="7">
        <f>H97 *(1-Parameters!$B$4)-B97*(B97&lt;0)*Parameters!B$65</f>
        <v>0</v>
      </c>
      <c r="I98" s="7">
        <f>I97*(1+Parameters!$B$51)^Parameters!B$65</f>
        <v>10.712911127741636</v>
      </c>
      <c r="J98" s="7">
        <f>J97*(1+Parameters!$B$53)^Parameters!B$65</f>
        <v>58.048689060999415</v>
      </c>
      <c r="K98" s="23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164.12903187235972</v>
      </c>
      <c r="L98" s="8">
        <f>L97+K98*Parameters!B$65</f>
        <v>11510.421279605291</v>
      </c>
      <c r="M98" s="7">
        <f>M97+Parameters!$B$45*K98</f>
        <v>6.9062527677631689</v>
      </c>
      <c r="N98" s="7">
        <f>'6states'!O98</f>
        <v>0.96370047926223246</v>
      </c>
      <c r="O98" s="7">
        <f>MAX(O97+(Parameters!B$31-K98)*Parameters!B$65,30)</f>
        <v>30</v>
      </c>
      <c r="P98" s="7">
        <f>Parameters!B$61*EXP(-Parameters!B$60*A98)+(1-Parameters!B$61)*(O98/Parameters!B$62)^-Parameters!B$63</f>
        <v>0.56571703478859448</v>
      </c>
      <c r="Q98" s="9">
        <f>1-P98/Parameters!$B$12</f>
        <v>0.71714148260570276</v>
      </c>
      <c r="R98" s="23">
        <f t="shared" si="34"/>
        <v>3.5353363554756481</v>
      </c>
      <c r="S98" s="7">
        <f>(Parameters!$B$19*(E98+Parameters!$B$20)^Q98+Parameters!$B$18*F98^Q98)^(1/Q98)</f>
        <v>0.53717222005865506</v>
      </c>
      <c r="T98" s="7">
        <f>(Parameters!$B$10*G98^Parameters!$B$9 + Parameters!$B$11*S98^Parameters!$B$9) ^ (Parameters!$B$7/Parameters!$B$9) * N98</f>
        <v>1.4768085729741978</v>
      </c>
      <c r="U98" s="7">
        <f t="shared" si="35"/>
        <v>1.1263830071795518</v>
      </c>
      <c r="V98" s="7">
        <f>EXP(-Parameters!$B$55*A98)</f>
        <v>0.24185908882440066</v>
      </c>
      <c r="W98" s="7">
        <f>IF(U98&gt;0,U98^(1-Parameters!$B$52)/(1-Parameters!$B$52)*V98,-10+U98*1000)</f>
        <v>-0.66283317450384427</v>
      </c>
      <c r="X98" s="7"/>
      <c r="Y98" s="7"/>
      <c r="Z98" s="7"/>
      <c r="AA98" s="7"/>
    </row>
    <row r="99" spans="1:27" x14ac:dyDescent="0.25">
      <c r="A99">
        <f>A98+Parameters!$B$65</f>
        <v>95</v>
      </c>
      <c r="B99" s="46">
        <f t="shared" si="44"/>
        <v>5.5238794691412761E-2</v>
      </c>
      <c r="C99" s="46">
        <f t="shared" si="42"/>
        <v>2.532692781448906E-3</v>
      </c>
      <c r="D99" s="46">
        <f t="shared" si="43"/>
        <v>0.29265407832178425</v>
      </c>
      <c r="E99" s="7">
        <f>MAX((1-Parameters!$B$4)^Parameters!B$65*E98+B98*Parameters!B$65-Parameters!$B$5*B98^2/E98*Parameters!B$65,0.0001)</f>
        <v>0.81719918346204046</v>
      </c>
      <c r="F99" s="9">
        <f>(1-Parameters!$B$4)^Parameters!B$65*F98+C98*Parameters!B$65-Parameters!$B$5*C98^2/F98*Parameters!B$65</f>
        <v>4.4515799758267902E-2</v>
      </c>
      <c r="G99" s="7">
        <f>(1-Parameters!$B$4)^Parameters!B$65*G98+D98*Parameters!B$65-Parameters!$B$5*D98^2/G98*Parameters!B$65</f>
        <v>4.3427071185134052</v>
      </c>
      <c r="H99" s="7">
        <f>H98 *(1-Parameters!$B$4)-B98*(B98&lt;0)*Parameters!B$65</f>
        <v>0</v>
      </c>
      <c r="I99" s="7">
        <f>I98*(1+Parameters!$B$51)^Parameters!B$65</f>
        <v>10.743978570012086</v>
      </c>
      <c r="J99" s="7">
        <f>J98*(1+Parameters!$B$53)^Parameters!B$65</f>
        <v>59.209662842219402</v>
      </c>
      <c r="K99" s="23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166.2049352371738</v>
      </c>
      <c r="L99" s="8">
        <f>L98+K99*Parameters!B$65</f>
        <v>11676.626214842465</v>
      </c>
      <c r="M99" s="7">
        <f>M98+Parameters!$B$45*K99</f>
        <v>7.0059757289054732</v>
      </c>
      <c r="N99" s="7">
        <f>'6states'!O99</f>
        <v>0.96368928623610606</v>
      </c>
      <c r="O99" s="7">
        <f>MAX(O98+(Parameters!B$31-K99)*Parameters!B$65,30)</f>
        <v>30</v>
      </c>
      <c r="P99" s="7">
        <f>Parameters!B$61*EXP(-Parameters!B$60*A99)+(1-Parameters!B$61)*(O99/Parameters!B$62)^-Parameters!B$63</f>
        <v>0.56466448029537986</v>
      </c>
      <c r="Q99" s="9">
        <f>1-P99/Parameters!$B$12</f>
        <v>0.71766775985231002</v>
      </c>
      <c r="R99" s="23">
        <f t="shared" si="34"/>
        <v>3.5419263470473403</v>
      </c>
      <c r="S99" s="7">
        <f>(Parameters!$B$19*(E99+Parameters!$B$20)^Q99+Parameters!$B$18*F99^Q99)^(1/Q99)</f>
        <v>0.53708271929233686</v>
      </c>
      <c r="T99" s="7">
        <f>(Parameters!$B$10*G99^Parameters!$B$9 + Parameters!$B$11*S99^Parameters!$B$9) ^ (Parameters!$B$7/Parameters!$B$9) * N99</f>
        <v>1.4767588633989952</v>
      </c>
      <c r="U99" s="7">
        <f t="shared" si="35"/>
        <v>1.1263332976043494</v>
      </c>
      <c r="V99" s="7">
        <f>EXP(-Parameters!$B$55*A99)</f>
        <v>0.23823445146607616</v>
      </c>
      <c r="W99" s="7">
        <f>IF(U99&gt;0,U99^(1-Parameters!$B$52)/(1-Parameters!$B$52)*V99,-10+U99*1000)</f>
        <v>-0.65290966607215362</v>
      </c>
      <c r="X99" s="7"/>
      <c r="Y99" s="7"/>
      <c r="Z99" s="7"/>
      <c r="AA99" s="7"/>
    </row>
    <row r="100" spans="1:27" x14ac:dyDescent="0.25">
      <c r="A100">
        <f>A99+Parameters!$B$65</f>
        <v>96</v>
      </c>
      <c r="B100" s="46">
        <f t="shared" si="44"/>
        <v>5.5238794691412761E-2</v>
      </c>
      <c r="C100" s="46">
        <f t="shared" si="42"/>
        <v>2.532692781448906E-3</v>
      </c>
      <c r="D100" s="46">
        <f t="shared" si="43"/>
        <v>0.29265407832178425</v>
      </c>
      <c r="E100" s="7">
        <f>MAX((1-Parameters!$B$4)^Parameters!B$65*E99+B99*Parameters!B$65-Parameters!$B$5*B99^2/E99*Parameters!B$65,0.0001)</f>
        <v>0.81730226859370125</v>
      </c>
      <c r="F100" s="9">
        <f>(1-Parameters!$B$4)^Parameters!B$65*F99+C99*Parameters!B$65-Parameters!$B$5*C99^2/F99*Parameters!B$65</f>
        <v>4.4104353093373454E-2</v>
      </c>
      <c r="G100" s="7">
        <f>(1-Parameters!$B$4)^Parameters!B$65*G99+D99*Parameters!B$65-Parameters!$B$5*D99^2/G99*Parameters!B$65</f>
        <v>4.3424830250590496</v>
      </c>
      <c r="H100" s="7">
        <f>H99 *(1-Parameters!$B$4)-B99*(B99&lt;0)*Parameters!B$65</f>
        <v>0</v>
      </c>
      <c r="I100" s="7">
        <f>I99*(1+Parameters!$B$51)^Parameters!B$65</f>
        <v>10.775136107865119</v>
      </c>
      <c r="J100" s="7">
        <f>J99*(1+Parameters!$B$53)^Parameters!B$65</f>
        <v>60.39385609906379</v>
      </c>
      <c r="K100" s="23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168.30751437768731</v>
      </c>
      <c r="L100" s="8">
        <f>L99+K100*Parameters!B$65</f>
        <v>11844.933729220153</v>
      </c>
      <c r="M100" s="7">
        <f>M99+Parameters!$B$45*K100</f>
        <v>7.1069602375320855</v>
      </c>
      <c r="N100" s="7">
        <f>'6states'!O100</f>
        <v>0.96367866835004523</v>
      </c>
      <c r="O100" s="7">
        <f>MAX(O99+(Parameters!B$31-K100)*Parameters!B$65,30)</f>
        <v>30</v>
      </c>
      <c r="P100" s="7">
        <f>Parameters!B$61*EXP(-Parameters!B$60*A100)+(1-Parameters!B$61)*(O100/Parameters!B$62)^-Parameters!B$63</f>
        <v>0.56363996454709253</v>
      </c>
      <c r="Q100" s="9">
        <f>1-P100/Parameters!$B$12</f>
        <v>0.71818001772645368</v>
      </c>
      <c r="R100" s="23">
        <f t="shared" si="34"/>
        <v>3.5483644272937251</v>
      </c>
      <c r="S100" s="7">
        <f>(Parameters!$B$19*(E100+Parameters!$B$20)^Q100+Parameters!$B$18*F100^Q100)^(1/Q100)</f>
        <v>0.53700228589968924</v>
      </c>
      <c r="T100" s="7">
        <f>(Parameters!$B$10*G100^Parameters!$B$9 + Parameters!$B$11*S100^Parameters!$B$9) ^ (Parameters!$B$7/Parameters!$B$9) * N100</f>
        <v>1.4767124610656595</v>
      </c>
      <c r="U100" s="7">
        <f t="shared" si="35"/>
        <v>1.1262868952710137</v>
      </c>
      <c r="V100" s="7">
        <f>EXP(-Parameters!$B$55*A100)</f>
        <v>0.23466413497716049</v>
      </c>
      <c r="W100" s="7">
        <f>IF(U100&gt;0,U100^(1-Parameters!$B$52)/(1-Parameters!$B$52)*V100,-10+U100*1000)</f>
        <v>-0.64313406543309026</v>
      </c>
      <c r="X100" s="7"/>
      <c r="Y100" s="7"/>
      <c r="Z100" s="7"/>
      <c r="AA100" s="7"/>
    </row>
    <row r="101" spans="1:27" x14ac:dyDescent="0.25">
      <c r="A101">
        <f>A100+Parameters!$B$65</f>
        <v>97</v>
      </c>
      <c r="B101" s="46">
        <f t="shared" si="44"/>
        <v>5.5238794691412761E-2</v>
      </c>
      <c r="C101" s="46">
        <f t="shared" si="42"/>
        <v>2.532692781448906E-3</v>
      </c>
      <c r="D101" s="46">
        <f t="shared" si="43"/>
        <v>0.29265407832178425</v>
      </c>
      <c r="E101" s="7">
        <f>MAX((1-Parameters!$B$4)^Parameters!B$65*E100+B100*Parameters!B$65-Parameters!$B$5*B100^2/E100*Parameters!B$65,0.0001)</f>
        <v>0.81739934061948283</v>
      </c>
      <c r="F101" s="9">
        <f>(1-Parameters!$B$4)^Parameters!B$65*F100+C100*Parameters!B$65-Parameters!$B$5*C100^2/F100*Parameters!B$65</f>
        <v>4.3717442164756287E-2</v>
      </c>
      <c r="G101" s="7">
        <f>(1-Parameters!$B$4)^Parameters!B$65*G100+D100*Parameters!B$65-Parameters!$B$5*D100^2/G100*Parameters!B$65</f>
        <v>4.3422720093363676</v>
      </c>
      <c r="H101" s="7">
        <f>H100 *(1-Parameters!$B$4)-B100*(B100&lt;0)*Parameters!B$65</f>
        <v>0</v>
      </c>
      <c r="I101" s="7">
        <f>I100*(1+Parameters!$B$51)^Parameters!B$65</f>
        <v>10.806384002577927</v>
      </c>
      <c r="J101" s="7">
        <f>J100*(1+Parameters!$B$53)^Parameters!B$65</f>
        <v>61.601733221045066</v>
      </c>
      <c r="K101" s="23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170.43715717885297</v>
      </c>
      <c r="L101" s="8">
        <f>L100+K101*Parameters!B$65</f>
        <v>12015.370886399005</v>
      </c>
      <c r="M101" s="7">
        <f>M100+Parameters!$B$45*K101</f>
        <v>7.209222531839397</v>
      </c>
      <c r="N101" s="7">
        <f>'6states'!O101</f>
        <v>0.96366859650841263</v>
      </c>
      <c r="O101" s="7">
        <f>MAX(O100+(Parameters!B$31-K101)*Parameters!B$65,30)</f>
        <v>30</v>
      </c>
      <c r="P101" s="7">
        <f>Parameters!B$61*EXP(-Parameters!B$60*A101)+(1-Parameters!B$61)*(O101/Parameters!B$62)^-Parameters!B$63</f>
        <v>0.56264274062637831</v>
      </c>
      <c r="Q101" s="9">
        <f>1-P101/Parameters!$B$12</f>
        <v>0.71867862968681084</v>
      </c>
      <c r="R101" s="23">
        <f t="shared" si="34"/>
        <v>3.5546535227193052</v>
      </c>
      <c r="S101" s="7">
        <f>(Parameters!$B$19*(E101+Parameters!$B$20)^Q101+Parameters!$B$18*F101^Q101)^(1/Q101)</f>
        <v>0.53693028936624632</v>
      </c>
      <c r="T101" s="7">
        <f>(Parameters!$B$10*G101^Parameters!$B$9 + Parameters!$B$11*S101^Parameters!$B$9) ^ (Parameters!$B$7/Parameters!$B$9) * N101</f>
        <v>1.4766691669727114</v>
      </c>
      <c r="U101" s="7">
        <f t="shared" si="35"/>
        <v>1.1262436011780657</v>
      </c>
      <c r="V101" s="7">
        <f>EXP(-Parameters!$B$55*A101)</f>
        <v>0.23114732527432291</v>
      </c>
      <c r="W101" s="7">
        <f>IF(U101&gt;0,U101^(1-Parameters!$B$52)/(1-Parameters!$B$52)*V101,-10+U101*1000)</f>
        <v>-0.6335042170849543</v>
      </c>
      <c r="X101" s="7"/>
      <c r="Y101" s="7"/>
      <c r="Z101" s="7"/>
      <c r="AA101" s="7"/>
    </row>
    <row r="102" spans="1:27" x14ac:dyDescent="0.25">
      <c r="A102">
        <f>A101+Parameters!$B$65</f>
        <v>98</v>
      </c>
      <c r="B102" s="46">
        <f t="shared" si="44"/>
        <v>5.5238794691412761E-2</v>
      </c>
      <c r="C102" s="46">
        <f t="shared" si="42"/>
        <v>2.532692781448906E-3</v>
      </c>
      <c r="D102" s="46">
        <f t="shared" si="43"/>
        <v>0.29265407832178425</v>
      </c>
      <c r="E102" s="7">
        <f>MAX((1-Parameters!$B$4)^Parameters!B$65*E101+B101*Parameters!B$65-Parameters!$B$5*B101^2/E101*Parameters!B$65,0.0001)</f>
        <v>0.81749075018401496</v>
      </c>
      <c r="F102" s="9">
        <f>(1-Parameters!$B$4)^Parameters!B$65*F101+C101*Parameters!B$65-Parameters!$B$5*C101^2/F101*Parameters!B$65</f>
        <v>4.335358075195362E-2</v>
      </c>
      <c r="G102" s="7">
        <f>(1-Parameters!$B$4)^Parameters!B$65*G101+D101*Parameters!B$65-Parameters!$B$5*D101^2/G101*Parameters!B$65</f>
        <v>4.3420733080540526</v>
      </c>
      <c r="H102" s="7">
        <f>H101 *(1-Parameters!$B$4)-B101*(B101&lt;0)*Parameters!B$65</f>
        <v>0</v>
      </c>
      <c r="I102" s="7">
        <f>I101*(1+Parameters!$B$51)^Parameters!B$65</f>
        <v>10.837722516185401</v>
      </c>
      <c r="J102" s="7">
        <f>J101*(1+Parameters!$B$53)^Parameters!B$65</f>
        <v>62.833767885465967</v>
      </c>
      <c r="K102" s="23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172.59425431116421</v>
      </c>
      <c r="L102" s="8">
        <f>L101+K102*Parameters!B$65</f>
        <v>12187.96514071017</v>
      </c>
      <c r="M102" s="7">
        <f>M101+Parameters!$B$45*K102</f>
        <v>7.3127790844260954</v>
      </c>
      <c r="N102" s="7">
        <f>'6states'!O102</f>
        <v>0.96365904307960237</v>
      </c>
      <c r="O102" s="7">
        <f>MAX(O101+(Parameters!B$31-K102)*Parameters!B$65,30)</f>
        <v>30</v>
      </c>
      <c r="P102" s="7">
        <f>Parameters!B$61*EXP(-Parameters!B$60*A102)+(1-Parameters!B$61)*(O102/Parameters!B$62)^-Parameters!B$63</f>
        <v>0.5616720815128341</v>
      </c>
      <c r="Q102" s="9">
        <f>1-P102/Parameters!$B$12</f>
        <v>0.71916395924358301</v>
      </c>
      <c r="R102" s="23">
        <f t="shared" si="34"/>
        <v>3.5607965320496366</v>
      </c>
      <c r="S102" s="7">
        <f>(Parameters!$B$19*(E102+Parameters!$B$20)^Q102+Parameters!$B$18*F102^Q102)^(1/Q102)</f>
        <v>0.5368661375774717</v>
      </c>
      <c r="T102" s="7">
        <f>(Parameters!$B$10*G102^Parameters!$B$9 + Parameters!$B$11*S102^Parameters!$B$9) ^ (Parameters!$B$7/Parameters!$B$9) * N102</f>
        <v>1.4766287933878615</v>
      </c>
      <c r="U102" s="7">
        <f t="shared" si="35"/>
        <v>1.1262032275932157</v>
      </c>
      <c r="V102" s="7">
        <f>EXP(-Parameters!$B$55*A102)</f>
        <v>0.22768322047454675</v>
      </c>
      <c r="W102" s="7">
        <f>IF(U102&gt;0,U102^(1-Parameters!$B$52)/(1-Parameters!$B$52)*V102,-10+U102*1000)</f>
        <v>-0.62401799342373443</v>
      </c>
      <c r="X102" s="7"/>
      <c r="Y102" s="7"/>
      <c r="Z102" s="7"/>
      <c r="AA102" s="7"/>
    </row>
    <row r="103" spans="1:27" x14ac:dyDescent="0.25">
      <c r="A103">
        <f>A102+Parameters!$B$65</f>
        <v>99</v>
      </c>
      <c r="B103" s="46">
        <f t="shared" si="44"/>
        <v>5.5238794691412761E-2</v>
      </c>
      <c r="C103" s="46">
        <f t="shared" si="42"/>
        <v>2.532692781448906E-3</v>
      </c>
      <c r="D103" s="46">
        <f t="shared" si="43"/>
        <v>0.29265407832178425</v>
      </c>
      <c r="E103" s="7">
        <f>MAX((1-Parameters!$B$4)^Parameters!B$65*E102+B102*Parameters!B$65-Parameters!$B$5*B102^2/E102*Parameters!B$65,0.0001)</f>
        <v>0.8175768274969839</v>
      </c>
      <c r="F103" s="9">
        <f>(1-Parameters!$B$4)^Parameters!B$65*F102+C102*Parameters!B$65-Parameters!$B$5*C102^2/F102*Parameters!B$65</f>
        <v>4.3011374759182971E-2</v>
      </c>
      <c r="G103" s="7">
        <f>(1-Parameters!$B$4)^Parameters!B$65*G102+D102*Parameters!B$65-Parameters!$B$5*D102^2/G102*Parameters!B$65</f>
        <v>4.34188620248172</v>
      </c>
      <c r="H103" s="7">
        <f>H102 *(1-Parameters!$B$4)-B102*(B102&lt;0)*Parameters!B$65</f>
        <v>0</v>
      </c>
      <c r="I103" s="7">
        <f>I102*(1+Parameters!$B$51)^Parameters!B$65</f>
        <v>10.869151911482337</v>
      </c>
      <c r="J103" s="7">
        <f>J102*(1+Parameters!$B$53)^Parameters!B$65</f>
        <v>64.090443243175287</v>
      </c>
      <c r="K103" s="23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174.7791993770791</v>
      </c>
      <c r="L103" s="8">
        <f>L102+K103*Parameters!B$65</f>
        <v>12362.744340087249</v>
      </c>
      <c r="M103" s="7">
        <f>M102+Parameters!$B$45*K103</f>
        <v>7.4176466040523428</v>
      </c>
      <c r="N103" s="7">
        <f>'6states'!O103</f>
        <v>0.96364998182277917</v>
      </c>
      <c r="O103" s="7">
        <f>MAX(O102+(Parameters!B$31-K103)*Parameters!B$65,30)</f>
        <v>30</v>
      </c>
      <c r="P103" s="7">
        <f>Parameters!B$61*EXP(-Parameters!B$60*A103)+(1-Parameters!B$61)*(O103/Parameters!B$62)^-Parameters!B$63</f>
        <v>0.56072727955297785</v>
      </c>
      <c r="Q103" s="9">
        <f>1-P103/Parameters!$B$12</f>
        <v>0.71963636022351107</v>
      </c>
      <c r="R103" s="23">
        <f t="shared" si="34"/>
        <v>3.5667963249343546</v>
      </c>
      <c r="S103" s="7">
        <f>(Parameters!$B$19*(E103+Parameters!$B$20)^Q103+Parameters!$B$18*F103^Q103)^(1/Q103)</f>
        <v>0.53680927473521234</v>
      </c>
      <c r="T103" s="7">
        <f>(Parameters!$B$10*G103^Parameters!$B$9 + Parameters!$B$11*S103^Parameters!$B$9) ^ (Parameters!$B$7/Parameters!$B$9) * N103</f>
        <v>1.4765911632607709</v>
      </c>
      <c r="U103" s="7">
        <f t="shared" si="35"/>
        <v>1.1261655974661249</v>
      </c>
      <c r="V103" s="7">
        <f>EXP(-Parameters!$B$55*A103)</f>
        <v>0.22427103071228871</v>
      </c>
      <c r="W103" s="7">
        <f>IF(U103&gt;0,U103^(1-Parameters!$B$52)/(1-Parameters!$B$52)*V103,-10+U103*1000)</f>
        <v>-0.61467329462750642</v>
      </c>
      <c r="X103" s="7"/>
      <c r="Y103" s="7"/>
      <c r="Z103" s="7"/>
      <c r="AA103" s="7"/>
    </row>
    <row r="104" spans="1:27" x14ac:dyDescent="0.25">
      <c r="A104">
        <f>A103+Parameters!$B$65</f>
        <v>100</v>
      </c>
      <c r="B104" s="9">
        <f t="shared" ref="B104:B105" si="45">B103</f>
        <v>5.5238794691412761E-2</v>
      </c>
      <c r="C104" s="9">
        <f t="shared" ref="C104:D104" si="46">C103</f>
        <v>2.532692781448906E-3</v>
      </c>
      <c r="D104" s="7">
        <f t="shared" si="46"/>
        <v>0.29265407832178425</v>
      </c>
      <c r="E104" s="7">
        <f>MAX((1-Parameters!$B$4)^Parameters!B$65*E103+B103*Parameters!B$65-Parameters!$B$5*B103^2/E103*Parameters!B$65,0.0001)</f>
        <v>0.81765788352264113</v>
      </c>
      <c r="F104" s="9">
        <f>(1-Parameters!$B$4)^Parameters!B$65*F103+C103*Parameters!B$65-Parameters!$B$5*C103^2/F103*Parameters!B$65</f>
        <v>4.2689516339390866E-2</v>
      </c>
      <c r="G104" s="7">
        <f>(1-Parameters!$B$4)^Parameters!B$65*G103+D103*Parameters!B$65-Parameters!$B$5*D103^2/G103*Parameters!B$65</f>
        <v>4.3417100158472071</v>
      </c>
      <c r="H104" s="7">
        <f>H103 *(1-Parameters!$B$4)-B103*(B103&lt;0)*Parameters!B$65</f>
        <v>0</v>
      </c>
      <c r="I104" s="7">
        <f>I103*(1+Parameters!$B$51)^Parameters!B$65</f>
        <v>10.900672452025635</v>
      </c>
      <c r="J104" s="7">
        <f>J103*(1+Parameters!$B$53)^Parameters!B$65</f>
        <v>65.372252108038793</v>
      </c>
      <c r="K104" s="23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176.99238905400202</v>
      </c>
      <c r="L104" s="8">
        <f>L103+K104*Parameters!B$65</f>
        <v>12539.73672914125</v>
      </c>
      <c r="M104" s="7">
        <f>M103+Parameters!$B$45*K104</f>
        <v>7.5238420374847443</v>
      </c>
      <c r="N104" s="7">
        <f>'6states'!O104</f>
        <v>0.96364138781819242</v>
      </c>
      <c r="O104" s="7">
        <f>MAX(O103+(Parameters!B$31-K104)*Parameters!B$65,30)</f>
        <v>30</v>
      </c>
      <c r="P104" s="7">
        <f>Parameters!B$61*EXP(-Parameters!B$60*A104)+(1-Parameters!B$61)*(O104/Parameters!B$62)^-Parameters!B$63</f>
        <v>0.55980764594433752</v>
      </c>
      <c r="Q104" s="9">
        <f>1-P104/Parameters!$B$12</f>
        <v>0.72009617702783124</v>
      </c>
      <c r="R104" s="23">
        <f t="shared" si="34"/>
        <v>3.572655740752178</v>
      </c>
      <c r="S104" s="7">
        <f>(Parameters!$B$19*(E104+Parameters!$B$20)^Q104+Parameters!$B$18*F104^Q104)^(1/Q104)</f>
        <v>0.53675917936423156</v>
      </c>
      <c r="T104" s="7">
        <f>(Parameters!$B$10*G104^Parameters!$B$9 + Parameters!$B$11*S104^Parameters!$B$9) ^ (Parameters!$B$7/Parameters!$B$9) * N104</f>
        <v>1.4765561096608617</v>
      </c>
      <c r="U104" s="7">
        <f t="shared" si="35"/>
        <v>1.1261305438662159</v>
      </c>
      <c r="V104" s="7">
        <f>EXP(-Parameters!$B$55*A104)</f>
        <v>0.22090997795937814</v>
      </c>
      <c r="W104" s="7">
        <f>IF(U104&gt;0,U104^(1-Parameters!$B$52)/(1-Parameters!$B$52)*V104,-10+U104*1000)</f>
        <v>-0.60546804852343206</v>
      </c>
      <c r="X104" s="7"/>
      <c r="Y104" s="7"/>
      <c r="Z104" s="7"/>
      <c r="AA104" s="7"/>
    </row>
    <row r="105" spans="1:27" x14ac:dyDescent="0.25">
      <c r="A105">
        <f>A104+Parameters!$B$65</f>
        <v>101</v>
      </c>
      <c r="B105" s="9">
        <f t="shared" si="45"/>
        <v>5.5238794691412761E-2</v>
      </c>
      <c r="C105" s="9">
        <f>C104</f>
        <v>2.532692781448906E-3</v>
      </c>
      <c r="D105" s="7">
        <f>D104</f>
        <v>0.29265407832178425</v>
      </c>
      <c r="E105" s="7">
        <f>MAX((1-Parameters!$B$4)^Parameters!B$65*E104+B104*Parameters!B$65-Parameters!$B$5*B104^2/E104*Parameters!B$65,0.0001)</f>
        <v>0.81773421110023192</v>
      </c>
      <c r="F105" s="9">
        <f>(1-Parameters!$B$4)^Parameters!B$65*F104+C104*Parameters!B$65-Parameters!$B$5*C104^2/F104*Parameters!B$65</f>
        <v>4.2386778402541271E-2</v>
      </c>
      <c r="G105" s="7">
        <f>(1-Parameters!$B$4)^Parameters!B$65*G104+D104*Parameters!B$65-Parameters!$B$5*D104^2/G104*Parameters!B$65</f>
        <v>4.3415441108860406</v>
      </c>
      <c r="H105" s="7">
        <f>H104 *(1-Parameters!$B$4)-B104*(B104&lt;0)*Parameters!B$65</f>
        <v>0</v>
      </c>
      <c r="I105" s="7">
        <f>I104*(1+Parameters!$B$51)^Parameters!B$65</f>
        <v>10.932284402136508</v>
      </c>
      <c r="J105" s="7">
        <f>J104*(1+Parameters!$B$53)^Parameters!B$65</f>
        <v>66.679697150199573</v>
      </c>
      <c r="K105" s="23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179.23422323403653</v>
      </c>
      <c r="L105" s="8">
        <f>L104+K105*Parameters!B$65</f>
        <v>12718.970952375286</v>
      </c>
      <c r="M105" s="7">
        <f>M104+Parameters!$B$45*K105</f>
        <v>7.6313825714251662</v>
      </c>
      <c r="N105" s="7">
        <f>'6states'!O105</f>
        <v>0.96363323740089701</v>
      </c>
      <c r="O105" s="7">
        <f>MAX(O104+(Parameters!B$31-K105)*Parameters!B$65,30)</f>
        <v>30</v>
      </c>
      <c r="P105" s="7">
        <f>Parameters!B$61*EXP(-Parameters!B$60*A105)+(1-Parameters!B$61)*(O105/Parameters!B$62)^-Parameters!B$63</f>
        <v>0.55891251023328392</v>
      </c>
      <c r="Q105" s="9">
        <f>1-P105/Parameters!$B$12</f>
        <v>0.72054374488335804</v>
      </c>
      <c r="R105" s="23">
        <f t="shared" si="34"/>
        <v>3.5783775875140496</v>
      </c>
      <c r="S105" s="7">
        <f>(Parameters!$B$19*(E105+Parameters!$B$20)^Q105+Parameters!$B$18*F105^Q105)^(1/Q105)</f>
        <v>0.53671536240750706</v>
      </c>
      <c r="T105" s="7">
        <f>(Parameters!$B$10*G105^Parameters!$B$9 + Parameters!$B$11*S105^Parameters!$B$9) ^ (Parameters!$B$7/Parameters!$B$9) * N105</f>
        <v>1.4765234752397414</v>
      </c>
      <c r="U105" s="7">
        <f t="shared" si="35"/>
        <v>1.1260979094450954</v>
      </c>
      <c r="V105" s="7">
        <f>EXP(-Parameters!$B$55*A105)</f>
        <v>0.21759929584761534</v>
      </c>
      <c r="W105" s="7">
        <f>IF(U105&gt;0,U105^(1-Parameters!$B$52)/(1-Parameters!$B$52)*V105,-10+U105*1000)</f>
        <v>-0.59640021043863067</v>
      </c>
      <c r="X105" s="7"/>
      <c r="Y105" s="7"/>
      <c r="Z105" s="7"/>
      <c r="AA105" s="7"/>
    </row>
    <row r="106" spans="1:27" x14ac:dyDescent="0.25">
      <c r="A106">
        <f>A105+Parameters!$B$65</f>
        <v>102</v>
      </c>
      <c r="B106" s="9">
        <f t="shared" ref="B106:D121" si="47">B105</f>
        <v>5.5238794691412761E-2</v>
      </c>
      <c r="C106" s="9">
        <f t="shared" si="47"/>
        <v>2.532692781448906E-3</v>
      </c>
      <c r="D106" s="7">
        <f t="shared" si="47"/>
        <v>0.29265407832178425</v>
      </c>
      <c r="E106" s="7">
        <f>MAX((1-Parameters!$B$4)^Parameters!B$65*E105+B105*Parameters!B$65-Parameters!$B$5*B105^2/E105*Parameters!B$65,0.0001)</f>
        <v>0.81780608599933524</v>
      </c>
      <c r="F106" s="9">
        <f>(1-Parameters!$B$4)^Parameters!B$65*F105+C105*Parameters!B$65-Parameters!$B$5*C105^2/F105*Parameters!B$65</f>
        <v>4.2102009482996278E-2</v>
      </c>
      <c r="G106" s="7">
        <f>(1-Parameters!$B$4)^Parameters!B$65*G105+D105*Parameters!B$65-Parameters!$B$5*D105^2/G105*Parameters!B$65</f>
        <v>4.3413878875341387</v>
      </c>
      <c r="H106" s="7">
        <f>H105 *(1-Parameters!$B$4)-B105*(B105&lt;0)*Parameters!B$65</f>
        <v>0</v>
      </c>
      <c r="I106" s="7">
        <f>I105*(1+Parameters!$B$51)^Parameters!B$65</f>
        <v>10.963988026902703</v>
      </c>
      <c r="J106" s="7">
        <f>J105*(1+Parameters!$B$53)^Parameters!B$65</f>
        <v>68.013291093203563</v>
      </c>
      <c r="K106" s="23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181.5051051607162</v>
      </c>
      <c r="L106" s="8">
        <f>L105+K106*Parameters!B$65</f>
        <v>12900.476057536003</v>
      </c>
      <c r="M106" s="7">
        <f>M105+Parameters!$B$45*K106</f>
        <v>7.7402856345215962</v>
      </c>
      <c r="N106" s="7">
        <f>'6states'!O106</f>
        <v>0.96362550809772274</v>
      </c>
      <c r="O106" s="7">
        <f>MAX(O105+(Parameters!B$31-K106)*Parameters!B$65,30)</f>
        <v>30</v>
      </c>
      <c r="P106" s="7">
        <f>Parameters!B$61*EXP(-Parameters!B$60*A106)+(1-Parameters!B$61)*(O106/Parameters!B$62)^-Parameters!B$63</f>
        <v>0.55804121982623989</v>
      </c>
      <c r="Q106" s="9">
        <f>1-P106/Parameters!$B$12</f>
        <v>0.72097939008688006</v>
      </c>
      <c r="R106" s="23">
        <f t="shared" si="34"/>
        <v>3.5839646408606698</v>
      </c>
      <c r="S106" s="7">
        <f>(Parameters!$B$19*(E106+Parameters!$B$20)^Q106+Parameters!$B$18*F106^Q106)^(1/Q106)</f>
        <v>0.53667736540866873</v>
      </c>
      <c r="T106" s="7">
        <f>(Parameters!$B$10*G106^Parameters!$B$9 + Parameters!$B$11*S106^Parameters!$B$9) ^ (Parameters!$B$7/Parameters!$B$9) * N106</f>
        <v>1.4764931117177471</v>
      </c>
      <c r="U106" s="7">
        <f t="shared" si="35"/>
        <v>1.1260675459231013</v>
      </c>
      <c r="V106" s="7">
        <f>EXP(-Parameters!$B$55*A106)</f>
        <v>0.2143382294940287</v>
      </c>
      <c r="W106" s="7">
        <f>IF(U106&gt;0,U106^(1-Parameters!$B$52)/(1-Parameters!$B$52)*V106,-10+U106*1000)</f>
        <v>-0.58746776303614989</v>
      </c>
      <c r="X106" s="7"/>
      <c r="Y106" s="7"/>
      <c r="Z106" s="7"/>
      <c r="AA106" s="7"/>
    </row>
    <row r="107" spans="1:27" x14ac:dyDescent="0.25">
      <c r="A107">
        <f>A106+Parameters!$B$65</f>
        <v>103</v>
      </c>
      <c r="B107" s="9">
        <f t="shared" si="47"/>
        <v>5.5238794691412761E-2</v>
      </c>
      <c r="C107" s="9">
        <f t="shared" si="47"/>
        <v>2.532692781448906E-3</v>
      </c>
      <c r="D107" s="7">
        <f t="shared" si="47"/>
        <v>0.29265407832178425</v>
      </c>
      <c r="E107" s="7">
        <f>MAX((1-Parameters!$B$4)^Parameters!B$65*E106+B106*Parameters!B$65-Parameters!$B$5*B106^2/E106*Parameters!B$65,0.0001)</f>
        <v>0.81787376791388289</v>
      </c>
      <c r="F107" s="9">
        <f>(1-Parameters!$B$4)^Parameters!B$65*F106+C106*Parameters!B$65-Parameters!$B$5*C106^2/F106*Parameters!B$65</f>
        <v>4.1834128942393418E-2</v>
      </c>
      <c r="G107" s="7">
        <f>(1-Parameters!$B$4)^Parameters!B$65*G106+D106*Parameters!B$65-Parameters!$B$5*D106^2/G106*Parameters!B$65</f>
        <v>4.3412407807553794</v>
      </c>
      <c r="H107" s="7">
        <f>H106 *(1-Parameters!$B$4)-B106*(B106&lt;0)*Parameters!B$65</f>
        <v>0</v>
      </c>
      <c r="I107" s="7">
        <f>I106*(1+Parameters!$B$51)^Parameters!B$65</f>
        <v>10.99578359218072</v>
      </c>
      <c r="J107" s="7">
        <f>J106*(1+Parameters!$B$53)^Parameters!B$65</f>
        <v>69.373556915067638</v>
      </c>
      <c r="K107" s="23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183.80544156291043</v>
      </c>
      <c r="L107" s="8">
        <f>L106+K107*Parameters!B$65</f>
        <v>13084.281499098914</v>
      </c>
      <c r="M107" s="7">
        <f>M106+Parameters!$B$45*K107</f>
        <v>7.8505688994593426</v>
      </c>
      <c r="N107" s="7">
        <f>'6states'!O107</f>
        <v>0.96361817856733956</v>
      </c>
      <c r="O107" s="7">
        <f>MAX(O106+(Parameters!B$31-K107)*Parameters!B$65,30)</f>
        <v>30</v>
      </c>
      <c r="P107" s="7">
        <f>Parameters!B$61*EXP(-Parameters!B$60*A107)+(1-Parameters!B$61)*(O107/Parameters!B$62)^-Parameters!B$63</f>
        <v>0.55719313951391136</v>
      </c>
      <c r="Q107" s="9">
        <f>1-P107/Parameters!$B$12</f>
        <v>0.72140343024304432</v>
      </c>
      <c r="R107" s="23">
        <f t="shared" si="34"/>
        <v>3.5894196431506247</v>
      </c>
      <c r="S107" s="7">
        <f>(Parameters!$B$19*(E107+Parameters!$B$20)^Q107+Parameters!$B$18*F107^Q107)^(1/Q107)</f>
        <v>0.53664475877968942</v>
      </c>
      <c r="T107" s="7">
        <f>(Parameters!$B$10*G107^Parameters!$B$9 + Parameters!$B$11*S107^Parameters!$B$9) ^ (Parameters!$B$7/Parameters!$B$9) * N107</f>
        <v>1.4764648793940538</v>
      </c>
      <c r="U107" s="7">
        <f t="shared" si="35"/>
        <v>1.1260393135994078</v>
      </c>
      <c r="V107" s="7">
        <f>EXP(-Parameters!$B$55*A107)</f>
        <v>0.21112603532875074</v>
      </c>
      <c r="W107" s="7">
        <f>IF(U107&gt;0,U107^(1-Parameters!$B$52)/(1-Parameters!$B$52)*V107,-10+U107*1000)</f>
        <v>-0.57866871613720416</v>
      </c>
      <c r="X107" s="7"/>
      <c r="Y107" s="7"/>
      <c r="Z107" s="7"/>
      <c r="AA107" s="7"/>
    </row>
    <row r="108" spans="1:27" x14ac:dyDescent="0.25">
      <c r="A108">
        <f>A107+Parameters!$B$65</f>
        <v>104</v>
      </c>
      <c r="B108" s="9">
        <f t="shared" si="47"/>
        <v>5.5238794691412761E-2</v>
      </c>
      <c r="C108" s="9">
        <f t="shared" si="47"/>
        <v>2.532692781448906E-3</v>
      </c>
      <c r="D108" s="7">
        <f t="shared" si="47"/>
        <v>0.29265407832178425</v>
      </c>
      <c r="E108" s="7">
        <f>MAX((1-Parameters!$B$4)^Parameters!B$65*E107+B107*Parameters!B$65-Parameters!$B$5*B107^2/E107*Parameters!B$65,0.0001)</f>
        <v>0.81793750139840371</v>
      </c>
      <c r="F108" s="9">
        <f>(1-Parameters!$B$4)^Parameters!B$65*F107+C107*Parameters!B$65-Parameters!$B$5*C107^2/F107*Parameters!B$65</f>
        <v>4.1582122485896732E-2</v>
      </c>
      <c r="G108" s="7">
        <f>(1-Parameters!$B$4)^Parameters!B$65*G107+D107*Parameters!B$65-Parameters!$B$5*D107^2/G107*Parameters!B$65</f>
        <v>4.341102258496127</v>
      </c>
      <c r="H108" s="7">
        <f>H107 *(1-Parameters!$B$4)-B107*(B107&lt;0)*Parameters!B$65</f>
        <v>0</v>
      </c>
      <c r="I108" s="7">
        <f>I107*(1+Parameters!$B$51)^Parameters!B$65</f>
        <v>11.027671364598042</v>
      </c>
      <c r="J108" s="7">
        <f>J107*(1+Parameters!$B$53)^Parameters!B$65</f>
        <v>70.761028053368989</v>
      </c>
      <c r="K108" s="23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186.13564278609192</v>
      </c>
      <c r="L108" s="8">
        <f>L107+K108*Parameters!B$65</f>
        <v>13270.417141885006</v>
      </c>
      <c r="M108" s="7">
        <f>M107+Parameters!$B$45*K108</f>
        <v>7.962250285130998</v>
      </c>
      <c r="N108" s="7">
        <f>'6states'!O108</f>
        <v>0.96361122854327375</v>
      </c>
      <c r="O108" s="7">
        <f>MAX(O107+(Parameters!B$31-K108)*Parameters!B$65,30)</f>
        <v>30</v>
      </c>
      <c r="P108" s="7">
        <f>Parameters!B$61*EXP(-Parameters!B$60*A108)+(1-Parameters!B$61)*(O108/Parameters!B$62)^-Parameters!B$63</f>
        <v>0.55636765100819097</v>
      </c>
      <c r="Q108" s="9">
        <f>1-P108/Parameters!$B$12</f>
        <v>0.72181617449590452</v>
      </c>
      <c r="R108" s="23">
        <f t="shared" si="34"/>
        <v>3.5947453026354252</v>
      </c>
      <c r="S108" s="7">
        <f>(Parameters!$B$19*(E108+Parameters!$B$20)^Q108+Parameters!$B$18*F108^Q108)^(1/Q108)</f>
        <v>0.53661714015171325</v>
      </c>
      <c r="T108" s="7">
        <f>(Parameters!$B$10*G108^Parameters!$B$9 + Parameters!$B$11*S108^Parameters!$B$9) ^ (Parameters!$B$7/Parameters!$B$9) * N108</f>
        <v>1.4764386466797232</v>
      </c>
      <c r="U108" s="7">
        <f t="shared" si="35"/>
        <v>1.1260130808850772</v>
      </c>
      <c r="V108" s="7">
        <f>EXP(-Parameters!$B$55*A108)</f>
        <v>0.20796198092547327</v>
      </c>
      <c r="W108" s="7">
        <f>IF(U108&gt;0,U108^(1-Parameters!$B$52)/(1-Parameters!$B$52)*V108,-10+U108*1000)</f>
        <v>-0.57000110653080971</v>
      </c>
      <c r="X108" s="7"/>
      <c r="Y108" s="7"/>
      <c r="Z108" s="7"/>
      <c r="AA108" s="7"/>
    </row>
    <row r="109" spans="1:27" x14ac:dyDescent="0.25">
      <c r="A109">
        <f>A108+Parameters!$B$65</f>
        <v>105</v>
      </c>
      <c r="B109" s="9">
        <f t="shared" si="47"/>
        <v>5.5238794691412761E-2</v>
      </c>
      <c r="C109" s="9">
        <f t="shared" si="47"/>
        <v>2.532692781448906E-3</v>
      </c>
      <c r="D109" s="7">
        <f t="shared" si="47"/>
        <v>0.29265407832178425</v>
      </c>
      <c r="E109" s="7">
        <f>MAX((1-Parameters!$B$4)^Parameters!B$65*E108+B108*Parameters!B$65-Parameters!$B$5*B108^2/E108*Parameters!B$65,0.0001)</f>
        <v>0.81799751674984023</v>
      </c>
      <c r="F109" s="9">
        <f>(1-Parameters!$B$4)^Parameters!B$65*F108+C108*Parameters!B$65-Parameters!$B$5*C108^2/F108*Parameters!B$65</f>
        <v>4.1345037971094192E-2</v>
      </c>
      <c r="G109" s="7">
        <f>(1-Parameters!$B$4)^Parameters!B$65*G108+D108*Parameters!B$65-Parameters!$B$5*D108^2/G108*Parameters!B$65</f>
        <v>4.3409718197592921</v>
      </c>
      <c r="H109" s="7">
        <f>H108 *(1-Parameters!$B$4)-B108*(B108&lt;0)*Parameters!B$65</f>
        <v>0</v>
      </c>
      <c r="I109" s="7">
        <f>I108*(1+Parameters!$B$51)^Parameters!B$65</f>
        <v>11.059651611555376</v>
      </c>
      <c r="J109" s="7">
        <f>J108*(1+Parameters!$B$53)^Parameters!B$65</f>
        <v>72.176248614436375</v>
      </c>
      <c r="K109" s="23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188.49612292114529</v>
      </c>
      <c r="L109" s="8">
        <f>L108+K109*Parameters!B$65</f>
        <v>13458.913264806151</v>
      </c>
      <c r="M109" s="7">
        <f>M108+Parameters!$B$45*K109</f>
        <v>8.0753479588836843</v>
      </c>
      <c r="N109" s="7">
        <f>'6states'!O109</f>
        <v>0.96360463877973557</v>
      </c>
      <c r="O109" s="7">
        <f>MAX(O108+(Parameters!B$31-K109)*Parameters!B$65,30)</f>
        <v>30</v>
      </c>
      <c r="P109" s="7">
        <f>Parameters!B$61*EXP(-Parameters!B$60*A109)+(1-Parameters!B$61)*(O109/Parameters!B$62)^-Parameters!B$63</f>
        <v>0.55556415249139879</v>
      </c>
      <c r="Q109" s="9">
        <f>1-P109/Parameters!$B$12</f>
        <v>0.72221792375430061</v>
      </c>
      <c r="R109" s="23">
        <f t="shared" si="34"/>
        <v>3.5999442927177774</v>
      </c>
      <c r="S109" s="7">
        <f>(Parameters!$B$19*(E109+Parameters!$B$20)^Q109+Parameters!$B$18*F109^Q109)^(1/Q109)</f>
        <v>0.5365941328067152</v>
      </c>
      <c r="T109" s="7">
        <f>(Parameters!$B$10*G109^Parameters!$B$9 + Parameters!$B$11*S109^Parameters!$B$9) ^ (Parameters!$B$7/Parameters!$B$9) * N109</f>
        <v>1.4764142896530479</v>
      </c>
      <c r="U109" s="7">
        <f t="shared" si="35"/>
        <v>1.1259887238584021</v>
      </c>
      <c r="V109" s="7">
        <f>EXP(-Parameters!$B$55*A109)</f>
        <v>0.2048453448344438</v>
      </c>
      <c r="W109" s="7">
        <f>IF(U109&gt;0,U109^(1-Parameters!$B$52)/(1-Parameters!$B$52)*V109,-10+U109*1000)</f>
        <v>-0.5614629977718838</v>
      </c>
      <c r="X109" s="7"/>
      <c r="Y109" s="7"/>
      <c r="Z109" s="7"/>
      <c r="AA109" s="7"/>
    </row>
    <row r="110" spans="1:27" x14ac:dyDescent="0.25">
      <c r="A110">
        <f>A109+Parameters!$B$65</f>
        <v>106</v>
      </c>
      <c r="B110" s="9">
        <f t="shared" si="47"/>
        <v>5.5238794691412761E-2</v>
      </c>
      <c r="C110" s="9">
        <f t="shared" si="47"/>
        <v>2.532692781448906E-3</v>
      </c>
      <c r="D110" s="7">
        <f t="shared" si="47"/>
        <v>0.29265407832178425</v>
      </c>
      <c r="E110" s="7">
        <f>MAX((1-Parameters!$B$4)^Parameters!B$65*E109+B109*Parameters!B$65-Parameters!$B$5*B109^2/E109*Parameters!B$65,0.0001)</f>
        <v>0.81805403083809003</v>
      </c>
      <c r="F110" s="9">
        <f>(1-Parameters!$B$4)^Parameters!B$65*F109+C109*Parameters!B$65-Parameters!$B$5*C109^2/F109*Parameters!B$65</f>
        <v>4.1121981490134775E-2</v>
      </c>
      <c r="G110" s="7">
        <f>(1-Parameters!$B$4)^Parameters!B$65*G109+D109*Parameters!B$65-Parameters!$B$5*D109^2/G109*Parameters!B$65</f>
        <v>4.3408489927909288</v>
      </c>
      <c r="H110" s="7">
        <f>H109 *(1-Parameters!$B$4)-B109*(B109&lt;0)*Parameters!B$65</f>
        <v>0</v>
      </c>
      <c r="I110" s="7">
        <f>I109*(1+Parameters!$B$51)^Parameters!B$65</f>
        <v>11.091724601228885</v>
      </c>
      <c r="J110" s="7">
        <f>J109*(1+Parameters!$B$53)^Parameters!B$65</f>
        <v>73.619773586725103</v>
      </c>
      <c r="K110" s="23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190.88729993088774</v>
      </c>
      <c r="L110" s="8">
        <f>L109+K110*Parameters!B$65</f>
        <v>13649.800564737039</v>
      </c>
      <c r="M110" s="7">
        <f>M109+Parameters!$B$45*K110</f>
        <v>8.189880338842217</v>
      </c>
      <c r="N110" s="7">
        <f>'6states'!O110</f>
        <v>0.96359839100012545</v>
      </c>
      <c r="O110" s="7">
        <f>MAX(O109+(Parameters!B$31-K110)*Parameters!B$65,30)</f>
        <v>30</v>
      </c>
      <c r="P110" s="7">
        <f>Parameters!B$61*EXP(-Parameters!B$60*A110)+(1-Parameters!B$61)*(O110/Parameters!B$62)^-Parameters!B$63</f>
        <v>0.55478205817753101</v>
      </c>
      <c r="Q110" s="9">
        <f>1-P110/Parameters!$B$12</f>
        <v>0.72260897091123444</v>
      </c>
      <c r="R110" s="23">
        <f t="shared" si="34"/>
        <v>3.6050192512894799</v>
      </c>
      <c r="S110" s="7">
        <f>(Parameters!$B$19*(E110+Parameters!$B$20)^Q110+Parameters!$B$18*F110^Q110)^(1/Q110)</f>
        <v>0.53657538418754536</v>
      </c>
      <c r="T110" s="7">
        <f>(Parameters!$B$10*G110^Parameters!$B$9 + Parameters!$B$11*S110^Parameters!$B$9) ^ (Parameters!$B$7/Parameters!$B$9) * N110</f>
        <v>1.4763916916364901</v>
      </c>
      <c r="U110" s="7">
        <f t="shared" si="35"/>
        <v>1.1259661258418441</v>
      </c>
      <c r="V110" s="7">
        <f>EXP(-Parameters!$B$55*A110)</f>
        <v>0.20177541641796462</v>
      </c>
      <c r="W110" s="7">
        <f>IF(U110&gt;0,U110^(1-Parameters!$B$52)/(1-Parameters!$B$52)*V110,-10+U110*1000)</f>
        <v>-0.55305247996883344</v>
      </c>
      <c r="X110" s="7"/>
      <c r="Y110" s="7"/>
      <c r="Z110" s="7"/>
      <c r="AA110" s="7"/>
    </row>
    <row r="111" spans="1:27" x14ac:dyDescent="0.25">
      <c r="A111">
        <f>A110+Parameters!$B$65</f>
        <v>107</v>
      </c>
      <c r="B111" s="9">
        <f t="shared" si="47"/>
        <v>5.5238794691412761E-2</v>
      </c>
      <c r="C111" s="9">
        <f t="shared" si="47"/>
        <v>2.532692781448906E-3</v>
      </c>
      <c r="D111" s="7">
        <f t="shared" si="47"/>
        <v>0.29265407832178425</v>
      </c>
      <c r="E111" s="7">
        <f>MAX((1-Parameters!$B$4)^Parameters!B$65*E110+B110*Parameters!B$65-Parameters!$B$5*B110^2/E110*Parameters!B$65,0.0001)</f>
        <v>0.81810724788824285</v>
      </c>
      <c r="F111" s="9">
        <f>(1-Parameters!$B$4)^Parameters!B$65*F110+C110*Parameters!B$65-Parameters!$B$5*C110^2/F110*Parameters!B$65</f>
        <v>4.0912113706947077E-2</v>
      </c>
      <c r="G111" s="7">
        <f>(1-Parameters!$B$4)^Parameters!B$65*G110+D110*Parameters!B$65-Parameters!$B$5*D110^2/G110*Parameters!B$65</f>
        <v>4.3407333333727838</v>
      </c>
      <c r="H111" s="7">
        <f>H110 *(1-Parameters!$B$4)-B110*(B110&lt;0)*Parameters!B$65</f>
        <v>0</v>
      </c>
      <c r="I111" s="7">
        <f>I110*(1+Parameters!$B$51)^Parameters!B$65</f>
        <v>11.123890602572446</v>
      </c>
      <c r="J111" s="7">
        <f>J110*(1+Parameters!$B$53)^Parameters!B$65</f>
        <v>75.092169058459604</v>
      </c>
      <c r="K111" s="23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193.30959577446365</v>
      </c>
      <c r="L111" s="8">
        <f>L110+K111*Parameters!B$65</f>
        <v>13843.110160511504</v>
      </c>
      <c r="M111" s="7">
        <f>M110+Parameters!$B$45*K111</f>
        <v>8.3058660963068949</v>
      </c>
      <c r="N111" s="7">
        <f>'6states'!O111</f>
        <v>0.96359246784809383</v>
      </c>
      <c r="O111" s="7">
        <f>MAX(O110+(Parameters!B$31-K111)*Parameters!B$65,30)</f>
        <v>30</v>
      </c>
      <c r="P111" s="7">
        <f>Parameters!B$61*EXP(-Parameters!B$60*A111)+(1-Parameters!B$61)*(O111/Parameters!B$62)^-Parameters!B$63</f>
        <v>0.55402079788519565</v>
      </c>
      <c r="Q111" s="9">
        <f>1-P111/Parameters!$B$12</f>
        <v>0.72298960105740218</v>
      </c>
      <c r="R111" s="23">
        <f t="shared" si="34"/>
        <v>3.6099727801454136</v>
      </c>
      <c r="S111" s="7">
        <f>(Parameters!$B$19*(E111+Parameters!$B$20)^Q111+Parameters!$B$18*F111^Q111)^(1/Q111)</f>
        <v>0.5365605644837822</v>
      </c>
      <c r="T111" s="7">
        <f>(Parameters!$B$10*G111^Parameters!$B$9 + Parameters!$B$11*S111^Parameters!$B$9) ^ (Parameters!$B$7/Parameters!$B$9) * N111</f>
        <v>1.4763707427945136</v>
      </c>
      <c r="U111" s="7">
        <f t="shared" si="35"/>
        <v>1.1259451769998678</v>
      </c>
      <c r="V111" s="7">
        <f>EXP(-Parameters!$B$55*A111)</f>
        <v>0.19875149568835732</v>
      </c>
      <c r="W111" s="7">
        <f>IF(U111&gt;0,U111^(1-Parameters!$B$52)/(1-Parameters!$B$52)*V111,-10+U111*1000)</f>
        <v>-0.5447676695615965</v>
      </c>
      <c r="X111" s="7"/>
      <c r="Y111" s="7"/>
      <c r="Z111" s="7"/>
      <c r="AA111" s="7"/>
    </row>
    <row r="112" spans="1:27" x14ac:dyDescent="0.25">
      <c r="A112">
        <f>A111+Parameters!$B$65</f>
        <v>108</v>
      </c>
      <c r="B112" s="9">
        <f t="shared" si="47"/>
        <v>5.5238794691412761E-2</v>
      </c>
      <c r="C112" s="9">
        <f t="shared" si="47"/>
        <v>2.532692781448906E-3</v>
      </c>
      <c r="D112" s="7">
        <f t="shared" si="47"/>
        <v>0.29265407832178425</v>
      </c>
      <c r="E112" s="7">
        <f>MAX((1-Parameters!$B$4)^Parameters!B$65*E111+B111*Parameters!B$65-Parameters!$B$5*B111^2/E111*Parameters!B$65,0.0001)</f>
        <v>0.81815736021731411</v>
      </c>
      <c r="F112" s="9">
        <f>(1-Parameters!$B$4)^Parameters!B$65*F111+C111*Parameters!B$65-Parameters!$B$5*C111^2/F111*Parameters!B$65</f>
        <v>4.0714646432560002E-2</v>
      </c>
      <c r="G112" s="7">
        <f>(1-Parameters!$B$4)^Parameters!B$65*G111+D111*Parameters!B$65-Parameters!$B$5*D111^2/G111*Parameters!B$65</f>
        <v>4.3406244232146065</v>
      </c>
      <c r="H112" s="7">
        <f>H111 *(1-Parameters!$B$4)-B111*(B111&lt;0)*Parameters!B$65</f>
        <v>0</v>
      </c>
      <c r="I112" s="7">
        <f>I111*(1+Parameters!$B$51)^Parameters!B$65</f>
        <v>11.156149885319905</v>
      </c>
      <c r="J112" s="7">
        <f>J111*(1+Parameters!$B$53)^Parameters!B$65</f>
        <v>76.594012439628798</v>
      </c>
      <c r="K112" s="23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195.76343652977022</v>
      </c>
      <c r="L112" s="8">
        <f>L111+K112*Parameters!B$65</f>
        <v>14038.873597041274</v>
      </c>
      <c r="M112" s="7">
        <f>M111+Parameters!$B$45*K112</f>
        <v>8.4233241582247569</v>
      </c>
      <c r="N112" s="7">
        <f>'6states'!O112</f>
        <v>0.96358685284103329</v>
      </c>
      <c r="O112" s="7">
        <f>MAX(O111+(Parameters!B$31-K112)*Parameters!B$65,30)</f>
        <v>30</v>
      </c>
      <c r="P112" s="7">
        <f>Parameters!B$61*EXP(-Parameters!B$60*A112)+(1-Parameters!B$61)*(O112/Parameters!B$62)^-Parameters!B$63</f>
        <v>0.55327981662192482</v>
      </c>
      <c r="Q112" s="9">
        <f>1-P112/Parameters!$B$12</f>
        <v>0.72336009168903759</v>
      </c>
      <c r="R112" s="23">
        <f t="shared" si="34"/>
        <v>3.6148074444701259</v>
      </c>
      <c r="S112" s="7">
        <f>(Parameters!$B$19*(E112+Parameters!$B$20)^Q112+Parameters!$B$18*F112^Q112)^(1/Q112)</f>
        <v>0.53654936529073971</v>
      </c>
      <c r="T112" s="7">
        <f>(Parameters!$B$10*G112^Parameters!$B$9 + Parameters!$B$11*S112^Parameters!$B$9) ^ (Parameters!$B$7/Parameters!$B$9) * N112</f>
        <v>1.4763513397515646</v>
      </c>
      <c r="U112" s="7">
        <f t="shared" si="35"/>
        <v>1.1259257739569186</v>
      </c>
      <c r="V112" s="7">
        <f>EXP(-Parameters!$B$55*A112)</f>
        <v>0.19577289314835553</v>
      </c>
      <c r="W112" s="7">
        <f>IF(U112&gt;0,U112^(1-Parameters!$B$52)/(1-Parameters!$B$52)*V112,-10+U112*1000)</f>
        <v>-0.53660670909105901</v>
      </c>
      <c r="X112" s="7"/>
      <c r="Y112" s="7"/>
      <c r="Z112" s="7"/>
      <c r="AA112" s="7"/>
    </row>
    <row r="113" spans="1:27" x14ac:dyDescent="0.25">
      <c r="A113">
        <f>A112+Parameters!$B$65</f>
        <v>109</v>
      </c>
      <c r="B113" s="9">
        <f t="shared" si="47"/>
        <v>5.5238794691412761E-2</v>
      </c>
      <c r="C113" s="9">
        <f t="shared" si="47"/>
        <v>2.532692781448906E-3</v>
      </c>
      <c r="D113" s="7">
        <f t="shared" si="47"/>
        <v>0.29265407832178425</v>
      </c>
      <c r="E113" s="7">
        <f>MAX((1-Parameters!$B$4)^Parameters!B$65*E112+B112*Parameters!B$65-Parameters!$B$5*B112^2/E112*Parameters!B$65,0.0001)</f>
        <v>0.81820454892811523</v>
      </c>
      <c r="F113" s="9">
        <f>(1-Parameters!$B$4)^Parameters!B$65*F112+C112*Parameters!B$65-Parameters!$B$5*C112^2/F112*Parameters!B$65</f>
        <v>4.0528839422657087E-2</v>
      </c>
      <c r="G113" s="7">
        <f>(1-Parameters!$B$4)^Parameters!B$65*G112+D112*Parameters!B$65-Parameters!$B$5*D112^2/G112*Parameters!B$65</f>
        <v>4.3405218684403666</v>
      </c>
      <c r="H113" s="7">
        <f>H112 *(1-Parameters!$B$4)-B112*(B112&lt;0)*Parameters!B$65</f>
        <v>0</v>
      </c>
      <c r="I113" s="7">
        <f>I112*(1+Parameters!$B$51)^Parameters!B$65</f>
        <v>11.188502719987332</v>
      </c>
      <c r="J113" s="7">
        <f>J112*(1+Parameters!$B$53)^Parameters!B$65</f>
        <v>78.125892688421374</v>
      </c>
      <c r="K113" s="23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198.24925251406276</v>
      </c>
      <c r="L113" s="8">
        <f>L112+K113*Parameters!B$65</f>
        <v>14237.122849555337</v>
      </c>
      <c r="M113" s="7">
        <f>M112+Parameters!$B$45*K113</f>
        <v>8.5422737097331947</v>
      </c>
      <c r="N113" s="7">
        <f>'6states'!O113</f>
        <v>0.96358153032588811</v>
      </c>
      <c r="O113" s="7">
        <f>MAX(O112+(Parameters!B$31-K113)*Parameters!B$65,30)</f>
        <v>30</v>
      </c>
      <c r="P113" s="7">
        <f>Parameters!B$61*EXP(-Parameters!B$60*A113)+(1-Parameters!B$61)*(O113/Parameters!B$62)^-Parameters!B$63</f>
        <v>0.55255857417956122</v>
      </c>
      <c r="Q113" s="9">
        <f>1-P113/Parameters!$B$12</f>
        <v>0.72372071291021944</v>
      </c>
      <c r="R113" s="23">
        <f t="shared" si="34"/>
        <v>3.619525772393632</v>
      </c>
      <c r="S113" s="7">
        <f>(Parameters!$B$19*(E113+Parameters!$B$20)^Q113+Parameters!$B$18*F113^Q113)^(1/Q113)</f>
        <v>0.53654149833891007</v>
      </c>
      <c r="T113" s="7">
        <f>(Parameters!$B$10*G113^Parameters!$B$9 + Parameters!$B$11*S113^Parameters!$B$9) ^ (Parameters!$B$7/Parameters!$B$9) * N113</f>
        <v>1.4763333852294587</v>
      </c>
      <c r="U113" s="7">
        <f t="shared" si="35"/>
        <v>1.1259078194348127</v>
      </c>
      <c r="V113" s="7">
        <f>EXP(-Parameters!$B$55*A113)</f>
        <v>0.19283892963388949</v>
      </c>
      <c r="W113" s="7">
        <f>IF(U113&gt;0,U113^(1-Parameters!$B$52)/(1-Parameters!$B$52)*V113,-10+U113*1000)</f>
        <v>-0.52856776696071373</v>
      </c>
      <c r="X113" s="7"/>
      <c r="Y113" s="7"/>
      <c r="Z113" s="7"/>
      <c r="AA113" s="7"/>
    </row>
    <row r="114" spans="1:27" x14ac:dyDescent="0.25">
      <c r="A114">
        <f>A113+Parameters!$B$65</f>
        <v>110</v>
      </c>
      <c r="B114" s="9">
        <f t="shared" si="47"/>
        <v>5.5238794691412761E-2</v>
      </c>
      <c r="C114" s="9">
        <f t="shared" si="47"/>
        <v>2.532692781448906E-3</v>
      </c>
      <c r="D114" s="7">
        <f t="shared" si="47"/>
        <v>0.29265407832178425</v>
      </c>
      <c r="E114" s="7">
        <f>MAX((1-Parameters!$B$4)^Parameters!B$65*E113+B113*Parameters!B$65-Parameters!$B$5*B113^2/E113*Parameters!B$65,0.0001)</f>
        <v>0.81824898456274575</v>
      </c>
      <c r="F114" s="9">
        <f>(1-Parameters!$B$4)^Parameters!B$65*F113+C113*Parameters!B$65-Parameters!$B$5*C113^2/F113*Parameters!B$65</f>
        <v>4.0353997382542424E-2</v>
      </c>
      <c r="G114" s="7">
        <f>(1-Parameters!$B$4)^Parameters!B$65*G113+D113*Parameters!B$65-Parameters!$B$5*D113^2/G113*Parameters!B$65</f>
        <v>4.340425298162911</v>
      </c>
      <c r="H114" s="7">
        <f>H113 *(1-Parameters!$B$4)-B113*(B113&lt;0)*Parameters!B$65</f>
        <v>0</v>
      </c>
      <c r="I114" s="7">
        <f>I113*(1+Parameters!$B$51)^Parameters!B$65</f>
        <v>11.220949377875295</v>
      </c>
      <c r="J114" s="7">
        <f>J113*(1+Parameters!$B$53)^Parameters!B$65</f>
        <v>79.6884105421898</v>
      </c>
      <c r="K114" s="23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200.76747840287993</v>
      </c>
      <c r="L114" s="8">
        <f>L113+K114*Parameters!B$65</f>
        <v>14437.890327958217</v>
      </c>
      <c r="M114" s="7">
        <f>M113+Parameters!$B$45*K114</f>
        <v>8.6627341967749221</v>
      </c>
      <c r="N114" s="7">
        <f>'6states'!O114</f>
        <v>0.96357648543717334</v>
      </c>
      <c r="O114" s="7">
        <f>MAX(O113+(Parameters!B$31-K114)*Parameters!B$65,30)</f>
        <v>30</v>
      </c>
      <c r="P114" s="7">
        <f>Parameters!B$61*EXP(-Parameters!B$60*A114)+(1-Parameters!B$61)*(O114/Parameters!B$62)^-Parameters!B$63</f>
        <v>0.55185654474042223</v>
      </c>
      <c r="Q114" s="9">
        <f>1-P114/Parameters!$B$12</f>
        <v>0.72407172762978889</v>
      </c>
      <c r="R114" s="23">
        <f t="shared" si="34"/>
        <v>3.6241302546130783</v>
      </c>
      <c r="S114" s="7">
        <f>(Parameters!$B$19*(E114+Parameters!$B$20)^Q114+Parameters!$B$18*F114^Q114)^(1/Q114)</f>
        <v>0.53653669429109097</v>
      </c>
      <c r="T114" s="7">
        <f>(Parameters!$B$10*G114^Parameters!$B$9 + Parameters!$B$11*S114^Parameters!$B$9) ^ (Parameters!$B$7/Parameters!$B$9) * N114</f>
        <v>1.4763167877034347</v>
      </c>
      <c r="U114" s="7">
        <f t="shared" si="35"/>
        <v>1.1258912219087889</v>
      </c>
      <c r="V114" s="7">
        <f>EXP(-Parameters!$B$55*A114)</f>
        <v>0.18994893615922709</v>
      </c>
      <c r="W114" s="7">
        <f>IF(U114&gt;0,U114^(1-Parameters!$B$52)/(1-Parameters!$B$52)*V114,-10+U114*1000)</f>
        <v>-0.52064903719137801</v>
      </c>
      <c r="X114" s="7"/>
      <c r="Y114" s="7"/>
      <c r="Z114" s="7"/>
      <c r="AA114" s="7"/>
    </row>
    <row r="115" spans="1:27" x14ac:dyDescent="0.25">
      <c r="A115">
        <f>A114+Parameters!$B$65</f>
        <v>111</v>
      </c>
      <c r="B115" s="9">
        <f t="shared" si="47"/>
        <v>5.5238794691412761E-2</v>
      </c>
      <c r="C115" s="9">
        <f t="shared" si="47"/>
        <v>2.532692781448906E-3</v>
      </c>
      <c r="D115" s="7">
        <f t="shared" si="47"/>
        <v>0.29265407832178425</v>
      </c>
      <c r="E115" s="7">
        <f>MAX((1-Parameters!$B$4)^Parameters!B$65*E114+B114*Parameters!B$65-Parameters!$B$5*B114^2/E114*Parameters!B$65,0.0001)</f>
        <v>0.81829082771805228</v>
      </c>
      <c r="F115" s="9">
        <f>(1-Parameters!$B$4)^Parameters!B$65*F114+C114*Parameters!B$65-Parameters!$B$5*C114^2/F114*Parameters!B$65</f>
        <v>4.0189467165679879E-2</v>
      </c>
      <c r="G115" s="7">
        <f>(1-Parameters!$B$4)^Parameters!B$65*G114+D114*Parameters!B$65-Parameters!$B$5*D114^2/G114*Parameters!B$65</f>
        <v>4.3403343631418716</v>
      </c>
      <c r="H115" s="7">
        <f>H114 *(1-Parameters!$B$4)-B114*(B114&lt;0)*Parameters!B$65</f>
        <v>0</v>
      </c>
      <c r="I115" s="7">
        <f>I114*(1+Parameters!$B$51)^Parameters!B$65</f>
        <v>11.253490131071132</v>
      </c>
      <c r="J115" s="7">
        <f>J114*(1+Parameters!$B$53)^Parameters!B$65</f>
        <v>81.282178753033591</v>
      </c>
      <c r="K115" s="23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203.31855334742829</v>
      </c>
      <c r="L115" s="8">
        <f>L114+K115*Parameters!B$65</f>
        <v>14641.208881305645</v>
      </c>
      <c r="M115" s="7">
        <f>M114+Parameters!$B$45*K115</f>
        <v>8.7847253287833791</v>
      </c>
      <c r="N115" s="7">
        <f>'6states'!O115</f>
        <v>0.96357170405709924</v>
      </c>
      <c r="O115" s="7">
        <f>MAX(O114+(Parameters!B$31-K115)*Parameters!B$65,30)</f>
        <v>30</v>
      </c>
      <c r="P115" s="7">
        <f>Parameters!B$61*EXP(-Parameters!B$60*A115)+(1-Parameters!B$61)*(O115/Parameters!B$62)^-Parameters!B$63</f>
        <v>0.55117321649395523</v>
      </c>
      <c r="Q115" s="9">
        <f>1-P115/Parameters!$B$12</f>
        <v>0.72441339175302244</v>
      </c>
      <c r="R115" s="23">
        <f t="shared" si="34"/>
        <v>3.6286233440770514</v>
      </c>
      <c r="S115" s="7">
        <f>(Parameters!$B$19*(E115+Parameters!$B$20)^Q115+Parameters!$B$18*F115^Q115)^(1/Q115)</f>
        <v>0.53653470160443029</v>
      </c>
      <c r="T115" s="7">
        <f>(Parameters!$B$10*G115^Parameters!$B$9 + Parameters!$B$11*S115^Parameters!$B$9) ^ (Parameters!$B$7/Parameters!$B$9) * N115</f>
        <v>1.4763014610761118</v>
      </c>
      <c r="U115" s="7">
        <f t="shared" si="35"/>
        <v>1.125875895281466</v>
      </c>
      <c r="V115" s="7">
        <f>EXP(-Parameters!$B$55*A115)</f>
        <v>0.18710225376443562</v>
      </c>
      <c r="W115" s="7">
        <f>IF(U115&gt;0,U115^(1-Parameters!$B$52)/(1-Parameters!$B$52)*V115,-10+U115*1000)</f>
        <v>-0.51284873916974405</v>
      </c>
      <c r="X115" s="7"/>
      <c r="Y115" s="7"/>
      <c r="Z115" s="7"/>
      <c r="AA115" s="7"/>
    </row>
    <row r="116" spans="1:27" x14ac:dyDescent="0.25">
      <c r="A116">
        <f>A115+Parameters!$B$65</f>
        <v>112</v>
      </c>
      <c r="B116" s="9">
        <f t="shared" si="47"/>
        <v>5.5238794691412761E-2</v>
      </c>
      <c r="C116" s="9">
        <f t="shared" si="47"/>
        <v>2.532692781448906E-3</v>
      </c>
      <c r="D116" s="7">
        <f t="shared" si="47"/>
        <v>0.29265407832178425</v>
      </c>
      <c r="E116" s="7">
        <f>MAX((1-Parameters!$B$4)^Parameters!B$65*E115+B115*Parameters!B$65-Parameters!$B$5*B115^2/E115*Parameters!B$65,0.0001)</f>
        <v>0.81833022962526203</v>
      </c>
      <c r="F116" s="9">
        <f>(1-Parameters!$B$4)^Parameters!B$65*F115+C115*Parameters!B$65-Parameters!$B$5*C115^2/F115*Parameters!B$65</f>
        <v>4.0034635152891337E-2</v>
      </c>
      <c r="G116" s="7">
        <f>(1-Parameters!$B$4)^Parameters!B$65*G115+D115*Parameters!B$65-Parameters!$B$5*D115^2/G115*Parameters!B$65</f>
        <v>4.3402487345199603</v>
      </c>
      <c r="H116" s="7">
        <f>H115 *(1-Parameters!$B$4)-B115*(B115&lt;0)*Parameters!B$65</f>
        <v>0</v>
      </c>
      <c r="I116" s="7">
        <f>I115*(1+Parameters!$B$51)^Parameters!B$65</f>
        <v>11.286125252451237</v>
      </c>
      <c r="J116" s="7">
        <f>J115*(1+Parameters!$B$53)^Parameters!B$65</f>
        <v>82.907822328094269</v>
      </c>
      <c r="K116" s="23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205.90292109055204</v>
      </c>
      <c r="L116" s="8">
        <f>L115+K116*Parameters!B$65</f>
        <v>14847.111802396197</v>
      </c>
      <c r="M116" s="7">
        <f>M115+Parameters!$B$45*K116</f>
        <v>8.9082670814377103</v>
      </c>
      <c r="N116" s="7">
        <f>'6states'!O116</f>
        <v>0.9635671727777021</v>
      </c>
      <c r="O116" s="7">
        <f>MAX(O115+(Parameters!B$31-K116)*Parameters!B$65,30)</f>
        <v>30</v>
      </c>
      <c r="P116" s="7">
        <f>Parameters!B$61*EXP(-Parameters!B$60*A116)+(1-Parameters!B$61)*(O116/Parameters!B$62)^-Parameters!B$63</f>
        <v>0.55050809126360545</v>
      </c>
      <c r="Q116" s="9">
        <f>1-P116/Parameters!$B$12</f>
        <v>0.72474595436819733</v>
      </c>
      <c r="R116" s="23">
        <f t="shared" si="34"/>
        <v>3.633007455729329</v>
      </c>
      <c r="S116" s="7">
        <f>(Parameters!$B$19*(E116+Parameters!$B$20)^Q116+Parameters!$B$18*F116^Q116)^(1/Q116)</f>
        <v>0.53653528545463169</v>
      </c>
      <c r="T116" s="7">
        <f>(Parameters!$B$10*G116^Parameters!$B$9 + Parameters!$B$11*S116^Parameters!$B$9) ^ (Parameters!$B$7/Parameters!$B$9) * N116</f>
        <v>1.4762873243686159</v>
      </c>
      <c r="U116" s="7">
        <f t="shared" si="35"/>
        <v>1.1258617585739699</v>
      </c>
      <c r="V116" s="7">
        <f>EXP(-Parameters!$B$55*A116)</f>
        <v>0.18429823336512921</v>
      </c>
      <c r="W116" s="7">
        <f>IF(U116&gt;0,U116^(1-Parameters!$B$52)/(1-Parameters!$B$52)*V116,-10+U116*1000)</f>
        <v>-0.5051651173914824</v>
      </c>
      <c r="X116" s="7"/>
      <c r="Y116" s="7"/>
      <c r="Z116" s="7"/>
      <c r="AA116" s="7"/>
    </row>
    <row r="117" spans="1:27" x14ac:dyDescent="0.25">
      <c r="A117">
        <f>A116+Parameters!$B$65</f>
        <v>113</v>
      </c>
      <c r="B117" s="9">
        <f t="shared" si="47"/>
        <v>5.5238794691412761E-2</v>
      </c>
      <c r="C117" s="9">
        <f t="shared" si="47"/>
        <v>2.532692781448906E-3</v>
      </c>
      <c r="D117" s="7">
        <f t="shared" si="47"/>
        <v>0.29265407832178425</v>
      </c>
      <c r="E117" s="7">
        <f>MAX((1-Parameters!$B$4)^Parameters!B$65*E116+B116*Parameters!B$65-Parameters!$B$5*B116^2/E116*Parameters!B$65,0.0001)</f>
        <v>0.81836733269587036</v>
      </c>
      <c r="F117" s="9">
        <f>(1-Parameters!$B$4)^Parameters!B$65*F116+C116*Parameters!B$65-Parameters!$B$5*C116^2/F116*Parameters!B$65</f>
        <v>3.9888924800166578E-2</v>
      </c>
      <c r="G117" s="7">
        <f>(1-Parameters!$B$4)^Parameters!B$65*G116+D116*Parameters!B$65-Parameters!$B$5*D116^2/G116*Parameters!B$65</f>
        <v>4.340168102633073</v>
      </c>
      <c r="H117" s="7">
        <f>H116 *(1-Parameters!$B$4)-B116*(B116&lt;0)*Parameters!B$65</f>
        <v>0</v>
      </c>
      <c r="I117" s="7">
        <f>I116*(1+Parameters!$B$51)^Parameters!B$65</f>
        <v>11.318855015683344</v>
      </c>
      <c r="J117" s="7">
        <f>J116*(1+Parameters!$B$53)^Parameters!B$65</f>
        <v>84.565978774656159</v>
      </c>
      <c r="K117" s="23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208.52103008141486</v>
      </c>
      <c r="L117" s="8">
        <f>L116+K117*Parameters!B$65</f>
        <v>15055.632832477611</v>
      </c>
      <c r="M117" s="7">
        <f>M116+Parameters!$B$45*K117</f>
        <v>9.0333796994865594</v>
      </c>
      <c r="N117" s="7">
        <f>'6states'!O117</f>
        <v>0.96356287886488923</v>
      </c>
      <c r="O117" s="7">
        <f>MAX(O116+(Parameters!B$31-K117)*Parameters!B$65,30)</f>
        <v>30</v>
      </c>
      <c r="P117" s="7">
        <f>Parameters!B$61*EXP(-Parameters!B$60*A117)+(1-Parameters!B$61)*(O117/Parameters!B$62)^-Parameters!B$63</f>
        <v>0.5498606841436231</v>
      </c>
      <c r="Q117" s="9">
        <f>1-P117/Parameters!$B$12</f>
        <v>0.72506965792818845</v>
      </c>
      <c r="R117" s="23">
        <f t="shared" si="34"/>
        <v>3.637284966309033</v>
      </c>
      <c r="S117" s="7">
        <f>(Parameters!$B$19*(E117+Parameters!$B$20)^Q117+Parameters!$B$18*F117^Q117)^(1/Q117)</f>
        <v>0.53653822671958129</v>
      </c>
      <c r="T117" s="7">
        <f>(Parameters!$B$10*G117^Parameters!$B$9 + Parameters!$B$11*S117^Parameters!$B$9) ^ (Parameters!$B$7/Parameters!$B$9) * N117</f>
        <v>1.4762743014281341</v>
      </c>
      <c r="U117" s="7">
        <f t="shared" si="35"/>
        <v>1.1258487356334883</v>
      </c>
      <c r="V117" s="7">
        <f>EXP(-Parameters!$B$55*A117)</f>
        <v>0.18153623560446847</v>
      </c>
      <c r="W117" s="7">
        <f>IF(U117&gt;0,U117^(1-Parameters!$B$52)/(1-Parameters!$B$52)*V117,-10+U117*1000)</f>
        <v>-0.49759644119957963</v>
      </c>
      <c r="X117" s="7"/>
      <c r="Y117" s="7"/>
      <c r="Z117" s="7"/>
      <c r="AA117" s="7"/>
    </row>
    <row r="118" spans="1:27" x14ac:dyDescent="0.25">
      <c r="A118">
        <f>A117+Parameters!$B$65</f>
        <v>114</v>
      </c>
      <c r="B118" s="9">
        <f t="shared" si="47"/>
        <v>5.5238794691412761E-2</v>
      </c>
      <c r="C118" s="9">
        <f t="shared" si="47"/>
        <v>2.532692781448906E-3</v>
      </c>
      <c r="D118" s="7">
        <f t="shared" si="47"/>
        <v>0.29265407832178425</v>
      </c>
      <c r="E118" s="7">
        <f>MAX((1-Parameters!$B$4)^Parameters!B$65*E117+B117*Parameters!B$65-Parameters!$B$5*B117^2/E117*Parameters!B$65,0.0001)</f>
        <v>0.81840227103574525</v>
      </c>
      <c r="F118" s="9">
        <f>(1-Parameters!$B$4)^Parameters!B$65*F117+C117*Parameters!B$65-Parameters!$B$5*C117^2/F117*Parameters!B$65</f>
        <v>3.9751794343849803E-2</v>
      </c>
      <c r="G118" s="7">
        <f>(1-Parameters!$B$4)^Parameters!B$65*G117+D117*Parameters!B$65-Parameters!$B$5*D117^2/G117*Parameters!B$65</f>
        <v>4.3400921758898843</v>
      </c>
      <c r="H118" s="7">
        <f>H117 *(1-Parameters!$B$4)-B117*(B117&lt;0)*Parameters!B$65</f>
        <v>0</v>
      </c>
      <c r="I118" s="7">
        <f>I117*(1+Parameters!$B$51)^Parameters!B$65</f>
        <v>11.351679695228825</v>
      </c>
      <c r="J118" s="7">
        <f>J117*(1+Parameters!$B$53)^Parameters!B$65</f>
        <v>86.257298350149284</v>
      </c>
      <c r="K118" s="23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211.17333358901209</v>
      </c>
      <c r="L118" s="8">
        <f>L117+K118*Parameters!B$65</f>
        <v>15266.806166066623</v>
      </c>
      <c r="M118" s="7">
        <f>M117+Parameters!$B$45*K118</f>
        <v>9.1600836996399675</v>
      </c>
      <c r="N118" s="7">
        <f>'6states'!O118</f>
        <v>0.96355881022430778</v>
      </c>
      <c r="O118" s="7">
        <f>MAX(O117+(Parameters!B$31-K118)*Parameters!B$65,30)</f>
        <v>30</v>
      </c>
      <c r="P118" s="7">
        <f>Parameters!B$61*EXP(-Parameters!B$60*A118)+(1-Parameters!B$61)*(O118/Parameters!B$62)^-Parameters!B$63</f>
        <v>0.54923052314554532</v>
      </c>
      <c r="Q118" s="9">
        <f>1-P118/Parameters!$B$12</f>
        <v>0.72538473842722739</v>
      </c>
      <c r="R118" s="23">
        <f t="shared" si="34"/>
        <v>3.6414582142041714</v>
      </c>
      <c r="S118" s="7">
        <f>(Parameters!$B$19*(E118+Parameters!$B$20)^Q118+Parameters!$B$18*F118^Q118)^(1/Q118)</f>
        <v>0.53654332101969815</v>
      </c>
      <c r="T118" s="7">
        <f>(Parameters!$B$10*G118^Parameters!$B$9 + Parameters!$B$11*S118^Parameters!$B$9) ^ (Parameters!$B$7/Parameters!$B$9) * N118</f>
        <v>1.4762623206511727</v>
      </c>
      <c r="U118" s="7">
        <f t="shared" si="35"/>
        <v>1.1258367548565267</v>
      </c>
      <c r="V118" s="7">
        <f>EXP(-Parameters!$B$55*A118)</f>
        <v>0.17881563070737777</v>
      </c>
      <c r="W118" s="7">
        <f>IF(U118&gt;0,U118^(1-Parameters!$B$52)/(1-Parameters!$B$52)*V118,-10+U118*1000)</f>
        <v>-0.49014100451854709</v>
      </c>
      <c r="X118" s="7"/>
      <c r="Y118" s="7"/>
      <c r="Z118" s="7"/>
      <c r="AA118" s="7"/>
    </row>
    <row r="119" spans="1:27" x14ac:dyDescent="0.25">
      <c r="A119">
        <f>A118+Parameters!$B$65</f>
        <v>115</v>
      </c>
      <c r="B119" s="9">
        <f t="shared" si="47"/>
        <v>5.5238794691412761E-2</v>
      </c>
      <c r="C119" s="9">
        <f t="shared" si="47"/>
        <v>2.532692781448906E-3</v>
      </c>
      <c r="D119" s="7">
        <f t="shared" si="47"/>
        <v>0.29265407832178425</v>
      </c>
      <c r="E119" s="7">
        <f>MAX((1-Parameters!$B$4)^Parameters!B$65*E118+B118*Parameters!B$65-Parameters!$B$5*B118^2/E118*Parameters!B$65,0.0001)</f>
        <v>0.81843517092929241</v>
      </c>
      <c r="F119" s="9">
        <f>(1-Parameters!$B$4)^Parameters!B$65*F118+C118*Parameters!B$65-Parameters!$B$5*C118^2/F118*Parameters!B$65</f>
        <v>3.9622734652728149E-2</v>
      </c>
      <c r="G119" s="7">
        <f>(1-Parameters!$B$4)^Parameters!B$65*G118+D118*Parameters!B$65-Parameters!$B$5*D118^2/G118*Parameters!B$65</f>
        <v>4.3400206797168703</v>
      </c>
      <c r="H119" s="7">
        <f>H118 *(1-Parameters!$B$4)-B118*(B118&lt;0)*Parameters!B$65</f>
        <v>0</v>
      </c>
      <c r="I119" s="7">
        <f>I118*(1+Parameters!$B$51)^Parameters!B$65</f>
        <v>11.384599566344987</v>
      </c>
      <c r="J119" s="7">
        <f>J118*(1+Parameters!$B$53)^Parameters!B$65</f>
        <v>87.982444317152272</v>
      </c>
      <c r="K119" s="23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213.86028981462613</v>
      </c>
      <c r="L119" s="8">
        <f>L118+K119*Parameters!B$65</f>
        <v>15480.666455881248</v>
      </c>
      <c r="M119" s="7">
        <f>M118+Parameters!$B$45*K119</f>
        <v>9.2883998735287427</v>
      </c>
      <c r="N119" s="7">
        <f>'6states'!O119</f>
        <v>0.9635549553689543</v>
      </c>
      <c r="O119" s="7">
        <f>MAX(O118+(Parameters!B$31-K119)*Parameters!B$65,30)</f>
        <v>30</v>
      </c>
      <c r="P119" s="7">
        <f>Parameters!B$61*EXP(-Parameters!B$60*A119)+(1-Parameters!B$61)*(O119/Parameters!B$62)^-Parameters!B$63</f>
        <v>0.54861714885409607</v>
      </c>
      <c r="Q119" s="9">
        <f>1-P119/Parameters!$B$12</f>
        <v>0.72569142557295196</v>
      </c>
      <c r="R119" s="23">
        <f t="shared" si="34"/>
        <v>3.6455294993556557</v>
      </c>
      <c r="S119" s="7">
        <f>(Parameters!$B$19*(E119+Parameters!$B$20)^Q119+Parameters!$B$18*F119^Q119)^(1/Q119)</f>
        <v>0.53655037781235426</v>
      </c>
      <c r="T119" s="7">
        <f>(Parameters!$B$10*G119^Parameters!$B$9 + Parameters!$B$11*S119^Parameters!$B$9) ^ (Parameters!$B$7/Parameters!$B$9) * N119</f>
        <v>1.4762513147218128</v>
      </c>
      <c r="U119" s="7">
        <f t="shared" si="35"/>
        <v>1.1258257489271668</v>
      </c>
      <c r="V119" s="7">
        <f>EXP(-Parameters!$B$55*A119)</f>
        <v>0.17613579833694784</v>
      </c>
      <c r="W119" s="7">
        <f>IF(U119&gt;0,U119^(1-Parameters!$B$52)/(1-Parameters!$B$52)*V119,-10+U119*1000)</f>
        <v>-0.48279712558509053</v>
      </c>
      <c r="X119" s="7"/>
      <c r="Y119" s="7"/>
      <c r="Z119" s="7"/>
      <c r="AA119" s="7"/>
    </row>
    <row r="120" spans="1:27" x14ac:dyDescent="0.25">
      <c r="A120">
        <f>A119+Parameters!$B$65</f>
        <v>116</v>
      </c>
      <c r="B120" s="9">
        <f t="shared" si="47"/>
        <v>5.5238794691412761E-2</v>
      </c>
      <c r="C120" s="9">
        <f t="shared" si="47"/>
        <v>2.532692781448906E-3</v>
      </c>
      <c r="D120" s="7">
        <f t="shared" si="47"/>
        <v>0.29265407832178425</v>
      </c>
      <c r="E120" s="7">
        <f>MAX((1-Parameters!$B$4)^Parameters!B$65*E119+B119*Parameters!B$65-Parameters!$B$5*B119^2/E119*Parameters!B$65,0.0001)</f>
        <v>0.81846615129542366</v>
      </c>
      <c r="F120" s="9">
        <f>(1-Parameters!$B$4)^Parameters!B$65*F119+C119*Parameters!B$65-Parameters!$B$5*C119^2/F119*Parameters!B$65</f>
        <v>3.9501267217258808E-2</v>
      </c>
      <c r="G120" s="7">
        <f>(1-Parameters!$B$4)^Parameters!B$65*G119+D119*Parameters!B$65-Parameters!$B$5*D119^2/G119*Parameters!B$65</f>
        <v>4.3399533555649388</v>
      </c>
      <c r="H120" s="7">
        <f>H119 *(1-Parameters!$B$4)-B119*(B119&lt;0)*Parameters!B$65</f>
        <v>0</v>
      </c>
      <c r="I120" s="7">
        <f>I119*(1+Parameters!$B$51)^Parameters!B$65</f>
        <v>11.417614905087387</v>
      </c>
      <c r="J120" s="7">
        <f>J119*(1+Parameters!$B$53)^Parameters!B$65</f>
        <v>89.742093203495315</v>
      </c>
      <c r="K120" s="23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216.58236200333468</v>
      </c>
      <c r="L120" s="8">
        <f>L119+K120*Parameters!B$65</f>
        <v>15697.248817884583</v>
      </c>
      <c r="M120" s="7">
        <f>M119+Parameters!$B$45*K120</f>
        <v>9.4183492907307436</v>
      </c>
      <c r="N120" s="7">
        <f>'6states'!O120</f>
        <v>0.96355130209831608</v>
      </c>
      <c r="O120" s="7">
        <f>MAX(O119+(Parameters!B$31-K120)*Parameters!B$65,30)</f>
        <v>30</v>
      </c>
      <c r="P120" s="7">
        <f>Parameters!B$61*EXP(-Parameters!B$60*A120)+(1-Parameters!B$61)*(O120/Parameters!B$62)^-Parameters!B$63</f>
        <v>0.54802011409225204</v>
      </c>
      <c r="Q120" s="9">
        <f>1-P120/Parameters!$B$12</f>
        <v>0.72598994295387398</v>
      </c>
      <c r="R120" s="23">
        <f t="shared" si="34"/>
        <v>3.6495010832090116</v>
      </c>
      <c r="S120" s="7">
        <f>(Parameters!$B$19*(E120+Parameters!$B$20)^Q120+Parameters!$B$18*F120^Q120)^(1/Q120)</f>
        <v>0.53655921953777685</v>
      </c>
      <c r="T120" s="7">
        <f>(Parameters!$B$10*G120^Parameters!$B$9 + Parameters!$B$11*S120^Parameters!$B$9) ^ (Parameters!$B$7/Parameters!$B$9) * N120</f>
        <v>1.4762412183876796</v>
      </c>
      <c r="U120" s="7">
        <f t="shared" si="35"/>
        <v>1.1258156525930336</v>
      </c>
      <c r="V120" s="7">
        <f>EXP(-Parameters!$B$55*A120)</f>
        <v>0.17349612745298973</v>
      </c>
      <c r="W120" s="7">
        <f>IF(U120&gt;0,U120^(1-Parameters!$B$52)/(1-Parameters!$B$52)*V120,-10+U120*1000)</f>
        <v>-0.47556314696802898</v>
      </c>
      <c r="X120" s="7"/>
      <c r="Y120" s="7"/>
      <c r="Z120" s="7"/>
      <c r="AA120" s="7"/>
    </row>
    <row r="121" spans="1:27" x14ac:dyDescent="0.25">
      <c r="A121">
        <f>A120+Parameters!$B$65</f>
        <v>117</v>
      </c>
      <c r="B121" s="9">
        <f t="shared" si="47"/>
        <v>5.5238794691412761E-2</v>
      </c>
      <c r="C121" s="9">
        <f t="shared" si="47"/>
        <v>2.532692781448906E-3</v>
      </c>
      <c r="D121" s="7">
        <f t="shared" si="47"/>
        <v>0.29265407832178425</v>
      </c>
      <c r="E121" s="7">
        <f>MAX((1-Parameters!$B$4)^Parameters!B$65*E120+B120*Parameters!B$65-Parameters!$B$5*B120^2/E120*Parameters!B$65,0.0001)</f>
        <v>0.81849532411696668</v>
      </c>
      <c r="F121" s="9">
        <f>(1-Parameters!$B$4)^Parameters!B$65*F120+C120*Parameters!B$65-Parameters!$B$5*C120^2/F120*Parameters!B$65</f>
        <v>3.9386942266835888E-2</v>
      </c>
      <c r="G121" s="7">
        <f>(1-Parameters!$B$4)^Parameters!B$65*G120+D120*Parameters!B$65-Parameters!$B$5*D120^2/G120*Parameters!B$65</f>
        <v>4.3398899599740668</v>
      </c>
      <c r="H121" s="7">
        <f>H120 *(1-Parameters!$B$4)-B120*(B120&lt;0)*Parameters!B$65</f>
        <v>0</v>
      </c>
      <c r="I121" s="7">
        <f>I120*(1+Parameters!$B$51)^Parameters!B$65</f>
        <v>11.450725988312138</v>
      </c>
      <c r="J121" s="7">
        <f>J120*(1+Parameters!$B$53)^Parameters!B$65</f>
        <v>91.536935067565224</v>
      </c>
      <c r="K121" s="23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219.34001855467687</v>
      </c>
      <c r="L121" s="8">
        <f>L120+K121*Parameters!B$65</f>
        <v>15916.588836439259</v>
      </c>
      <c r="M121" s="7">
        <f>M120+Parameters!$B$45*K121</f>
        <v>9.5499533018635496</v>
      </c>
      <c r="N121" s="7">
        <f>'6states'!O121</f>
        <v>0.96354784014539829</v>
      </c>
      <c r="O121" s="7">
        <f>MAX(O120+(Parameters!B$31-K121)*Parameters!B$65,30)</f>
        <v>30</v>
      </c>
      <c r="P121" s="7">
        <f>Parameters!B$61*EXP(-Parameters!B$60*A121)+(1-Parameters!B$61)*(O121/Parameters!B$62)^-Parameters!B$63</f>
        <v>0.54743898359523024</v>
      </c>
      <c r="Q121" s="9">
        <f>1-P121/Parameters!$B$12</f>
        <v>0.72628050820238488</v>
      </c>
      <c r="R121" s="23">
        <f t="shared" si="34"/>
        <v>3.6533751887110322</v>
      </c>
      <c r="S121" s="7">
        <f>(Parameters!$B$19*(E121+Parameters!$B$20)^Q121+Parameters!$B$18*F121^Q121)^(1/Q121)</f>
        <v>0.53656968081390088</v>
      </c>
      <c r="T121" s="7">
        <f>(Parameters!$B$10*G121^Parameters!$B$9 + Parameters!$B$11*S121^Parameters!$B$9) ^ (Parameters!$B$7/Parameters!$B$9) * N121</f>
        <v>1.4762319723262651</v>
      </c>
      <c r="U121" s="7">
        <f t="shared" si="35"/>
        <v>1.1258064065316193</v>
      </c>
      <c r="V121" s="7">
        <f>EXP(-Parameters!$B$55*A121)</f>
        <v>0.17089601617270908</v>
      </c>
      <c r="W121" s="7">
        <f>IF(U121&gt;0,U121^(1-Parameters!$B$52)/(1-Parameters!$B$52)*V121,-10+U121*1000)</f>
        <v>-0.46843743467452476</v>
      </c>
      <c r="X121" s="7"/>
      <c r="Y121" s="7"/>
      <c r="Z121" s="7"/>
      <c r="AA121" s="7"/>
    </row>
    <row r="122" spans="1:27" x14ac:dyDescent="0.25">
      <c r="A122">
        <f>A121+Parameters!$B$65</f>
        <v>118</v>
      </c>
      <c r="B122" s="9">
        <f t="shared" ref="B122:D137" si="48">B121</f>
        <v>5.5238794691412761E-2</v>
      </c>
      <c r="C122" s="9">
        <f t="shared" si="48"/>
        <v>2.532692781448906E-3</v>
      </c>
      <c r="D122" s="7">
        <f t="shared" si="48"/>
        <v>0.29265407832178425</v>
      </c>
      <c r="E122" s="7">
        <f>MAX((1-Parameters!$B$4)^Parameters!B$65*E121+B121*Parameters!B$65-Parameters!$B$5*B121^2/E121*Parameters!B$65,0.0001)</f>
        <v>0.81852279484505974</v>
      </c>
      <c r="F122" s="9">
        <f>(1-Parameters!$B$4)^Parameters!B$65*F121+C121*Parameters!B$65-Parameters!$B$5*C121^2/F121*Parameters!B$65</f>
        <v>3.9279337006618578E-2</v>
      </c>
      <c r="G122" s="7">
        <f>(1-Parameters!$B$4)^Parameters!B$65*G121+D121*Parameters!B$65-Parameters!$B$5*D121^2/G121*Parameters!B$65</f>
        <v>4.3398302636925505</v>
      </c>
      <c r="H122" s="7">
        <f>H121 *(1-Parameters!$B$4)-B121*(B121&lt;0)*Parameters!B$65</f>
        <v>0</v>
      </c>
      <c r="I122" s="7">
        <f>I121*(1+Parameters!$B$51)^Parameters!B$65</f>
        <v>11.483933093678242</v>
      </c>
      <c r="J122" s="7">
        <f>J121*(1+Parameters!$B$53)^Parameters!B$65</f>
        <v>93.367673768916532</v>
      </c>
      <c r="K122" s="23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222.13373313257492</v>
      </c>
      <c r="L122" s="8">
        <f>L121+K122*Parameters!B$65</f>
        <v>16138.722569571835</v>
      </c>
      <c r="M122" s="7">
        <f>M121+Parameters!$B$45*K122</f>
        <v>9.6832335417430944</v>
      </c>
      <c r="N122" s="7">
        <f>'6states'!O122</f>
        <v>0.96354455975972086</v>
      </c>
      <c r="O122" s="7">
        <f>MAX(O121+(Parameters!B$31-K122)*Parameters!B$65,30)</f>
        <v>30</v>
      </c>
      <c r="P122" s="7">
        <f>Parameters!B$61*EXP(-Parameters!B$60*A122)+(1-Parameters!B$61)*(O122/Parameters!B$62)^-Parameters!B$63</f>
        <v>0.54687333369316149</v>
      </c>
      <c r="Q122" s="9">
        <f>1-P122/Parameters!$B$12</f>
        <v>0.72656333315341926</v>
      </c>
      <c r="R122" s="23">
        <f t="shared" si="34"/>
        <v>3.6571540003487457</v>
      </c>
      <c r="S122" s="7">
        <f>(Parameters!$B$19*(E122+Parameters!$B$20)^Q122+Parameters!$B$18*F122^Q122)^(1/Q122)</f>
        <v>0.53658160767772467</v>
      </c>
      <c r="T122" s="7">
        <f>(Parameters!$B$10*G122^Parameters!$B$9 + Parameters!$B$11*S122^Parameters!$B$9) ^ (Parameters!$B$7/Parameters!$B$9) * N122</f>
        <v>1.4762235207954331</v>
      </c>
      <c r="U122" s="7">
        <f t="shared" si="35"/>
        <v>1.1257979550007873</v>
      </c>
      <c r="V122" s="7">
        <f>EXP(-Parameters!$B$55*A122)</f>
        <v>0.16833487163346803</v>
      </c>
      <c r="W122" s="7">
        <f>IF(U122&gt;0,U122^(1-Parameters!$B$52)/(1-Parameters!$B$52)*V122,-10+U122*1000)</f>
        <v>-0.4614183782024856</v>
      </c>
      <c r="X122" s="7"/>
      <c r="Y122" s="7"/>
      <c r="Z122" s="7"/>
      <c r="AA122" s="7"/>
    </row>
    <row r="123" spans="1:27" x14ac:dyDescent="0.25">
      <c r="A123">
        <f>A122+Parameters!$B$65</f>
        <v>119</v>
      </c>
      <c r="B123" s="9">
        <f t="shared" si="48"/>
        <v>5.5238794691412761E-2</v>
      </c>
      <c r="C123" s="9">
        <f t="shared" si="48"/>
        <v>2.532692781448906E-3</v>
      </c>
      <c r="D123" s="7">
        <f t="shared" si="48"/>
        <v>0.29265407832178425</v>
      </c>
      <c r="E123" s="7">
        <f>MAX((1-Parameters!$B$4)^Parameters!B$65*E122+B122*Parameters!B$65-Parameters!$B$5*B122^2/E122*Parameters!B$65,0.0001)</f>
        <v>0.8185486627799885</v>
      </c>
      <c r="F123" s="9">
        <f>(1-Parameters!$B$4)^Parameters!B$65*F122+C122*Parameters!B$65-Parameters!$B$5*C122^2/F122*Parameters!B$65</f>
        <v>3.9178053966021115E-2</v>
      </c>
      <c r="G123" s="7">
        <f>(1-Parameters!$B$4)^Parameters!B$65*G122+D122*Parameters!B$65-Parameters!$B$5*D122^2/G122*Parameters!B$65</f>
        <v>4.3397740508476819</v>
      </c>
      <c r="H123" s="7">
        <f>H122 *(1-Parameters!$B$4)-B122*(B122&lt;0)*Parameters!B$65</f>
        <v>0</v>
      </c>
      <c r="I123" s="7">
        <f>I122*(1+Parameters!$B$51)^Parameters!B$65</f>
        <v>11.517236499649908</v>
      </c>
      <c r="J123" s="7">
        <f>J122*(1+Parameters!$B$53)^Parameters!B$65</f>
        <v>95.235027244294869</v>
      </c>
      <c r="K123" s="23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224.96398477460986</v>
      </c>
      <c r="L123" s="8">
        <f>L122+K123*Parameters!B$65</f>
        <v>16363.686554346445</v>
      </c>
      <c r="M123" s="7">
        <f>M122+Parameters!$B$45*K123</f>
        <v>9.818211932607861</v>
      </c>
      <c r="N123" s="7">
        <f>'6states'!O123</f>
        <v>0.96354145168114824</v>
      </c>
      <c r="O123" s="7">
        <f>MAX(O122+(Parameters!B$31-K123)*Parameters!B$65,30)</f>
        <v>30</v>
      </c>
      <c r="P123" s="7">
        <f>Parameters!B$61*EXP(-Parameters!B$60*A123)+(1-Parameters!B$61)*(O123/Parameters!B$62)^-Parameters!B$63</f>
        <v>0.54632275200221569</v>
      </c>
      <c r="Q123" s="9">
        <f>1-P123/Parameters!$B$12</f>
        <v>0.72683862399889221</v>
      </c>
      <c r="R123" s="23">
        <f t="shared" si="34"/>
        <v>3.6608396642281686</v>
      </c>
      <c r="S123" s="7">
        <f>(Parameters!$B$19*(E123+Parameters!$B$20)^Q123+Parameters!$B$18*F123^Q123)^(1/Q123)</f>
        <v>0.53659485687079334</v>
      </c>
      <c r="T123" s="7">
        <f>(Parameters!$B$10*G123^Parameters!$B$9 + Parameters!$B$11*S123^Parameters!$B$9) ^ (Parameters!$B$7/Parameters!$B$9) * N123</f>
        <v>1.4762158114249506</v>
      </c>
      <c r="U123" s="7">
        <f t="shared" si="35"/>
        <v>1.1257902456303048</v>
      </c>
      <c r="V123" s="7">
        <f>EXP(-Parameters!$B$55*A123)</f>
        <v>0.16581210985760431</v>
      </c>
      <c r="W123" s="7">
        <f>IF(U123&gt;0,U123^(1-Parameters!$B$52)/(1-Parameters!$B$52)*V123,-10+U123*1000)</f>
        <v>-0.45450439026214307</v>
      </c>
      <c r="X123" s="7"/>
      <c r="Y123" s="7"/>
      <c r="Z123" s="7"/>
      <c r="AA123" s="7"/>
    </row>
    <row r="124" spans="1:27" x14ac:dyDescent="0.25">
      <c r="A124">
        <f>A123+Parameters!$B$65</f>
        <v>120</v>
      </c>
      <c r="B124" s="9">
        <f t="shared" si="48"/>
        <v>5.5238794691412761E-2</v>
      </c>
      <c r="C124" s="9">
        <f t="shared" si="48"/>
        <v>2.532692781448906E-3</v>
      </c>
      <c r="D124" s="7">
        <f t="shared" si="48"/>
        <v>0.29265407832178425</v>
      </c>
      <c r="E124" s="7">
        <f>MAX((1-Parameters!$B$4)^Parameters!B$65*E123+B123*Parameters!B$65-Parameters!$B$5*B123^2/E123*Parameters!B$65,0.0001)</f>
        <v>0.81857302142983257</v>
      </c>
      <c r="F124" s="9">
        <f>(1-Parameters!$B$4)^Parameters!B$65*F123+C123*Parameters!B$65-Parameters!$B$5*C123^2/F123*Parameters!B$65</f>
        <v>3.9082719451504648E-2</v>
      </c>
      <c r="G124" s="7">
        <f>(1-Parameters!$B$4)^Parameters!B$65*G123+D123*Parameters!B$65-Parameters!$B$5*D123^2/G123*Parameters!B$65</f>
        <v>4.3397211181648503</v>
      </c>
      <c r="H124" s="7">
        <f>H123 *(1-Parameters!$B$4)-B123*(B123&lt;0)*Parameters!B$65</f>
        <v>0</v>
      </c>
      <c r="I124" s="7">
        <f>I123*(1+Parameters!$B$51)^Parameters!B$65</f>
        <v>11.550636485498892</v>
      </c>
      <c r="J124" s="7">
        <f>J123*(1+Parameters!$B$53)^Parameters!B$65</f>
        <v>97.139727789180768</v>
      </c>
      <c r="K124" s="23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227.83125800074129</v>
      </c>
      <c r="L124" s="8">
        <f>L123+K124*Parameters!B$65</f>
        <v>16591.517812347185</v>
      </c>
      <c r="M124" s="7">
        <f>M123+Parameters!$B$45*K124</f>
        <v>9.9549106874083062</v>
      </c>
      <c r="N124" s="7">
        <f>'6states'!O124</f>
        <v>0.96353850711506495</v>
      </c>
      <c r="O124" s="7">
        <f>MAX(O123+(Parameters!B$31-K124)*Parameters!B$65,30)</f>
        <v>30</v>
      </c>
      <c r="P124" s="7">
        <f>Parameters!B$61*EXP(-Parameters!B$60*A124)+(1-Parameters!B$61)*(O124/Parameters!B$62)^-Parameters!B$63</f>
        <v>0.54578683712395615</v>
      </c>
      <c r="Q124" s="9">
        <f>1-P124/Parameters!$B$12</f>
        <v>0.72710658143802198</v>
      </c>
      <c r="R124" s="23">
        <f t="shared" si="34"/>
        <v>3.6644342881903751</v>
      </c>
      <c r="S124" s="7">
        <f>(Parameters!$B$19*(E124+Parameters!$B$20)^Q124+Parameters!$B$18*F124^Q124)^(1/Q124)</f>
        <v>0.53660929516651912</v>
      </c>
      <c r="T124" s="7">
        <f>(Parameters!$B$10*G124^Parameters!$B$9 + Parameters!$B$11*S124^Parameters!$B$9) ^ (Parameters!$B$7/Parameters!$B$9) * N124</f>
        <v>1.4762087950196987</v>
      </c>
      <c r="U124" s="7">
        <f t="shared" si="35"/>
        <v>1.1257832292250529</v>
      </c>
      <c r="V124" s="7">
        <f>EXP(-Parameters!$B$55*A124)</f>
        <v>0.16332715561927577</v>
      </c>
      <c r="W124" s="7">
        <f>IF(U124&gt;0,U124^(1-Parameters!$B$52)/(1-Parameters!$B$52)*V124,-10+U124*1000)</f>
        <v>-0.44769390649651308</v>
      </c>
      <c r="X124" s="7"/>
      <c r="Y124" s="7"/>
      <c r="Z124" s="7"/>
      <c r="AA124" s="7"/>
    </row>
    <row r="125" spans="1:27" x14ac:dyDescent="0.25">
      <c r="A125">
        <f>A124+Parameters!$B$65</f>
        <v>121</v>
      </c>
      <c r="B125" s="9">
        <f t="shared" si="48"/>
        <v>5.5238794691412761E-2</v>
      </c>
      <c r="C125" s="9">
        <f t="shared" si="48"/>
        <v>2.532692781448906E-3</v>
      </c>
      <c r="D125" s="7">
        <f t="shared" si="48"/>
        <v>0.29265407832178425</v>
      </c>
      <c r="E125" s="7">
        <f>MAX((1-Parameters!$B$4)^Parameters!B$65*E124+B124*Parameters!B$65-Parameters!$B$5*B124^2/E124*Parameters!B$65,0.0001)</f>
        <v>0.8185959588482149</v>
      </c>
      <c r="F125" s="9">
        <f>(1-Parameters!$B$4)^Parameters!B$65*F124+C124*Parameters!B$65-Parameters!$B$5*C124^2/F124*Parameters!B$65</f>
        <v>3.8992982096814163E-2</v>
      </c>
      <c r="G125" s="7">
        <f>(1-Parameters!$B$4)^Parameters!B$65*G124+D124*Parameters!B$65-Parameters!$B$5*D124^2/G124*Parameters!B$65</f>
        <v>4.3396712742322299</v>
      </c>
      <c r="H125" s="7">
        <f>H124 *(1-Parameters!$B$4)-B124*(B124&lt;0)*Parameters!B$65</f>
        <v>0</v>
      </c>
      <c r="I125" s="7">
        <f>I124*(1+Parameters!$B$51)^Parameters!B$65</f>
        <v>11.584133331306838</v>
      </c>
      <c r="J125" s="7">
        <f>J124*(1+Parameters!$B$53)^Parameters!B$65</f>
        <v>99.082522344964389</v>
      </c>
      <c r="K125" s="23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230.73604292155946</v>
      </c>
      <c r="L125" s="8">
        <f>L124+K125*Parameters!B$65</f>
        <v>16822.253855268744</v>
      </c>
      <c r="M125" s="7">
        <f>M124+Parameters!$B$45*K125</f>
        <v>10.093352313161242</v>
      </c>
      <c r="N125" s="7">
        <f>'6states'!O125</f>
        <v>0.96353571770883706</v>
      </c>
      <c r="O125" s="7">
        <f>MAX(O124+(Parameters!B$31-K125)*Parameters!B$65,30)</f>
        <v>30</v>
      </c>
      <c r="P125" s="7">
        <f>Parameters!B$61*EXP(-Parameters!B$60*A125)+(1-Parameters!B$61)*(O125/Parameters!B$62)^-Parameters!B$63</f>
        <v>0.54526519835270215</v>
      </c>
      <c r="Q125" s="9">
        <f>1-P125/Parameters!$B$12</f>
        <v>0.72736740082364892</v>
      </c>
      <c r="R125" s="23">
        <f t="shared" si="34"/>
        <v>3.6679399419625343</v>
      </c>
      <c r="S125" s="7">
        <f>(Parameters!$B$19*(E125+Parameters!$B$20)^Q125+Parameters!$B$18*F125^Q125)^(1/Q125)</f>
        <v>0.53662479873713043</v>
      </c>
      <c r="T125" s="7">
        <f>(Parameters!$B$10*G125^Parameters!$B$9 + Parameters!$B$11*S125^Parameters!$B$9) ^ (Parameters!$B$7/Parameters!$B$9) * N125</f>
        <v>1.4762024253739767</v>
      </c>
      <c r="U125" s="7">
        <f t="shared" si="35"/>
        <v>1.1257768595793309</v>
      </c>
      <c r="V125" s="7">
        <f>EXP(-Parameters!$B$55*A125)</f>
        <v>0.16087944231330067</v>
      </c>
      <c r="W125" s="7">
        <f>IF(U125&gt;0,U125^(1-Parameters!$B$52)/(1-Parameters!$B$52)*V125,-10+U125*1000)</f>
        <v>-0.44098538520112157</v>
      </c>
      <c r="X125" s="7"/>
      <c r="Y125" s="7"/>
      <c r="Z125" s="7"/>
      <c r="AA125" s="7"/>
    </row>
    <row r="126" spans="1:27" x14ac:dyDescent="0.25">
      <c r="A126">
        <f>A125+Parameters!$B$65</f>
        <v>122</v>
      </c>
      <c r="B126" s="9">
        <f t="shared" si="48"/>
        <v>5.5238794691412761E-2</v>
      </c>
      <c r="C126" s="9">
        <f t="shared" si="48"/>
        <v>2.532692781448906E-3</v>
      </c>
      <c r="D126" s="7">
        <f t="shared" si="48"/>
        <v>0.29265407832178425</v>
      </c>
      <c r="E126" s="7">
        <f>MAX((1-Parameters!$B$4)^Parameters!B$65*E125+B125*Parameters!B$65-Parameters!$B$5*B125^2/E125*Parameters!B$65,0.0001)</f>
        <v>0.81861755795236912</v>
      </c>
      <c r="F126" s="9">
        <f>(1-Parameters!$B$4)^Parameters!B$65*F125+C125*Parameters!B$65-Parameters!$B$5*C125^2/F125*Parameters!B$65</f>
        <v>3.8908511504271825E-2</v>
      </c>
      <c r="G126" s="7">
        <f>(1-Parameters!$B$4)^Parameters!B$65*G125+D125*Parameters!B$65-Parameters!$B$5*D125^2/G125*Parameters!B$65</f>
        <v>4.3396243388083979</v>
      </c>
      <c r="H126" s="7">
        <f>H125 *(1-Parameters!$B$4)-B125*(B125&lt;0)*Parameters!B$65</f>
        <v>0</v>
      </c>
      <c r="I126" s="7">
        <f>I125*(1+Parameters!$B$51)^Parameters!B$65</f>
        <v>11.617727317967626</v>
      </c>
      <c r="J126" s="7">
        <f>J125*(1+Parameters!$B$53)^Parameters!B$65</f>
        <v>101.06417279186368</v>
      </c>
      <c r="K126" s="23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233.67883534615675</v>
      </c>
      <c r="L126" s="8">
        <f>L125+K126*Parameters!B$65</f>
        <v>17055.9326906149</v>
      </c>
      <c r="M126" s="7">
        <f>M125+Parameters!$B$45*K126</f>
        <v>10.233559614368936</v>
      </c>
      <c r="N126" s="7">
        <f>'6states'!O126</f>
        <v>0.96353307552949785</v>
      </c>
      <c r="O126" s="7">
        <f>MAX(O125+(Parameters!B$31-K126)*Parameters!B$65,30)</f>
        <v>30</v>
      </c>
      <c r="P126" s="7">
        <f>Parameters!B$61*EXP(-Parameters!B$60*A126)+(1-Parameters!B$61)*(O126/Parameters!B$62)^-Parameters!B$63</f>
        <v>0.5447574553906871</v>
      </c>
      <c r="Q126" s="9">
        <f>1-P126/Parameters!$B$12</f>
        <v>0.72762127230465645</v>
      </c>
      <c r="R126" s="23">
        <f t="shared" si="34"/>
        <v>3.6713586573416377</v>
      </c>
      <c r="S126" s="7">
        <f>(Parameters!$B$19*(E126+Parameters!$B$20)^Q126+Parameters!$B$18*F126^Q126)^(1/Q126)</f>
        <v>0.53664125255813289</v>
      </c>
      <c r="T126" s="7">
        <f>(Parameters!$B$10*G126^Parameters!$B$9 + Parameters!$B$11*S126^Parameters!$B$9) ^ (Parameters!$B$7/Parameters!$B$9) * N126</f>
        <v>1.4761966590963347</v>
      </c>
      <c r="U126" s="7">
        <f t="shared" si="35"/>
        <v>1.1257710933016889</v>
      </c>
      <c r="V126" s="7">
        <f>EXP(-Parameters!$B$55*A126)</f>
        <v>0.15846841182596355</v>
      </c>
      <c r="W126" s="7">
        <f>IF(U126&gt;0,U126^(1-Parameters!$B$52)/(1-Parameters!$B$52)*V126,-10+U126*1000)</f>
        <v>-0.43437730704334621</v>
      </c>
      <c r="X126" s="7"/>
      <c r="Y126" s="7"/>
      <c r="Z126" s="7"/>
      <c r="AA126" s="7"/>
    </row>
    <row r="127" spans="1:27" x14ac:dyDescent="0.25">
      <c r="A127">
        <f>A126+Parameters!$B$65</f>
        <v>123</v>
      </c>
      <c r="B127" s="9">
        <f t="shared" si="48"/>
        <v>5.5238794691412761E-2</v>
      </c>
      <c r="C127" s="9">
        <f t="shared" si="48"/>
        <v>2.532692781448906E-3</v>
      </c>
      <c r="D127" s="7">
        <f t="shared" si="48"/>
        <v>0.29265407832178425</v>
      </c>
      <c r="E127" s="7">
        <f>MAX((1-Parameters!$B$4)^Parameters!B$65*E126+B126*Parameters!B$65-Parameters!$B$5*B126^2/E126*Parameters!B$65,0.0001)</f>
        <v>0.81863789682267052</v>
      </c>
      <c r="F127" s="9">
        <f>(1-Parameters!$B$4)^Parameters!B$65*F126+C126*Parameters!B$65-Parameters!$B$5*C126^2/F126*Parameters!B$65</f>
        <v>3.8828996971174305E-2</v>
      </c>
      <c r="G127" s="7">
        <f>(1-Parameters!$B$4)^Parameters!B$65*G126+D126*Parameters!B$65-Parameters!$B$5*D126^2/G126*Parameters!B$65</f>
        <v>4.3395801421703775</v>
      </c>
      <c r="H127" s="7">
        <f>H126 *(1-Parameters!$B$4)-B126*(B126&lt;0)*Parameters!B$65</f>
        <v>0</v>
      </c>
      <c r="I127" s="7">
        <f>I126*(1+Parameters!$B$51)^Parameters!B$65</f>
        <v>11.65141872718973</v>
      </c>
      <c r="J127" s="7">
        <f>J126*(1+Parameters!$B$53)^Parameters!B$65</f>
        <v>103.08545624770096</v>
      </c>
      <c r="K127" s="23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236.66013688969579</v>
      </c>
      <c r="L127" s="8">
        <f>L126+K127*Parameters!B$65</f>
        <v>17292.592827504595</v>
      </c>
      <c r="M127" s="7">
        <f>M126+Parameters!$B$45*K127</f>
        <v>10.375555696502753</v>
      </c>
      <c r="N127" s="7">
        <f>'6states'!O127</f>
        <v>0.96353057304260259</v>
      </c>
      <c r="O127" s="7">
        <f>MAX(O126+(Parameters!B$31-K127)*Parameters!B$65,30)</f>
        <v>30</v>
      </c>
      <c r="P127" s="7">
        <f>Parameters!B$61*EXP(-Parameters!B$60*A127)+(1-Parameters!B$61)*(O127/Parameters!B$62)^-Parameters!B$63</f>
        <v>0.54426323807080479</v>
      </c>
      <c r="Q127" s="9">
        <f>1-P127/Parameters!$B$12</f>
        <v>0.72786838096459761</v>
      </c>
      <c r="R127" s="23">
        <f t="shared" si="34"/>
        <v>3.6746924284087221</v>
      </c>
      <c r="S127" s="7">
        <f>(Parameters!$B$19*(E127+Parameters!$B$20)^Q127+Parameters!$B$18*F127^Q127)^(1/Q127)</f>
        <v>0.53665854984824757</v>
      </c>
      <c r="T127" s="7">
        <f>(Parameters!$B$10*G127^Parameters!$B$9 + Parameters!$B$11*S127^Parameters!$B$9) ^ (Parameters!$B$7/Parameters!$B$9) * N127</f>
        <v>1.4761914554443867</v>
      </c>
      <c r="U127" s="7">
        <f t="shared" si="35"/>
        <v>1.1257658896497409</v>
      </c>
      <c r="V127" s="7">
        <f>EXP(-Parameters!$B$55*A127)</f>
        <v>0.15609351440775748</v>
      </c>
      <c r="W127" s="7">
        <f>IF(U127&gt;0,U127^(1-Parameters!$B$52)/(1-Parameters!$B$52)*V127,-10+U127*1000)</f>
        <v>-0.42786817478170186</v>
      </c>
      <c r="X127" s="7"/>
      <c r="Y127" s="7"/>
      <c r="Z127" s="7"/>
      <c r="AA127" s="7"/>
    </row>
    <row r="128" spans="1:27" x14ac:dyDescent="0.25">
      <c r="A128">
        <f>A127+Parameters!$B$65</f>
        <v>124</v>
      </c>
      <c r="B128" s="9">
        <f t="shared" si="48"/>
        <v>5.5238794691412761E-2</v>
      </c>
      <c r="C128" s="9">
        <f t="shared" si="48"/>
        <v>2.532692781448906E-3</v>
      </c>
      <c r="D128" s="7">
        <f t="shared" si="48"/>
        <v>0.29265407832178425</v>
      </c>
      <c r="E128" s="7">
        <f>MAX((1-Parameters!$B$4)^Parameters!B$65*E127+B127*Parameters!B$65-Parameters!$B$5*B127^2/E127*Parameters!B$65,0.0001)</f>
        <v>0.81865704898470981</v>
      </c>
      <c r="F128" s="9">
        <f>(1-Parameters!$B$4)^Parameters!B$65*F127+C127*Parameters!B$65-Parameters!$B$5*C127^2/F127*Parameters!B$65</f>
        <v>3.8754146295747444E-2</v>
      </c>
      <c r="G128" s="7">
        <f>(1-Parameters!$B$4)^Parameters!B$65*G127+D127*Parameters!B$65-Parameters!$B$5*D127^2/G127*Parameters!B$65</f>
        <v>4.3395385244997362</v>
      </c>
      <c r="H128" s="7">
        <f>H127 *(1-Parameters!$B$4)-B127*(B127&lt;0)*Parameters!B$65</f>
        <v>0</v>
      </c>
      <c r="I128" s="7">
        <f>I127*(1+Parameters!$B$51)^Parameters!B$65</f>
        <v>11.685207841498579</v>
      </c>
      <c r="J128" s="7">
        <f>J127*(1+Parameters!$B$53)^Parameters!B$65</f>
        <v>105.14716537265498</v>
      </c>
      <c r="K128" s="23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239.68045508075639</v>
      </c>
      <c r="L128" s="8">
        <f>L127+K128*Parameters!B$65</f>
        <v>17532.273282585353</v>
      </c>
      <c r="M128" s="7">
        <f>M127+Parameters!$B$45*K128</f>
        <v>10.519363969551206</v>
      </c>
      <c r="N128" s="7">
        <f>'6states'!O128</f>
        <v>0.96352820309219855</v>
      </c>
      <c r="O128" s="7">
        <f>MAX(O127+(Parameters!B$31-K128)*Parameters!B$65,30)</f>
        <v>30</v>
      </c>
      <c r="P128" s="7">
        <f>Parameters!B$61*EXP(-Parameters!B$60*A128)+(1-Parameters!B$61)*(O128/Parameters!B$62)^-Parameters!B$63</f>
        <v>0.54378218608674134</v>
      </c>
      <c r="Q128" s="9">
        <f>1-P128/Parameters!$B$12</f>
        <v>0.72810890695662933</v>
      </c>
      <c r="R128" s="23">
        <f t="shared" si="34"/>
        <v>3.6779432117715056</v>
      </c>
      <c r="S128" s="7">
        <f>(Parameters!$B$19*(E128+Parameters!$B$20)^Q128+Parameters!$B$18*F128^Q128)^(1/Q128)</f>
        <v>0.53667659154287861</v>
      </c>
      <c r="T128" s="7">
        <f>(Parameters!$B$10*G128^Parameters!$B$9 + Parameters!$B$11*S128^Parameters!$B$9) ^ (Parameters!$B$7/Parameters!$B$9) * N128</f>
        <v>1.4761867761690908</v>
      </c>
      <c r="U128" s="7">
        <f t="shared" si="35"/>
        <v>1.1257612103744448</v>
      </c>
      <c r="V128" s="7">
        <f>EXP(-Parameters!$B$55*A128)</f>
        <v>0.15375420854803312</v>
      </c>
      <c r="W128" s="7">
        <f>IF(U128&gt;0,U128^(1-Parameters!$B$52)/(1-Parameters!$B$52)*V128,-10+U128*1000)</f>
        <v>-0.42145651298536524</v>
      </c>
      <c r="X128" s="7"/>
      <c r="Y128" s="7"/>
      <c r="Z128" s="7"/>
      <c r="AA128" s="7"/>
    </row>
    <row r="129" spans="1:27" x14ac:dyDescent="0.25">
      <c r="A129">
        <f>A128+Parameters!$B$65</f>
        <v>125</v>
      </c>
      <c r="B129" s="9">
        <f t="shared" si="48"/>
        <v>5.5238794691412761E-2</v>
      </c>
      <c r="C129" s="9">
        <f t="shared" si="48"/>
        <v>2.532692781448906E-3</v>
      </c>
      <c r="D129" s="7">
        <f t="shared" si="48"/>
        <v>0.29265407832178425</v>
      </c>
      <c r="E129" s="7">
        <f>MAX((1-Parameters!$B$4)^Parameters!B$65*E128+B128*Parameters!B$65-Parameters!$B$5*B128^2/E128*Parameters!B$65,0.0001)</f>
        <v>0.81867508367492536</v>
      </c>
      <c r="F129" s="9">
        <f>(1-Parameters!$B$4)^Parameters!B$65*F128+C128*Parameters!B$65-Parameters!$B$5*C128^2/F128*Parameters!B$65</f>
        <v>3.8683684657488997E-2</v>
      </c>
      <c r="G129" s="7">
        <f>(1-Parameters!$B$4)^Parameters!B$65*G128+D128*Parameters!B$65-Parameters!$B$5*D128^2/G128*Parameters!B$65</f>
        <v>4.3394993353045264</v>
      </c>
      <c r="H129" s="7">
        <f>H128 *(1-Parameters!$B$4)-B128*(B128&lt;0)*Parameters!B$65</f>
        <v>0</v>
      </c>
      <c r="I129" s="7">
        <f>I128*(1+Parameters!$B$51)^Parameters!B$65</f>
        <v>11.719094944238924</v>
      </c>
      <c r="J129" s="7">
        <f>J128*(1+Parameters!$B$53)^Parameters!B$65</f>
        <v>107.25010868010808</v>
      </c>
      <c r="K129" s="23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242.74030346853399</v>
      </c>
      <c r="L129" s="8">
        <f>L128+K129*Parameters!B$65</f>
        <v>17775.013586053887</v>
      </c>
      <c r="M129" s="7">
        <f>M128+Parameters!$B$45*K129</f>
        <v>10.665008151632327</v>
      </c>
      <c r="N129" s="7">
        <f>'6states'!O129</f>
        <v>0.96352595888185777</v>
      </c>
      <c r="O129" s="7">
        <f>MAX(O128+(Parameters!B$31-K129)*Parameters!B$65,30)</f>
        <v>30</v>
      </c>
      <c r="P129" s="7">
        <f>Parameters!B$61*EXP(-Parameters!B$60*A129)+(1-Parameters!B$61)*(O129/Parameters!B$62)^-Parameters!B$63</f>
        <v>0.5433139487302957</v>
      </c>
      <c r="Q129" s="9">
        <f>1-P129/Parameters!$B$12</f>
        <v>0.7283430256348522</v>
      </c>
      <c r="R129" s="23">
        <f t="shared" si="34"/>
        <v>3.6811129268334182</v>
      </c>
      <c r="S129" s="7">
        <f>(Parameters!$B$19*(E129+Parameters!$B$20)^Q129+Parameters!$B$18*F129^Q129)^(1/Q129)</f>
        <v>0.53669528579925807</v>
      </c>
      <c r="T129" s="7">
        <f>(Parameters!$B$10*G129^Parameters!$B$9 + Parameters!$B$11*S129^Parameters!$B$9) ^ (Parameters!$B$7/Parameters!$B$9) * N129</f>
        <v>1.476182585367988</v>
      </c>
      <c r="U129" s="7">
        <f t="shared" si="35"/>
        <v>1.1257570195733422</v>
      </c>
      <c r="V129" s="7">
        <f>EXP(-Parameters!$B$55*A129)</f>
        <v>0.15144996085152654</v>
      </c>
      <c r="W129" s="7">
        <f>IF(U129&gt;0,U129^(1-Parameters!$B$52)/(1-Parameters!$B$52)*V129,-10+U129*1000)</f>
        <v>-0.4151408677542176</v>
      </c>
      <c r="X129" s="7"/>
      <c r="Y129" s="7"/>
      <c r="Z129" s="7"/>
      <c r="AA129" s="7"/>
    </row>
    <row r="130" spans="1:27" x14ac:dyDescent="0.25">
      <c r="A130">
        <f>A129+Parameters!$B$65</f>
        <v>126</v>
      </c>
      <c r="B130" s="9">
        <f t="shared" si="48"/>
        <v>5.5238794691412761E-2</v>
      </c>
      <c r="C130" s="9">
        <f t="shared" si="48"/>
        <v>2.532692781448906E-3</v>
      </c>
      <c r="D130" s="7">
        <f t="shared" si="48"/>
        <v>0.29265407832178425</v>
      </c>
      <c r="E130" s="7">
        <f>MAX((1-Parameters!$B$4)^Parameters!B$65*E129+B129*Parameters!B$65-Parameters!$B$5*B129^2/E129*Parameters!B$65,0.0001)</f>
        <v>0.8186920660907524</v>
      </c>
      <c r="F130" s="9">
        <f>(1-Parameters!$B$4)^Parameters!B$65*F129+C129*Parameters!B$65-Parameters!$B$5*C129^2/F129*Parameters!B$65</f>
        <v>3.8617353567081521E-2</v>
      </c>
      <c r="G130" s="7">
        <f>(1-Parameters!$B$4)^Parameters!B$65*G129+D129*Parameters!B$65-Parameters!$B$5*D129^2/G129*Parameters!B$65</f>
        <v>4.3394624328749654</v>
      </c>
      <c r="H130" s="7">
        <f>H129 *(1-Parameters!$B$4)-B129*(B129&lt;0)*Parameters!B$65</f>
        <v>0</v>
      </c>
      <c r="I130" s="7">
        <f>I129*(1+Parameters!$B$51)^Parameters!B$65</f>
        <v>11.753080319577215</v>
      </c>
      <c r="J130" s="7">
        <f>J129*(1+Parameters!$B$53)^Parameters!B$65</f>
        <v>109.39511085371025</v>
      </c>
      <c r="K130" s="23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245.84020172996264</v>
      </c>
      <c r="L130" s="8">
        <f>L129+K130*Parameters!B$65</f>
        <v>18020.85378778385</v>
      </c>
      <c r="M130" s="7">
        <f>M129+Parameters!$B$45*K130</f>
        <v>10.812512272670304</v>
      </c>
      <c r="N130" s="7">
        <f>'6states'!O130</f>
        <v>0.9635238339567227</v>
      </c>
      <c r="O130" s="7">
        <f>MAX(O129+(Parameters!B$31-K130)*Parameters!B$65,30)</f>
        <v>30</v>
      </c>
      <c r="P130" s="7">
        <f>Parameters!B$61*EXP(-Parameters!B$60*A130)+(1-Parameters!B$61)*(O130/Parameters!B$62)^-Parameters!B$63</f>
        <v>0.54285818463569757</v>
      </c>
      <c r="Q130" s="9">
        <f>1-P130/Parameters!$B$12</f>
        <v>0.72857090768215116</v>
      </c>
      <c r="R130" s="23">
        <f t="shared" si="34"/>
        <v>3.6842034560870882</v>
      </c>
      <c r="S130" s="7">
        <f>(Parameters!$B$19*(E130+Parameters!$B$20)^Q130+Parameters!$B$18*F130^Q130)^(1/Q130)</f>
        <v>0.5367145475314874</v>
      </c>
      <c r="T130" s="7">
        <f>(Parameters!$B$10*G130^Parameters!$B$9 + Parameters!$B$11*S130^Parameters!$B$9) ^ (Parameters!$B$7/Parameters!$B$9) * N130</f>
        <v>1.4761788493469321</v>
      </c>
      <c r="U130" s="7">
        <f t="shared" si="35"/>
        <v>1.1257532835522861</v>
      </c>
      <c r="V130" s="7">
        <f>EXP(-Parameters!$B$55*A130)</f>
        <v>0.14918024591673743</v>
      </c>
      <c r="W130" s="7">
        <f>IF(U130&gt;0,U130^(1-Parameters!$B$52)/(1-Parameters!$B$52)*V130,-10+U130*1000)</f>
        <v>-0.40891980643965653</v>
      </c>
      <c r="X130" s="7"/>
      <c r="Y130" s="7"/>
      <c r="Z130" s="7"/>
      <c r="AA130" s="7"/>
    </row>
    <row r="131" spans="1:27" x14ac:dyDescent="0.25">
      <c r="A131">
        <f>A130+Parameters!$B$65</f>
        <v>127</v>
      </c>
      <c r="B131" s="9">
        <f t="shared" si="48"/>
        <v>5.5238794691412761E-2</v>
      </c>
      <c r="C131" s="9">
        <f t="shared" si="48"/>
        <v>2.532692781448906E-3</v>
      </c>
      <c r="D131" s="7">
        <f t="shared" si="48"/>
        <v>0.29265407832178425</v>
      </c>
      <c r="E131" s="7">
        <f>MAX((1-Parameters!$B$4)^Parameters!B$65*E130+B130*Parameters!B$65-Parameters!$B$5*B130^2/E130*Parameters!B$65,0.0001)</f>
        <v>0.8187080576261897</v>
      </c>
      <c r="F131" s="9">
        <f>(1-Parameters!$B$4)^Parameters!B$65*F130+C130*Parameters!B$65-Parameters!$B$5*C130^2/F130*Parameters!B$65</f>
        <v>3.8554909881383888E-2</v>
      </c>
      <c r="G131" s="7">
        <f>(1-Parameters!$B$4)^Parameters!B$65*G130+D130*Parameters!B$65-Parameters!$B$5*D130^2/G130*Parameters!B$65</f>
        <v>4.3394276837708938</v>
      </c>
      <c r="H131" s="7">
        <f>H130 *(1-Parameters!$B$4)-B130*(B130&lt;0)*Parameters!B$65</f>
        <v>0</v>
      </c>
      <c r="I131" s="7">
        <f>I130*(1+Parameters!$B$51)^Parameters!B$65</f>
        <v>11.787164252503988</v>
      </c>
      <c r="J131" s="7">
        <f>J130*(1+Parameters!$B$53)^Parameters!B$65</f>
        <v>111.58301307078446</v>
      </c>
      <c r="K131" s="23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248.9806757768325</v>
      </c>
      <c r="L131" s="8">
        <f>L130+K131*Parameters!B$65</f>
        <v>18269.834463560681</v>
      </c>
      <c r="M131" s="7">
        <f>M130+Parameters!$B$45*K131</f>
        <v>10.961900678136404</v>
      </c>
      <c r="N131" s="7">
        <f>'6states'!O131</f>
        <v>0.96352182218651927</v>
      </c>
      <c r="O131" s="7">
        <f>MAX(O130+(Parameters!B$31-K131)*Parameters!B$65,30)</f>
        <v>30</v>
      </c>
      <c r="P131" s="7">
        <f>Parameters!B$61*EXP(-Parameters!B$60*A131)+(1-Parameters!B$61)*(O131/Parameters!B$62)^-Parameters!B$63</f>
        <v>0.54241456153073742</v>
      </c>
      <c r="Q131" s="9">
        <f>1-P131/Parameters!$B$12</f>
        <v>0.72879271923463129</v>
      </c>
      <c r="R131" s="23">
        <f t="shared" si="34"/>
        <v>3.6872166454304609</v>
      </c>
      <c r="S131" s="7">
        <f>(Parameters!$B$19*(E131+Parameters!$B$20)^Q131+Parameters!$B$18*F131^Q131)^(1/Q131)</f>
        <v>0.53673429797379024</v>
      </c>
      <c r="T131" s="7">
        <f>(Parameters!$B$10*G131^Parameters!$B$9 + Parameters!$B$11*S131^Parameters!$B$9) ^ (Parameters!$B$7/Parameters!$B$9) * N131</f>
        <v>1.476175536489849</v>
      </c>
      <c r="U131" s="7">
        <f t="shared" si="35"/>
        <v>1.1257499706952032</v>
      </c>
      <c r="V131" s="7">
        <f>EXP(-Parameters!$B$55*A131)</f>
        <v>0.14694454621613023</v>
      </c>
      <c r="W131" s="7">
        <f>IF(U131&gt;0,U131^(1-Parameters!$B$52)/(1-Parameters!$B$52)*V131,-10+U131*1000)</f>
        <v>-0.40279191736640796</v>
      </c>
      <c r="X131" s="7"/>
      <c r="Y131" s="7"/>
      <c r="Z131" s="7"/>
      <c r="AA131" s="7"/>
    </row>
    <row r="132" spans="1:27" x14ac:dyDescent="0.25">
      <c r="A132">
        <f>A131+Parameters!$B$65</f>
        <v>128</v>
      </c>
      <c r="B132" s="9">
        <f t="shared" si="48"/>
        <v>5.5238794691412761E-2</v>
      </c>
      <c r="C132" s="9">
        <f t="shared" si="48"/>
        <v>2.532692781448906E-3</v>
      </c>
      <c r="D132" s="7">
        <f t="shared" si="48"/>
        <v>0.29265407832178425</v>
      </c>
      <c r="E132" s="7">
        <f>MAX((1-Parameters!$B$4)^Parameters!B$65*E131+B131*Parameters!B$65-Parameters!$B$5*B131^2/E131*Parameters!B$65,0.0001)</f>
        <v>0.81872311609363335</v>
      </c>
      <c r="F132" s="9">
        <f>(1-Parameters!$B$4)^Parameters!B$65*F131+C131*Parameters!B$65-Parameters!$B$5*C131^2/F131*Parameters!B$65</f>
        <v>3.8496124879313628E-2</v>
      </c>
      <c r="G132" s="7">
        <f>(1-Parameters!$B$4)^Parameters!B$65*G131+D131*Parameters!B$65-Parameters!$B$5*D131^2/G131*Parameters!B$65</f>
        <v>4.3393949623391501</v>
      </c>
      <c r="H132" s="7">
        <f>H131 *(1-Parameters!$B$4)-B131*(B131&lt;0)*Parameters!B$65</f>
        <v>0</v>
      </c>
      <c r="I132" s="7">
        <f>I131*(1+Parameters!$B$51)^Parameters!B$65</f>
        <v>11.821347028836248</v>
      </c>
      <c r="J132" s="7">
        <f>J131*(1+Parameters!$B$53)^Parameters!B$65</f>
        <v>113.81467333220016</v>
      </c>
      <c r="K132" s="23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252.16225786296974</v>
      </c>
      <c r="L132" s="8">
        <f>L131+K132*Parameters!B$65</f>
        <v>18521.996721423649</v>
      </c>
      <c r="M132" s="7">
        <f>M131+Parameters!$B$45*K132</f>
        <v>11.113198032854186</v>
      </c>
      <c r="N132" s="7">
        <f>'6states'!O132</f>
        <v>0.96351991774948731</v>
      </c>
      <c r="O132" s="7">
        <f>MAX(O131+(Parameters!B$31-K132)*Parameters!B$65,30)</f>
        <v>30</v>
      </c>
      <c r="P132" s="7">
        <f>Parameters!B$61*EXP(-Parameters!B$60*A132)+(1-Parameters!B$61)*(O132/Parameters!B$62)^-Parameters!B$63</f>
        <v>0.5419827559945245</v>
      </c>
      <c r="Q132" s="9">
        <f>1-P132/Parameters!$B$12</f>
        <v>0.72900862200273775</v>
      </c>
      <c r="R132" s="23">
        <f t="shared" si="34"/>
        <v>3.6901543045037495</v>
      </c>
      <c r="S132" s="7">
        <f>(Parameters!$B$19*(E132+Parameters!$B$20)^Q132+Parameters!$B$18*F132^Q132)^(1/Q132)</f>
        <v>0.53675446427036932</v>
      </c>
      <c r="T132" s="7">
        <f>(Parameters!$B$10*G132^Parameters!$B$9 + Parameters!$B$11*S132^Parameters!$B$9) ^ (Parameters!$B$7/Parameters!$B$9) * N132</f>
        <v>1.4761726171360918</v>
      </c>
      <c r="U132" s="7">
        <f t="shared" si="35"/>
        <v>1.1257470513414458</v>
      </c>
      <c r="V132" s="7">
        <f>EXP(-Parameters!$B$55*A132)</f>
        <v>0.14474235197813023</v>
      </c>
      <c r="W132" s="7">
        <f>IF(U132&gt;0,U132^(1-Parameters!$B$52)/(1-Parameters!$B$52)*V132,-10+U132*1000)</f>
        <v>-0.3967558095555519</v>
      </c>
      <c r="X132" s="7"/>
      <c r="Y132" s="7"/>
      <c r="Z132" s="7"/>
      <c r="AA132" s="7"/>
    </row>
    <row r="133" spans="1:27" x14ac:dyDescent="0.25">
      <c r="A133">
        <f>A132+Parameters!$B$65</f>
        <v>129</v>
      </c>
      <c r="B133" s="9">
        <f t="shared" si="48"/>
        <v>5.5238794691412761E-2</v>
      </c>
      <c r="C133" s="9">
        <f t="shared" si="48"/>
        <v>2.532692781448906E-3</v>
      </c>
      <c r="D133" s="7">
        <f t="shared" si="48"/>
        <v>0.29265407832178425</v>
      </c>
      <c r="E133" s="7">
        <f>MAX((1-Parameters!$B$4)^Parameters!B$65*E132+B132*Parameters!B$65-Parameters!$B$5*B132^2/E132*Parameters!B$65,0.0001)</f>
        <v>0.818737295932778</v>
      </c>
      <c r="F133" s="9">
        <f>(1-Parameters!$B$4)^Parameters!B$65*F132+C132*Parameters!B$65-Parameters!$B$5*C132^2/F132*Parameters!B$65</f>
        <v>3.8440783394714587E-2</v>
      </c>
      <c r="G133" s="7">
        <f>(1-Parameters!$B$4)^Parameters!B$65*G132+D132*Parameters!B$65-Parameters!$B$5*D132^2/G132*Parameters!B$65</f>
        <v>4.3393641502591151</v>
      </c>
      <c r="H133" s="7">
        <f>H132 *(1-Parameters!$B$4)-B132*(B132&lt;0)*Parameters!B$65</f>
        <v>0</v>
      </c>
      <c r="I133" s="7">
        <f>I132*(1+Parameters!$B$51)^Parameters!B$65</f>
        <v>11.855628935219872</v>
      </c>
      <c r="J133" s="7">
        <f>J132*(1+Parameters!$B$53)^Parameters!B$65</f>
        <v>116.09096679884416</v>
      </c>
      <c r="K133" s="23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255.38548669154108</v>
      </c>
      <c r="L133" s="8">
        <f>L132+K133*Parameters!B$65</f>
        <v>18777.382208115192</v>
      </c>
      <c r="M133" s="7">
        <f>M132+Parameters!$B$45*K133</f>
        <v>11.26642932486911</v>
      </c>
      <c r="N133" s="7">
        <f>'6states'!O133</f>
        <v>0.96351811511718599</v>
      </c>
      <c r="O133" s="7">
        <f>MAX(O132+(Parameters!B$31-K133)*Parameters!B$65,30)</f>
        <v>30</v>
      </c>
      <c r="P133" s="7">
        <f>Parameters!B$61*EXP(-Parameters!B$60*A133)+(1-Parameters!B$61)*(O133/Parameters!B$62)^-Parameters!B$63</f>
        <v>0.54156245322169916</v>
      </c>
      <c r="Q133" s="9">
        <f>1-P133/Parameters!$B$12</f>
        <v>0.72921877338915042</v>
      </c>
      <c r="R133" s="23">
        <f t="shared" ref="R133:R196" si="49">1/(1-Q133)</f>
        <v>3.6930182070455704</v>
      </c>
      <c r="S133" s="7">
        <f>(Parameters!$B$19*(E133+Parameters!$B$20)^Q133+Parameters!$B$18*F133^Q133)^(1/Q133)</f>
        <v>0.536774979090338</v>
      </c>
      <c r="T133" s="7">
        <f>(Parameters!$B$10*G133^Parameters!$B$9 + Parameters!$B$11*S133^Parameters!$B$9) ^ (Parameters!$B$7/Parameters!$B$9) * N133</f>
        <v>1.4761700634649719</v>
      </c>
      <c r="U133" s="7">
        <f t="shared" ref="U133:U196" si="50">T133-B133-C133-D133</f>
        <v>1.1257444976703259</v>
      </c>
      <c r="V133" s="7">
        <f>EXP(-Parameters!$B$55*A133)</f>
        <v>0.14257316107088844</v>
      </c>
      <c r="W133" s="7">
        <f>IF(U133&gt;0,U133^(1-Parameters!$B$52)/(1-Parameters!$B$52)*V133,-10+U133*1000)</f>
        <v>-0.3908101124489527</v>
      </c>
      <c r="X133" s="7"/>
      <c r="Y133" s="7"/>
      <c r="Z133" s="7"/>
      <c r="AA133" s="7"/>
    </row>
    <row r="134" spans="1:27" x14ac:dyDescent="0.25">
      <c r="A134">
        <f>A133+Parameters!$B$65</f>
        <v>130</v>
      </c>
      <c r="B134" s="9">
        <f t="shared" si="48"/>
        <v>5.5238794691412761E-2</v>
      </c>
      <c r="C134" s="9">
        <f t="shared" si="48"/>
        <v>2.532692781448906E-3</v>
      </c>
      <c r="D134" s="7">
        <f t="shared" si="48"/>
        <v>0.29265407832178425</v>
      </c>
      <c r="E134" s="7">
        <f>MAX((1-Parameters!$B$4)^Parameters!B$65*E133+B133*Parameters!B$65-Parameters!$B$5*B133^2/E133*Parameters!B$65,0.0001)</f>
        <v>0.81875064840733802</v>
      </c>
      <c r="F134" s="9">
        <f>(1-Parameters!$B$4)^Parameters!B$65*F133+C133*Parameters!B$65-Parameters!$B$5*C133^2/F133*Parameters!B$65</f>
        <v>3.8388683002566905E-2</v>
      </c>
      <c r="G134" s="7">
        <f>(1-Parameters!$B$4)^Parameters!B$65*G133+D133*Parameters!B$65-Parameters!$B$5*D133^2/G133*Parameters!B$65</f>
        <v>4.3393351361147872</v>
      </c>
      <c r="H134" s="7">
        <f>H133 *(1-Parameters!$B$4)-B133*(B133&lt;0)*Parameters!B$65</f>
        <v>0</v>
      </c>
      <c r="I134" s="7">
        <f>I133*(1+Parameters!$B$51)^Parameters!B$65</f>
        <v>11.890010259132008</v>
      </c>
      <c r="J134" s="7">
        <f>J133*(1+Parameters!$B$53)^Parameters!B$65</f>
        <v>118.41278613482105</v>
      </c>
      <c r="K134" s="23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258.65090752254838</v>
      </c>
      <c r="L134" s="8">
        <f>L133+K134*Parameters!B$65</f>
        <v>19036.03311563774</v>
      </c>
      <c r="M134" s="7">
        <f>M133+Parameters!$B$45*K134</f>
        <v>11.421619869382639</v>
      </c>
      <c r="N134" s="7">
        <f>'6states'!O134</f>
        <v>0.96351640904012914</v>
      </c>
      <c r="O134" s="7">
        <f>MAX(O133+(Parameters!B$31-K134)*Parameters!B$65,30)</f>
        <v>30</v>
      </c>
      <c r="P134" s="7">
        <f>Parameters!B$61*EXP(-Parameters!B$60*A134)+(1-Parameters!B$61)*(O134/Parameters!B$62)^-Parameters!B$63</f>
        <v>0.54115334679292582</v>
      </c>
      <c r="Q134" s="9">
        <f>1-P134/Parameters!$B$12</f>
        <v>0.72942332660353704</v>
      </c>
      <c r="R134" s="23">
        <f t="shared" si="49"/>
        <v>3.6958100912666194</v>
      </c>
      <c r="S134" s="7">
        <f>(Parameters!$B$19*(E134+Parameters!$B$20)^Q134+Parameters!$B$18*F134^Q134)^(1/Q134)</f>
        <v>0.53679578026627972</v>
      </c>
      <c r="T134" s="7">
        <f>(Parameters!$B$10*G134^Parameters!$B$9 + Parameters!$B$11*S134^Parameters!$B$9) ^ (Parameters!$B$7/Parameters!$B$9) * N134</f>
        <v>1.4761678493870749</v>
      </c>
      <c r="U134" s="7">
        <f t="shared" si="50"/>
        <v>1.1257422835924289</v>
      </c>
      <c r="V134" s="7">
        <f>EXP(-Parameters!$B$55*A134)</f>
        <v>0.14043647888778818</v>
      </c>
      <c r="W134" s="7">
        <f>IF(U134&gt;0,U134^(1-Parameters!$B$52)/(1-Parameters!$B$52)*V134,-10+U134*1000)</f>
        <v>-0.38495347563527277</v>
      </c>
      <c r="X134" s="7"/>
      <c r="Y134" s="7"/>
      <c r="Z134" s="7"/>
      <c r="AA134" s="7"/>
    </row>
    <row r="135" spans="1:27" x14ac:dyDescent="0.25">
      <c r="A135">
        <f>A134+Parameters!$B$65</f>
        <v>131</v>
      </c>
      <c r="B135" s="9">
        <f t="shared" si="48"/>
        <v>5.5238794691412761E-2</v>
      </c>
      <c r="C135" s="9">
        <f t="shared" si="48"/>
        <v>2.532692781448906E-3</v>
      </c>
      <c r="D135" s="7">
        <f t="shared" si="48"/>
        <v>0.29265407832178425</v>
      </c>
      <c r="E135" s="7">
        <f>MAX((1-Parameters!$B$4)^Parameters!B$65*E134+B134*Parameters!B$65-Parameters!$B$5*B134^2/E134*Parameters!B$65,0.0001)</f>
        <v>0.81876322179029937</v>
      </c>
      <c r="F135" s="9">
        <f>(1-Parameters!$B$4)^Parameters!B$65*F134+C134*Parameters!B$65-Parameters!$B$5*C134^2/F134*Parameters!B$65</f>
        <v>3.8339633255140365E-2</v>
      </c>
      <c r="G135" s="7">
        <f>(1-Parameters!$B$4)^Parameters!B$65*G134+D134*Parameters!B$65-Parameters!$B$5*D134^2/G134*Parameters!B$65</f>
        <v>4.3393078149918329</v>
      </c>
      <c r="H135" s="7">
        <f>H134 *(1-Parameters!$B$4)-B134*(B134&lt;0)*Parameters!B$65</f>
        <v>0</v>
      </c>
      <c r="I135" s="7">
        <f>I134*(1+Parameters!$B$51)^Parameters!B$65</f>
        <v>11.924491288883489</v>
      </c>
      <c r="J135" s="7">
        <f>J134*(1+Parameters!$B$53)^Parameters!B$65</f>
        <v>120.78104185751747</v>
      </c>
      <c r="K135" s="23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261.95907228057206</v>
      </c>
      <c r="L135" s="8">
        <f>L134+K135*Parameters!B$65</f>
        <v>19297.992187918313</v>
      </c>
      <c r="M135" s="7">
        <f>M134+Parameters!$B$45*K135</f>
        <v>11.578795312750982</v>
      </c>
      <c r="N135" s="7">
        <f>'6states'!O135</f>
        <v>0.96351479453420519</v>
      </c>
      <c r="O135" s="7">
        <f>MAX(O134+(Parameters!B$31-K135)*Parameters!B$65,30)</f>
        <v>30</v>
      </c>
      <c r="P135" s="7">
        <f>Parameters!B$61*EXP(-Parameters!B$60*A135)+(1-Parameters!B$61)*(O135/Parameters!B$62)^-Parameters!B$63</f>
        <v>0.54075513845149936</v>
      </c>
      <c r="Q135" s="9">
        <f>1-P135/Parameters!$B$12</f>
        <v>0.72962243077425026</v>
      </c>
      <c r="R135" s="23">
        <f t="shared" si="49"/>
        <v>3.6985316602393796</v>
      </c>
      <c r="S135" s="7">
        <f>(Parameters!$B$19*(E135+Parameters!$B$20)^Q135+Parameters!$B$18*F135^Q135)^(1/Q135)</f>
        <v>0.53681681045505769</v>
      </c>
      <c r="T135" s="7">
        <f>(Parameters!$B$10*G135^Parameters!$B$9 + Parameters!$B$11*S135^Parameters!$B$9) ^ (Parameters!$B$7/Parameters!$B$9) * N135</f>
        <v>1.4761659504419724</v>
      </c>
      <c r="U135" s="7">
        <f t="shared" si="50"/>
        <v>1.1257403846473264</v>
      </c>
      <c r="V135" s="7">
        <f>EXP(-Parameters!$B$55*A135)</f>
        <v>0.13833181823466795</v>
      </c>
      <c r="W135" s="7">
        <f>IF(U135&gt;0,U135^(1-Parameters!$B$52)/(1-Parameters!$B$52)*V135,-10+U135*1000)</f>
        <v>-0.37918456857772781</v>
      </c>
      <c r="X135" s="7"/>
      <c r="Y135" s="7"/>
      <c r="Z135" s="7"/>
      <c r="AA135" s="7"/>
    </row>
    <row r="136" spans="1:27" x14ac:dyDescent="0.25">
      <c r="A136">
        <f>A135+Parameters!$B$65</f>
        <v>132</v>
      </c>
      <c r="B136" s="9">
        <f t="shared" si="48"/>
        <v>5.5238794691412761E-2</v>
      </c>
      <c r="C136" s="9">
        <f t="shared" si="48"/>
        <v>2.532692781448906E-3</v>
      </c>
      <c r="D136" s="7">
        <f t="shared" si="48"/>
        <v>0.29265407832178425</v>
      </c>
      <c r="E136" s="7">
        <f>MAX((1-Parameters!$B$4)^Parameters!B$65*E135+B135*Parameters!B$65-Parameters!$B$5*B135^2/E135*Parameters!B$65,0.0001)</f>
        <v>0.81877506153836876</v>
      </c>
      <c r="F136" s="9">
        <f>(1-Parameters!$B$4)^Parameters!B$65*F135+C135*Parameters!B$65-Parameters!$B$5*C135^2/F135*Parameters!B$65</f>
        <v>3.8293454964919094E-2</v>
      </c>
      <c r="G136" s="7">
        <f>(1-Parameters!$B$4)^Parameters!B$65*G135+D135*Parameters!B$65-Parameters!$B$5*D135^2/G135*Parameters!B$65</f>
        <v>4.3392820880981535</v>
      </c>
      <c r="H136" s="7">
        <f>H135 *(1-Parameters!$B$4)-B135*(B135&lt;0)*Parameters!B$65</f>
        <v>0</v>
      </c>
      <c r="I136" s="7">
        <f>I135*(1+Parameters!$B$51)^Parameters!B$65</f>
        <v>11.959072313621251</v>
      </c>
      <c r="J136" s="7">
        <f>J135*(1+Parameters!$B$53)^Parameters!B$65</f>
        <v>123.19666269466782</v>
      </c>
      <c r="K136" s="23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265.31053966282121</v>
      </c>
      <c r="L136" s="8">
        <f>L135+K136*Parameters!B$65</f>
        <v>19563.302727581133</v>
      </c>
      <c r="M136" s="7">
        <f>M135+Parameters!$B$45*K136</f>
        <v>11.737981636548675</v>
      </c>
      <c r="N136" s="7">
        <f>'6states'!O136</f>
        <v>0.96351326686784156</v>
      </c>
      <c r="O136" s="7">
        <f>MAX(O135+(Parameters!B$31-K136)*Parameters!B$65,30)</f>
        <v>30</v>
      </c>
      <c r="P136" s="7">
        <f>Parameters!B$61*EXP(-Parameters!B$60*A136)+(1-Parameters!B$61)*(O136/Parameters!B$62)^-Parameters!B$63</f>
        <v>0.54036753788590319</v>
      </c>
      <c r="Q136" s="9">
        <f>1-P136/Parameters!$B$12</f>
        <v>0.7298162310570484</v>
      </c>
      <c r="R136" s="23">
        <f t="shared" si="49"/>
        <v>3.7011845823023761</v>
      </c>
      <c r="S136" s="7">
        <f>(Parameters!$B$19*(E136+Parameters!$B$20)^Q136+Parameters!$B$18*F136^Q136)^(1/Q136)</f>
        <v>0.53683801681957288</v>
      </c>
      <c r="T136" s="7">
        <f>(Parameters!$B$10*G136^Parameters!$B$9 + Parameters!$B$11*S136^Parameters!$B$9) ^ (Parameters!$B$7/Parameters!$B$9) * N136</f>
        <v>1.4761643437019691</v>
      </c>
      <c r="U136" s="7">
        <f t="shared" si="50"/>
        <v>1.1257387779073231</v>
      </c>
      <c r="V136" s="7">
        <f>EXP(-Parameters!$B$55*A136)</f>
        <v>0.13625869921873399</v>
      </c>
      <c r="W136" s="7">
        <f>IF(U136&gt;0,U136^(1-Parameters!$B$52)/(1-Parameters!$B$52)*V136,-10+U136*1000)</f>
        <v>-0.37350208034372995</v>
      </c>
      <c r="X136" s="7"/>
      <c r="Y136" s="7"/>
      <c r="Z136" s="7"/>
      <c r="AA136" s="7"/>
    </row>
    <row r="137" spans="1:27" x14ac:dyDescent="0.25">
      <c r="A137">
        <f>A136+Parameters!$B$65</f>
        <v>133</v>
      </c>
      <c r="B137" s="9">
        <f t="shared" si="48"/>
        <v>5.5238794691412761E-2</v>
      </c>
      <c r="C137" s="9">
        <f t="shared" si="48"/>
        <v>2.532692781448906E-3</v>
      </c>
      <c r="D137" s="7">
        <f t="shared" si="48"/>
        <v>0.29265407832178425</v>
      </c>
      <c r="E137" s="7">
        <f>MAX((1-Parameters!$B$4)^Parameters!B$65*E136+B136*Parameters!B$65-Parameters!$B$5*B136^2/E136*Parameters!B$65,0.0001)</f>
        <v>0.81878621045625144</v>
      </c>
      <c r="F137" s="9">
        <f>(1-Parameters!$B$4)^Parameters!B$65*F136+C136*Parameters!B$65-Parameters!$B$5*C136^2/F136*Parameters!B$65</f>
        <v>3.8249979531336721E-2</v>
      </c>
      <c r="G137" s="7">
        <f>(1-Parameters!$B$4)^Parameters!B$65*G136+D136*Parameters!B$65-Parameters!$B$5*D136^2/G136*Parameters!B$65</f>
        <v>4.3392578624066056</v>
      </c>
      <c r="H137" s="7">
        <f>H136 *(1-Parameters!$B$4)-B136*(B136&lt;0)*Parameters!B$65</f>
        <v>0</v>
      </c>
      <c r="I137" s="7">
        <f>I136*(1+Parameters!$B$51)^Parameters!B$65</f>
        <v>11.99375362333075</v>
      </c>
      <c r="J137" s="7">
        <f>J136*(1+Parameters!$B$53)^Parameters!B$65</f>
        <v>125.66059594856118</v>
      </c>
      <c r="K137" s="23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268.7058752475491</v>
      </c>
      <c r="L137" s="8">
        <f>L136+K137*Parameters!B$65</f>
        <v>19832.008602828682</v>
      </c>
      <c r="M137" s="7">
        <f>M136+Parameters!$B$45*K137</f>
        <v>11.899205161697203</v>
      </c>
      <c r="N137" s="7">
        <f>'6states'!O137</f>
        <v>0.96351182154986748</v>
      </c>
      <c r="O137" s="7">
        <f>MAX(O136+(Parameters!B$31-K137)*Parameters!B$65,30)</f>
        <v>30</v>
      </c>
      <c r="P137" s="7">
        <f>Parameters!B$61*EXP(-Parameters!B$60*A137)+(1-Parameters!B$61)*(O137/Parameters!B$62)^-Parameters!B$63</f>
        <v>0.53999026251815896</v>
      </c>
      <c r="Q137" s="9">
        <f>1-P137/Parameters!$B$12</f>
        <v>0.73000486874092052</v>
      </c>
      <c r="R137" s="23">
        <f t="shared" si="49"/>
        <v>3.7037704914776004</v>
      </c>
      <c r="S137" s="7">
        <f>(Parameters!$B$19*(E137+Parameters!$B$20)^Q137+Parameters!$B$18*F137^Q137)^(1/Q137)</f>
        <v>0.53685935073023905</v>
      </c>
      <c r="T137" s="7">
        <f>(Parameters!$B$10*G137^Parameters!$B$9 + Parameters!$B$11*S137^Parameters!$B$9) ^ (Parameters!$B$7/Parameters!$B$9) * N137</f>
        <v>1.4761630076815437</v>
      </c>
      <c r="U137" s="7">
        <f t="shared" si="50"/>
        <v>1.1257374418868977</v>
      </c>
      <c r="V137" s="7">
        <f>EXP(-Parameters!$B$55*A137)</f>
        <v>0.13421664913913783</v>
      </c>
      <c r="W137" s="7">
        <f>IF(U137&gt;0,U137^(1-Parameters!$B$52)/(1-Parameters!$B$52)*V137,-10+U137*1000)</f>
        <v>-0.36790471933654917</v>
      </c>
      <c r="X137" s="7"/>
      <c r="Y137" s="7"/>
      <c r="Z137" s="7"/>
      <c r="AA137" s="7"/>
    </row>
    <row r="138" spans="1:27" x14ac:dyDescent="0.25">
      <c r="A138">
        <f>A137+Parameters!$B$65</f>
        <v>134</v>
      </c>
      <c r="B138" s="9">
        <f t="shared" ref="B138:D153" si="51">B137</f>
        <v>5.5238794691412761E-2</v>
      </c>
      <c r="C138" s="9">
        <f t="shared" si="51"/>
        <v>2.532692781448906E-3</v>
      </c>
      <c r="D138" s="7">
        <f t="shared" si="51"/>
        <v>0.29265407832178425</v>
      </c>
      <c r="E138" s="7">
        <f>MAX((1-Parameters!$B$4)^Parameters!B$65*E137+B137*Parameters!B$65-Parameters!$B$5*B137^2/E137*Parameters!B$65,0.0001)</f>
        <v>0.81879670885134881</v>
      </c>
      <c r="F138" s="9">
        <f>(1-Parameters!$B$4)^Parameters!B$65*F137+C137*Parameters!B$65-Parameters!$B$5*C137^2/F137*Parameters!B$65</f>
        <v>3.8209048308557252E-2</v>
      </c>
      <c r="G138" s="7">
        <f>(1-Parameters!$B$4)^Parameters!B$65*G137+D137*Parameters!B$65-Parameters!$B$5*D137^2/G137*Parameters!B$65</f>
        <v>4.3392350503185648</v>
      </c>
      <c r="H138" s="7">
        <f>H137 *(1-Parameters!$B$4)-B137*(B137&lt;0)*Parameters!B$65</f>
        <v>0</v>
      </c>
      <c r="I138" s="7">
        <f>I137*(1+Parameters!$B$51)^Parameters!B$65</f>
        <v>12.028535508838408</v>
      </c>
      <c r="J138" s="7">
        <f>J137*(1+Parameters!$B$53)^Parameters!B$65</f>
        <v>128.17380786753242</v>
      </c>
      <c r="K138" s="23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272.14565160288555</v>
      </c>
      <c r="L138" s="8">
        <f>L137+K138*Parameters!B$65</f>
        <v>20104.154254431567</v>
      </c>
      <c r="M138" s="7">
        <f>M137+Parameters!$B$45*K138</f>
        <v>12.062492552658934</v>
      </c>
      <c r="N138" s="7">
        <f>'6states'!O138</f>
        <v>0.96351045431803328</v>
      </c>
      <c r="O138" s="7">
        <f>MAX(O137+(Parameters!B$31-K138)*Parameters!B$65,30)</f>
        <v>30</v>
      </c>
      <c r="P138" s="7">
        <f>Parameters!B$61*EXP(-Parameters!B$60*A138)+(1-Parameters!B$61)*(O138/Parameters!B$62)^-Parameters!B$63</f>
        <v>0.53962303729781491</v>
      </c>
      <c r="Q138" s="9">
        <f>1-P138/Parameters!$B$12</f>
        <v>0.7301884813510926</v>
      </c>
      <c r="R138" s="23">
        <f t="shared" si="49"/>
        <v>3.7062909878997838</v>
      </c>
      <c r="S138" s="7">
        <f>(Parameters!$B$19*(E138+Parameters!$B$20)^Q138+Parameters!$B$18*F138^Q138)^(1/Q138)</f>
        <v>0.53688076748500757</v>
      </c>
      <c r="T138" s="7">
        <f>(Parameters!$B$10*G138^Parameters!$B$9 + Parameters!$B$11*S138^Parameters!$B$9) ^ (Parameters!$B$7/Parameters!$B$9) * N138</f>
        <v>1.4761619222521354</v>
      </c>
      <c r="U138" s="7">
        <f t="shared" si="50"/>
        <v>1.1257363564574896</v>
      </c>
      <c r="V138" s="7">
        <f>EXP(-Parameters!$B$55*A138)</f>
        <v>0.13220520237919381</v>
      </c>
      <c r="W138" s="7">
        <f>IF(U138&gt;0,U138^(1-Parameters!$B$52)/(1-Parameters!$B$52)*V138,-10+U138*1000)</f>
        <v>-0.36239121302911265</v>
      </c>
      <c r="X138" s="7"/>
      <c r="Y138" s="7"/>
      <c r="Z138" s="7"/>
      <c r="AA138" s="7"/>
    </row>
    <row r="139" spans="1:27" x14ac:dyDescent="0.25">
      <c r="A139">
        <f>A138+Parameters!$B$65</f>
        <v>135</v>
      </c>
      <c r="B139" s="9">
        <f t="shared" si="51"/>
        <v>5.5238794691412761E-2</v>
      </c>
      <c r="C139" s="9">
        <f t="shared" si="51"/>
        <v>2.532692781448906E-3</v>
      </c>
      <c r="D139" s="7">
        <f t="shared" si="51"/>
        <v>0.29265407832178425</v>
      </c>
      <c r="E139" s="7">
        <f>MAX((1-Parameters!$B$4)^Parameters!B$65*E138+B138*Parameters!B$65-Parameters!$B$5*B138^2/E138*Parameters!B$65,0.0001)</f>
        <v>0.81880659467943506</v>
      </c>
      <c r="F139" s="9">
        <f>(1-Parameters!$B$4)^Parameters!B$65*F138+C138*Parameters!B$65-Parameters!$B$5*C138^2/F138*Parameters!B$65</f>
        <v>3.8170512011719678E-2</v>
      </c>
      <c r="G139" s="7">
        <f>(1-Parameters!$B$4)^Parameters!B$65*G138+D138*Parameters!B$65-Parameters!$B$5*D138^2/G138*Parameters!B$65</f>
        <v>4.339213569347133</v>
      </c>
      <c r="H139" s="7">
        <f>H138 *(1-Parameters!$B$4)-B138*(B138&lt;0)*Parameters!B$65</f>
        <v>0</v>
      </c>
      <c r="I139" s="7">
        <f>I138*(1+Parameters!$B$51)^Parameters!B$65</f>
        <v>12.063418261814038</v>
      </c>
      <c r="J139" s="7">
        <f>J138*(1+Parameters!$B$53)^Parameters!B$65</f>
        <v>130.73728402488308</v>
      </c>
      <c r="K139" s="23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275.63044839614162</v>
      </c>
      <c r="L139" s="8">
        <f>L138+K139*Parameters!B$65</f>
        <v>20379.78470282771</v>
      </c>
      <c r="M139" s="7">
        <f>M138+Parameters!$B$45*K139</f>
        <v>12.227870821696619</v>
      </c>
      <c r="N139" s="7">
        <f>'6states'!O139</f>
        <v>0.96350916112814433</v>
      </c>
      <c r="O139" s="7">
        <f>MAX(O138+(Parameters!B$31-K139)*Parameters!B$65,30)</f>
        <v>30</v>
      </c>
      <c r="P139" s="7">
        <f>Parameters!B$61*EXP(-Parameters!B$60*A139)+(1-Parameters!B$61)*(O139/Parameters!B$62)^-Parameters!B$63</f>
        <v>0.53926559450142175</v>
      </c>
      <c r="Q139" s="9">
        <f>1-P139/Parameters!$B$12</f>
        <v>0.73036720274928912</v>
      </c>
      <c r="R139" s="23">
        <f t="shared" si="49"/>
        <v>3.708747638256249</v>
      </c>
      <c r="S139" s="7">
        <f>(Parameters!$B$19*(E139+Parameters!$B$20)^Q139+Parameters!$B$18*F139^Q139)^(1/Q139)</f>
        <v>0.53690222604683635</v>
      </c>
      <c r="T139" s="7">
        <f>(Parameters!$B$10*G139^Parameters!$B$9 + Parameters!$B$11*S139^Parameters!$B$9) ^ (Parameters!$B$7/Parameters!$B$9) * N139</f>
        <v>1.4761610685619728</v>
      </c>
      <c r="U139" s="7">
        <f t="shared" si="50"/>
        <v>1.125735502767327</v>
      </c>
      <c r="V139" s="7">
        <f>EXP(-Parameters!$B$55*A139)</f>
        <v>0.13022390030021183</v>
      </c>
      <c r="W139" s="7">
        <f>IF(U139&gt;0,U139^(1-Parameters!$B$52)/(1-Parameters!$B$52)*V139,-10+U139*1000)</f>
        <v>-0.35696030770004816</v>
      </c>
      <c r="X139" s="7"/>
      <c r="Y139" s="7"/>
      <c r="Z139" s="7"/>
      <c r="AA139" s="7"/>
    </row>
    <row r="140" spans="1:27" x14ac:dyDescent="0.25">
      <c r="A140">
        <f>A139+Parameters!$B$65</f>
        <v>136</v>
      </c>
      <c r="B140" s="9">
        <f t="shared" si="51"/>
        <v>5.5238794691412761E-2</v>
      </c>
      <c r="C140" s="9">
        <f t="shared" si="51"/>
        <v>2.532692781448906E-3</v>
      </c>
      <c r="D140" s="7">
        <f t="shared" si="51"/>
        <v>0.29265407832178425</v>
      </c>
      <c r="E140" s="7">
        <f>MAX((1-Parameters!$B$4)^Parameters!B$65*E139+B139*Parameters!B$65-Parameters!$B$5*B139^2/E139*Parameters!B$65,0.0001)</f>
        <v>0.81881590368183832</v>
      </c>
      <c r="F140" s="9">
        <f>(1-Parameters!$B$4)^Parameters!B$65*F139+C139*Parameters!B$65-Parameters!$B$5*C139^2/F139*Parameters!B$65</f>
        <v>3.8134230159234075E-2</v>
      </c>
      <c r="G140" s="7">
        <f>(1-Parameters!$B$4)^Parameters!B$65*G139+D139*Parameters!B$65-Parameters!$B$5*D139^2/G139*Parameters!B$65</f>
        <v>4.3391933418188353</v>
      </c>
      <c r="H140" s="7">
        <f>H139 *(1-Parameters!$B$4)-B139*(B139&lt;0)*Parameters!B$65</f>
        <v>0</v>
      </c>
      <c r="I140" s="7">
        <f>I139*(1+Parameters!$B$51)^Parameters!B$65</f>
        <v>12.098402174773296</v>
      </c>
      <c r="J140" s="7">
        <f>J139*(1+Parameters!$B$53)^Parameters!B$65</f>
        <v>133.35202970538074</v>
      </c>
      <c r="K140" s="23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279.16085250363659</v>
      </c>
      <c r="L140" s="8">
        <f>L139+K140*Parameters!B$65</f>
        <v>20658.945555331346</v>
      </c>
      <c r="M140" s="7">
        <f>M139+Parameters!$B$45*K140</f>
        <v>12.395367333198802</v>
      </c>
      <c r="N140" s="7">
        <f>'6states'!O140</f>
        <v>0.96350793814376379</v>
      </c>
      <c r="O140" s="7">
        <f>MAX(O139+(Parameters!B$31-K140)*Parameters!B$65,30)</f>
        <v>30</v>
      </c>
      <c r="P140" s="7">
        <f>Parameters!B$61*EXP(-Parameters!B$60*A140)+(1-Parameters!B$61)*(O140/Parameters!B$62)^-Parameters!B$63</f>
        <v>0.53891767353735065</v>
      </c>
      <c r="Q140" s="9">
        <f>1-P140/Parameters!$B$12</f>
        <v>0.73054116323132468</v>
      </c>
      <c r="R140" s="23">
        <f t="shared" si="49"/>
        <v>3.7111419762361653</v>
      </c>
      <c r="S140" s="7">
        <f>(Parameters!$B$19*(E140+Parameters!$B$20)^Q140+Parameters!$B$18*F140^Q140)^(1/Q140)</f>
        <v>0.53692368879756713</v>
      </c>
      <c r="T140" s="7">
        <f>(Parameters!$B$10*G140^Parameters!$B$9 + Parameters!$B$11*S140^Parameters!$B$9) ^ (Parameters!$B$7/Parameters!$B$9) * N140</f>
        <v>1.47616042896063</v>
      </c>
      <c r="U140" s="7">
        <f t="shared" si="50"/>
        <v>1.125734863165984</v>
      </c>
      <c r="V140" s="7">
        <f>EXP(-Parameters!$B$55*A140)</f>
        <v>0.12827229113692101</v>
      </c>
      <c r="W140" s="7">
        <f>IF(U140&gt;0,U140^(1-Parameters!$B$52)/(1-Parameters!$B$52)*V140,-10+U140*1000)</f>
        <v>-0.35161076817206532</v>
      </c>
      <c r="X140" s="7"/>
      <c r="Y140" s="7"/>
      <c r="Z140" s="7"/>
      <c r="AA140" s="7"/>
    </row>
    <row r="141" spans="1:27" x14ac:dyDescent="0.25">
      <c r="A141">
        <f>A140+Parameters!$B$65</f>
        <v>137</v>
      </c>
      <c r="B141" s="9">
        <f t="shared" si="51"/>
        <v>5.5238794691412761E-2</v>
      </c>
      <c r="C141" s="9">
        <f t="shared" si="51"/>
        <v>2.532692781448906E-3</v>
      </c>
      <c r="D141" s="7">
        <f t="shared" si="51"/>
        <v>0.29265407832178425</v>
      </c>
      <c r="E141" s="7">
        <f>MAX((1-Parameters!$B$4)^Parameters!B$65*E140+B140*Parameters!B$65-Parameters!$B$5*B140^2/E140*Parameters!B$65,0.0001)</f>
        <v>0.8188246695146213</v>
      </c>
      <c r="F141" s="9">
        <f>(1-Parameters!$B$4)^Parameters!B$65*F140+C140*Parameters!B$65-Parameters!$B$5*C140^2/F140*Parameters!B$65</f>
        <v>3.8100070548875209E-2</v>
      </c>
      <c r="G141" s="7">
        <f>(1-Parameters!$B$4)^Parameters!B$65*G140+D140*Parameters!B$65-Parameters!$B$5*D140^2/G140*Parameters!B$65</f>
        <v>4.3391742945927199</v>
      </c>
      <c r="H141" s="7">
        <f>H140 *(1-Parameters!$B$4)-B140*(B140&lt;0)*Parameters!B$65</f>
        <v>0</v>
      </c>
      <c r="I141" s="7">
        <f>I140*(1+Parameters!$B$51)^Parameters!B$65</f>
        <v>12.133487541080138</v>
      </c>
      <c r="J141" s="7">
        <f>J140*(1+Parameters!$B$53)^Parameters!B$65</f>
        <v>136.01907029948836</v>
      </c>
      <c r="K141" s="23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282.73745812109752</v>
      </c>
      <c r="L141" s="8">
        <f>L140+K141*Parameters!B$65</f>
        <v>20941.683013452443</v>
      </c>
      <c r="M141" s="7">
        <f>M140+Parameters!$B$45*K141</f>
        <v>12.56500980807146</v>
      </c>
      <c r="N141" s="7">
        <f>'6states'!O141</f>
        <v>0.96350678172644522</v>
      </c>
      <c r="O141" s="7">
        <f>MAX(O140+(Parameters!B$31-K141)*Parameters!B$65,30)</f>
        <v>30</v>
      </c>
      <c r="P141" s="7">
        <f>Parameters!B$61*EXP(-Parameters!B$60*A141)+(1-Parameters!B$61)*(O141/Parameters!B$62)^-Parameters!B$63</f>
        <v>0.53857902075580999</v>
      </c>
      <c r="Q141" s="9">
        <f>1-P141/Parameters!$B$12</f>
        <v>0.73071048962209506</v>
      </c>
      <c r="R141" s="23">
        <f t="shared" si="49"/>
        <v>3.7134755029880639</v>
      </c>
      <c r="S141" s="7">
        <f>(Parameters!$B$19*(E141+Parameters!$B$20)^Q141+Parameters!$B$18*F141^Q141)^(1/Q141)</f>
        <v>0.53694512130722249</v>
      </c>
      <c r="T141" s="7">
        <f>(Parameters!$B$10*G141^Parameters!$B$9 + Parameters!$B$11*S141^Parameters!$B$9) ^ (Parameters!$B$7/Parameters!$B$9) * N141</f>
        <v>1.4761599869280224</v>
      </c>
      <c r="U141" s="7">
        <f t="shared" si="50"/>
        <v>1.1257344211333766</v>
      </c>
      <c r="V141" s="7">
        <f>EXP(-Parameters!$B$55*A141)</f>
        <v>0.12634992989446087</v>
      </c>
      <c r="W141" s="7">
        <f>IF(U141&gt;0,U141^(1-Parameters!$B$52)/(1-Parameters!$B$52)*V141,-10+U141*1000)</f>
        <v>-0.34634137755276173</v>
      </c>
      <c r="X141" s="7"/>
      <c r="Y141" s="7"/>
      <c r="Z141" s="7"/>
      <c r="AA141" s="7"/>
    </row>
    <row r="142" spans="1:27" x14ac:dyDescent="0.25">
      <c r="A142">
        <f>A141+Parameters!$B$65</f>
        <v>138</v>
      </c>
      <c r="B142" s="9">
        <f t="shared" si="51"/>
        <v>5.5238794691412761E-2</v>
      </c>
      <c r="C142" s="9">
        <f t="shared" si="51"/>
        <v>2.532692781448906E-3</v>
      </c>
      <c r="D142" s="7">
        <f t="shared" si="51"/>
        <v>0.29265407832178425</v>
      </c>
      <c r="E142" s="7">
        <f>MAX((1-Parameters!$B$4)^Parameters!B$65*E141+B141*Parameters!B$65-Parameters!$B$5*B141^2/E141*Parameters!B$65,0.0001)</f>
        <v>0.81883292387022799</v>
      </c>
      <c r="F142" s="9">
        <f>(1-Parameters!$B$4)^Parameters!B$65*F141+C141*Parameters!B$65-Parameters!$B$5*C141^2/F141*Parameters!B$65</f>
        <v>3.8067908765566642E-2</v>
      </c>
      <c r="G142" s="7">
        <f>(1-Parameters!$B$4)^Parameters!B$65*G141+D141*Parameters!B$65-Parameters!$B$5*D141^2/G141*Parameters!B$65</f>
        <v>4.3391563587958588</v>
      </c>
      <c r="H142" s="7">
        <f>H141 *(1-Parameters!$B$4)-B141*(B141&lt;0)*Parameters!B$65</f>
        <v>0</v>
      </c>
      <c r="I142" s="7">
        <f>I141*(1+Parameters!$B$51)^Parameters!B$65</f>
        <v>12.168674654949269</v>
      </c>
      <c r="J142" s="7">
        <f>J141*(1+Parameters!$B$53)^Parameters!B$65</f>
        <v>138.73945170547813</v>
      </c>
      <c r="K142" s="23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286.36086687467872</v>
      </c>
      <c r="L142" s="8">
        <f>L141+K142*Parameters!B$65</f>
        <v>21228.043880327121</v>
      </c>
      <c r="M142" s="7">
        <f>M141+Parameters!$B$45*K142</f>
        <v>12.736826328196267</v>
      </c>
      <c r="N142" s="7">
        <f>'6states'!O142</f>
        <v>0.96350568842644846</v>
      </c>
      <c r="O142" s="7">
        <f>MAX(O141+(Parameters!B$31-K142)*Parameters!B$65,30)</f>
        <v>30</v>
      </c>
      <c r="P142" s="7">
        <f>Parameters!B$61*EXP(-Parameters!B$60*A142)+(1-Parameters!B$61)*(O142/Parameters!B$62)^-Parameters!B$63</f>
        <v>0.53824938926392385</v>
      </c>
      <c r="Q142" s="9">
        <f>1-P142/Parameters!$B$12</f>
        <v>0.73087530536803813</v>
      </c>
      <c r="R142" s="23">
        <f t="shared" si="49"/>
        <v>3.7157496875845508</v>
      </c>
      <c r="S142" s="7">
        <f>(Parameters!$B$19*(E142+Parameters!$B$20)^Q142+Parameters!$B$18*F142^Q142)^(1/Q142)</f>
        <v>0.53696649211779779</v>
      </c>
      <c r="T142" s="7">
        <f>(Parameters!$B$10*G142^Parameters!$B$9 + Parameters!$B$11*S142^Parameters!$B$9) ^ (Parameters!$B$7/Parameters!$B$9) * N142</f>
        <v>1.4761597270075599</v>
      </c>
      <c r="U142" s="7">
        <f t="shared" si="50"/>
        <v>1.1257341612129141</v>
      </c>
      <c r="V142" s="7">
        <f>EXP(-Parameters!$B$55*A142)</f>
        <v>0.12445637824691602</v>
      </c>
      <c r="W142" s="7">
        <f>IF(U142&gt;0,U142^(1-Parameters!$B$52)/(1-Parameters!$B$52)*V142,-10+U142*1000)</f>
        <v>-0.34115093697792853</v>
      </c>
      <c r="X142" s="7"/>
      <c r="Y142" s="7"/>
      <c r="Z142" s="7"/>
      <c r="AA142" s="7"/>
    </row>
    <row r="143" spans="1:27" x14ac:dyDescent="0.25">
      <c r="A143">
        <f>A142+Parameters!$B$65</f>
        <v>139</v>
      </c>
      <c r="B143" s="9">
        <f t="shared" si="51"/>
        <v>5.5238794691412761E-2</v>
      </c>
      <c r="C143" s="9">
        <f t="shared" si="51"/>
        <v>2.532692781448906E-3</v>
      </c>
      <c r="D143" s="7">
        <f t="shared" si="51"/>
        <v>0.29265407832178425</v>
      </c>
      <c r="E143" s="7">
        <f>MAX((1-Parameters!$B$4)^Parameters!B$65*E142+B142*Parameters!B$65-Parameters!$B$5*B142^2/E142*Parameters!B$65,0.0001)</f>
        <v>0.81884069659203607</v>
      </c>
      <c r="F143" s="9">
        <f>(1-Parameters!$B$4)^Parameters!B$65*F142+C142*Parameters!B$65-Parameters!$B$5*C142^2/F142*Parameters!B$65</f>
        <v>3.8037627718885608E-2</v>
      </c>
      <c r="G143" s="7">
        <f>(1-Parameters!$B$4)^Parameters!B$65*G142+D142*Parameters!B$65-Parameters!$B$5*D142^2/G142*Parameters!B$65</f>
        <v>4.339139469574282</v>
      </c>
      <c r="H143" s="7">
        <f>H142 *(1-Parameters!$B$4)-B142*(B142&lt;0)*Parameters!B$65</f>
        <v>0</v>
      </c>
      <c r="I143" s="7">
        <f>I142*(1+Parameters!$B$51)^Parameters!B$65</f>
        <v>12.20396381144862</v>
      </c>
      <c r="J143" s="7">
        <f>J142*(1+Parameters!$B$53)^Parameters!B$65</f>
        <v>141.51424073958771</v>
      </c>
      <c r="K143" s="23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290.0316879326507</v>
      </c>
      <c r="L143" s="8">
        <f>L142+K143*Parameters!B$65</f>
        <v>21518.07556825977</v>
      </c>
      <c r="M143" s="7">
        <f>M142+Parameters!$B$45*K143</f>
        <v>12.910845340955857</v>
      </c>
      <c r="N143" s="7">
        <f>'6states'!O143</f>
        <v>0.96350465497390048</v>
      </c>
      <c r="O143" s="7">
        <f>MAX(O142+(Parameters!B$31-K143)*Parameters!B$65,30)</f>
        <v>30</v>
      </c>
      <c r="P143" s="7">
        <f>Parameters!B$61*EXP(-Parameters!B$60*A143)+(1-Parameters!B$61)*(O143/Parameters!B$62)^-Parameters!B$63</f>
        <v>0.5379285387457361</v>
      </c>
      <c r="Q143" s="9">
        <f>1-P143/Parameters!$B$12</f>
        <v>0.73103573062713201</v>
      </c>
      <c r="R143" s="23">
        <f t="shared" si="49"/>
        <v>3.7179659674932117</v>
      </c>
      <c r="S143" s="7">
        <f>(Parameters!$B$19*(E143+Parameters!$B$20)^Q143+Parameters!$B$18*F143^Q143)^(1/Q143)</f>
        <v>0.53698777254067376</v>
      </c>
      <c r="T143" s="7">
        <f>(Parameters!$B$10*G143^Parameters!$B$9 + Parameters!$B$11*S143^Parameters!$B$9) ^ (Parameters!$B$7/Parameters!$B$9) * N143</f>
        <v>1.4761596347431969</v>
      </c>
      <c r="U143" s="7">
        <f t="shared" si="50"/>
        <v>1.1257340689485509</v>
      </c>
      <c r="V143" s="7">
        <f>EXP(-Parameters!$B$55*A143)</f>
        <v>0.12259120443737162</v>
      </c>
      <c r="W143" s="7">
        <f>IF(U143&gt;0,U143^(1-Parameters!$B$52)/(1-Parameters!$B$52)*V143,-10+U143*1000)</f>
        <v>-0.3360382653574196</v>
      </c>
      <c r="X143" s="7"/>
      <c r="Y143" s="7"/>
      <c r="Z143" s="7"/>
      <c r="AA143" s="7"/>
    </row>
    <row r="144" spans="1:27" x14ac:dyDescent="0.25">
      <c r="A144">
        <f>A143+Parameters!$B$65</f>
        <v>140</v>
      </c>
      <c r="B144" s="9">
        <f t="shared" si="51"/>
        <v>5.5238794691412761E-2</v>
      </c>
      <c r="C144" s="9">
        <f t="shared" si="51"/>
        <v>2.532692781448906E-3</v>
      </c>
      <c r="D144" s="7">
        <f t="shared" si="51"/>
        <v>0.29265407832178425</v>
      </c>
      <c r="E144" s="7">
        <f>MAX((1-Parameters!$B$4)^Parameters!B$65*E143+B143*Parameters!B$65-Parameters!$B$5*B143^2/E143*Parameters!B$65,0.0001)</f>
        <v>0.81884801578222721</v>
      </c>
      <c r="F144" s="9">
        <f>(1-Parameters!$B$4)^Parameters!B$65*F143+C143*Parameters!B$65-Parameters!$B$5*C143^2/F143*Parameters!B$65</f>
        <v>3.8009117208446283E-2</v>
      </c>
      <c r="G144" s="7">
        <f>(1-Parameters!$B$4)^Parameters!B$65*G143+D143*Parameters!B$65-Parameters!$B$5*D143^2/G143*Parameters!B$65</f>
        <v>4.3391235658584488</v>
      </c>
      <c r="H144" s="7">
        <f>H143 *(1-Parameters!$B$4)-B143*(B143&lt;0)*Parameters!B$65</f>
        <v>0</v>
      </c>
      <c r="I144" s="7">
        <f>I143*(1+Parameters!$B$51)^Parameters!B$65</f>
        <v>12.239355306501819</v>
      </c>
      <c r="J144" s="7">
        <f>J143*(1+Parameters!$B$53)^Parameters!B$65</f>
        <v>144.34452555437946</v>
      </c>
      <c r="K144" s="23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293.75053811780083</v>
      </c>
      <c r="L144" s="8">
        <f>L143+K144*Parameters!B$65</f>
        <v>21811.826106377572</v>
      </c>
      <c r="M144" s="7">
        <f>M143+Parameters!$B$45*K144</f>
        <v>13.087095663826538</v>
      </c>
      <c r="N144" s="7">
        <f>'6states'!O144</f>
        <v>0.96350367827035843</v>
      </c>
      <c r="O144" s="7">
        <f>MAX(O143+(Parameters!B$31-K144)*Parameters!B$65,30)</f>
        <v>30</v>
      </c>
      <c r="P144" s="7">
        <f>Parameters!B$61*EXP(-Parameters!B$60*A144)+(1-Parameters!B$61)*(O144/Parameters!B$62)^-Parameters!B$63</f>
        <v>0.53761623528700919</v>
      </c>
      <c r="Q144" s="9">
        <f>1-P144/Parameters!$B$12</f>
        <v>0.73119188235649535</v>
      </c>
      <c r="R144" s="23">
        <f t="shared" si="49"/>
        <v>3.7201257490527406</v>
      </c>
      <c r="S144" s="7">
        <f>(Parameters!$B$19*(E144+Parameters!$B$20)^Q144+Parameters!$B$18*F144^Q144)^(1/Q144)</f>
        <v>0.53700893646682046</v>
      </c>
      <c r="T144" s="7">
        <f>(Parameters!$B$10*G144^Parameters!$B$9 + Parameters!$B$11*S144^Parameters!$B$9) ^ (Parameters!$B$7/Parameters!$B$9) * N144</f>
        <v>1.47615969662012</v>
      </c>
      <c r="U144" s="7">
        <f t="shared" si="50"/>
        <v>1.125734130825474</v>
      </c>
      <c r="V144" s="7">
        <f>EXP(-Parameters!$B$55*A144)</f>
        <v>0.12075398317946676</v>
      </c>
      <c r="W144" s="7">
        <f>IF(U144&gt;0,U144^(1-Parameters!$B$52)/(1-Parameters!$B$52)*V144,-10+U144*1000)</f>
        <v>-0.33100219912364581</v>
      </c>
      <c r="X144" s="7"/>
      <c r="Y144" s="7"/>
      <c r="Z144" s="7"/>
      <c r="AA144" s="7"/>
    </row>
    <row r="145" spans="1:27" x14ac:dyDescent="0.25">
      <c r="A145">
        <f>A144+Parameters!$B$65</f>
        <v>141</v>
      </c>
      <c r="B145" s="9">
        <f t="shared" si="51"/>
        <v>5.5238794691412761E-2</v>
      </c>
      <c r="C145" s="9">
        <f t="shared" si="51"/>
        <v>2.532692781448906E-3</v>
      </c>
      <c r="D145" s="7">
        <f t="shared" si="51"/>
        <v>0.29265407832178425</v>
      </c>
      <c r="E145" s="7">
        <f>MAX((1-Parameters!$B$4)^Parameters!B$65*E144+B144*Parameters!B$65-Parameters!$B$5*B144^2/E144*Parameters!B$65,0.0001)</f>
        <v>0.81885490790336635</v>
      </c>
      <c r="F145" s="9">
        <f>(1-Parameters!$B$4)^Parameters!B$65*F144+C144*Parameters!B$65-Parameters!$B$5*C144^2/F144*Parameters!B$65</f>
        <v>3.7982273515438245E-2</v>
      </c>
      <c r="G145" s="7">
        <f>(1-Parameters!$B$4)^Parameters!B$65*G144+D144*Parameters!B$65-Parameters!$B$5*D144^2/G144*Parameters!B$65</f>
        <v>4.3391085901424029</v>
      </c>
      <c r="H145" s="7">
        <f>H144 *(1-Parameters!$B$4)-B144*(B144&lt;0)*Parameters!B$65</f>
        <v>0</v>
      </c>
      <c r="I145" s="7">
        <f>I144*(1+Parameters!$B$51)^Parameters!B$65</f>
        <v>12.274849436890673</v>
      </c>
      <c r="J145" s="7">
        <f>J144*(1+Parameters!$B$53)^Parameters!B$65</f>
        <v>147.23141606546704</v>
      </c>
      <c r="K145" s="23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297.51804202059208</v>
      </c>
      <c r="L145" s="8">
        <f>L144+K145*Parameters!B$65</f>
        <v>22109.344148398162</v>
      </c>
      <c r="M145" s="7">
        <f>M144+Parameters!$B$45*K145</f>
        <v>13.265606489038893</v>
      </c>
      <c r="N145" s="7">
        <f>'6states'!O145</f>
        <v>0.96350275538073771</v>
      </c>
      <c r="O145" s="7">
        <f>MAX(O144+(Parameters!B$31-K145)*Parameters!B$65,30)</f>
        <v>30</v>
      </c>
      <c r="P145" s="7">
        <f>Parameters!B$61*EXP(-Parameters!B$60*A145)+(1-Parameters!B$61)*(O145/Parameters!B$62)^-Parameters!B$63</f>
        <v>0.53731225120469028</v>
      </c>
      <c r="Q145" s="9">
        <f>1-P145/Parameters!$B$12</f>
        <v>0.7313438743976548</v>
      </c>
      <c r="R145" s="23">
        <f t="shared" si="49"/>
        <v>3.7222304079534103</v>
      </c>
      <c r="S145" s="7">
        <f>(Parameters!$B$19*(E145+Parameters!$B$20)^Q145+Parameters!$B$18*F145^Q145)^(1/Q145)</f>
        <v>0.53702996018902072</v>
      </c>
      <c r="T145" s="7">
        <f>(Parameters!$B$10*G145^Parameters!$B$9 + Parameters!$B$11*S145^Parameters!$B$9) ^ (Parameters!$B$7/Parameters!$B$9) * N145</f>
        <v>1.4761599000088401</v>
      </c>
      <c r="U145" s="7">
        <f t="shared" si="50"/>
        <v>1.1257343342141941</v>
      </c>
      <c r="V145" s="7">
        <f>EXP(-Parameters!$B$55*A145)</f>
        <v>0.11894429556042277</v>
      </c>
      <c r="W145" s="7">
        <f>IF(U145&gt;0,U145^(1-Parameters!$B$52)/(1-Parameters!$B$52)*V145,-10+U145*1000)</f>
        <v>-0.32604159198273897</v>
      </c>
      <c r="X145" s="7"/>
      <c r="Y145" s="7"/>
      <c r="Z145" s="7"/>
      <c r="AA145" s="7"/>
    </row>
    <row r="146" spans="1:27" x14ac:dyDescent="0.25">
      <c r="A146">
        <f>A145+Parameters!$B$65</f>
        <v>142</v>
      </c>
      <c r="B146" s="9">
        <f t="shared" si="51"/>
        <v>5.5238794691412761E-2</v>
      </c>
      <c r="C146" s="9">
        <f t="shared" si="51"/>
        <v>2.532692781448906E-3</v>
      </c>
      <c r="D146" s="7">
        <f t="shared" si="51"/>
        <v>0.29265407832178425</v>
      </c>
      <c r="E146" s="7">
        <f>MAX((1-Parameters!$B$4)^Parameters!B$65*E145+B145*Parameters!B$65-Parameters!$B$5*B145^2/E145*Parameters!B$65,0.0001)</f>
        <v>0.81886139787405599</v>
      </c>
      <c r="F146" s="9">
        <f>(1-Parameters!$B$4)^Parameters!B$65*F145+C145*Parameters!B$65-Parameters!$B$5*C145^2/F145*Parameters!B$65</f>
        <v>3.7956999018707478E-2</v>
      </c>
      <c r="G146" s="7">
        <f>(1-Parameters!$B$4)^Parameters!B$65*G145+D145*Parameters!B$65-Parameters!$B$5*D145^2/G145*Parameters!B$65</f>
        <v>4.3390944882758253</v>
      </c>
      <c r="H146" s="7">
        <f>H145 *(1-Parameters!$B$4)-B145*(B145&lt;0)*Parameters!B$65</f>
        <v>0</v>
      </c>
      <c r="I146" s="7">
        <f>I145*(1+Parameters!$B$51)^Parameters!B$65</f>
        <v>12.310446500257655</v>
      </c>
      <c r="J146" s="7">
        <f>J145*(1+Parameters!$B$53)^Parameters!B$65</f>
        <v>150.1760443867764</v>
      </c>
      <c r="K146" s="23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301.33483211312455</v>
      </c>
      <c r="L146" s="8">
        <f>L145+K146*Parameters!B$65</f>
        <v>22410.678980511286</v>
      </c>
      <c r="M146" s="7">
        <f>M145+Parameters!$B$45*K146</f>
        <v>13.446407388306767</v>
      </c>
      <c r="N146" s="7">
        <f>'6states'!O146</f>
        <v>0.96350188352556865</v>
      </c>
      <c r="O146" s="7">
        <f>MAX(O145+(Parameters!B$31-K146)*Parameters!B$65,30)</f>
        <v>30</v>
      </c>
      <c r="P146" s="7">
        <f>Parameters!B$61*EXP(-Parameters!B$60*A146)+(1-Parameters!B$61)*(O146/Parameters!B$62)^-Parameters!B$63</f>
        <v>0.53701636488092086</v>
      </c>
      <c r="Q146" s="9">
        <f>1-P146/Parameters!$B$12</f>
        <v>0.73149181755953951</v>
      </c>
      <c r="R146" s="23">
        <f t="shared" si="49"/>
        <v>3.7242812897210009</v>
      </c>
      <c r="S146" s="7">
        <f>(Parameters!$B$19*(E146+Parameters!$B$20)^Q146+Parameters!$B$18*F146^Q146)^(1/Q146)</f>
        <v>0.5370508222353777</v>
      </c>
      <c r="T146" s="7">
        <f>(Parameters!$B$10*G146^Parameters!$B$9 + Parameters!$B$11*S146^Parameters!$B$9) ^ (Parameters!$B$7/Parameters!$B$9) * N146</f>
        <v>1.476160233112463</v>
      </c>
      <c r="U146" s="7">
        <f t="shared" si="50"/>
        <v>1.125734667317817</v>
      </c>
      <c r="V146" s="7">
        <f>EXP(-Parameters!$B$55*A146)</f>
        <v>0.11716172894552528</v>
      </c>
      <c r="W146" s="7">
        <f>IF(U146&gt;0,U146^(1-Parameters!$B$52)/(1-Parameters!$B$52)*V146,-10+U146*1000)</f>
        <v>-0.32115531466843267</v>
      </c>
      <c r="X146" s="7"/>
      <c r="Y146" s="7"/>
      <c r="Z146" s="7"/>
      <c r="AA146" s="7"/>
    </row>
    <row r="147" spans="1:27" x14ac:dyDescent="0.25">
      <c r="A147">
        <f>A146+Parameters!$B$65</f>
        <v>143</v>
      </c>
      <c r="B147" s="9">
        <f t="shared" si="51"/>
        <v>5.5238794691412761E-2</v>
      </c>
      <c r="C147" s="9">
        <f t="shared" si="51"/>
        <v>2.532692781448906E-3</v>
      </c>
      <c r="D147" s="7">
        <f t="shared" si="51"/>
        <v>0.29265407832178425</v>
      </c>
      <c r="E147" s="7">
        <f>MAX((1-Parameters!$B$4)^Parameters!B$65*E146+B146*Parameters!B$65-Parameters!$B$5*B146^2/E146*Parameters!B$65,0.0001)</f>
        <v>0.81886750915901108</v>
      </c>
      <c r="F147" s="9">
        <f>(1-Parameters!$B$4)^Parameters!B$65*F146+C146*Parameters!B$65-Parameters!$B$5*C146^2/F146*Parameters!B$65</f>
        <v>3.7933201833870708E-2</v>
      </c>
      <c r="G147" s="7">
        <f>(1-Parameters!$B$4)^Parameters!B$65*G146+D146*Parameters!B$65-Parameters!$B$5*D146^2/G146*Parameters!B$65</f>
        <v>4.3390812092682101</v>
      </c>
      <c r="H147" s="7">
        <f>H146 *(1-Parameters!$B$4)-B146*(B146&lt;0)*Parameters!B$65</f>
        <v>0</v>
      </c>
      <c r="I147" s="7">
        <f>I146*(1+Parameters!$B$51)^Parameters!B$65</f>
        <v>12.346146795108401</v>
      </c>
      <c r="J147" s="7">
        <f>J146*(1+Parameters!$B$53)^Parameters!B$65</f>
        <v>153.17956527451193</v>
      </c>
      <c r="K147" s="23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305.20154886393863</v>
      </c>
      <c r="L147" s="8">
        <f>L146+K147*Parameters!B$65</f>
        <v>22715.880529375223</v>
      </c>
      <c r="M147" s="7">
        <f>M146+Parameters!$B$45*K147</f>
        <v>13.62952831762513</v>
      </c>
      <c r="N147" s="7">
        <f>'6states'!O147</f>
        <v>0.96350106007354752</v>
      </c>
      <c r="O147" s="7">
        <f>MAX(O146+(Parameters!B$31-K147)*Parameters!B$65,30)</f>
        <v>30</v>
      </c>
      <c r="P147" s="7">
        <f>Parameters!B$61*EXP(-Parameters!B$60*A147)+(1-Parameters!B$61)*(O147/Parameters!B$62)^-Parameters!B$63</f>
        <v>0.53672836060146656</v>
      </c>
      <c r="Q147" s="9">
        <f>1-P147/Parameters!$B$12</f>
        <v>0.73163581969926672</v>
      </c>
      <c r="R147" s="23">
        <f t="shared" si="49"/>
        <v>3.7262797102034395</v>
      </c>
      <c r="S147" s="7">
        <f>(Parameters!$B$19*(E147+Parameters!$B$20)^Q147+Parameters!$B$18*F147^Q147)^(1/Q147)</f>
        <v>0.53707150321341857</v>
      </c>
      <c r="T147" s="7">
        <f>(Parameters!$B$10*G147^Parameters!$B$9 + Parameters!$B$11*S147^Parameters!$B$9) ^ (Parameters!$B$7/Parameters!$B$9) * N147</f>
        <v>1.4761606849169213</v>
      </c>
      <c r="U147" s="7">
        <f t="shared" si="50"/>
        <v>1.1257351191222753</v>
      </c>
      <c r="V147" s="7">
        <f>EXP(-Parameters!$B$55*A147)</f>
        <v>0.11540587688403768</v>
      </c>
      <c r="W147" s="7">
        <f>IF(U147&gt;0,U147^(1-Parameters!$B$52)/(1-Parameters!$B$52)*V147,-10+U147*1000)</f>
        <v>-0.31634225469869232</v>
      </c>
      <c r="X147" s="7"/>
      <c r="Y147" s="7"/>
      <c r="Z147" s="7"/>
      <c r="AA147" s="7"/>
    </row>
    <row r="148" spans="1:27" x14ac:dyDescent="0.25">
      <c r="A148">
        <f>A147+Parameters!$B$65</f>
        <v>144</v>
      </c>
      <c r="B148" s="9">
        <f t="shared" si="51"/>
        <v>5.5238794691412761E-2</v>
      </c>
      <c r="C148" s="9">
        <f t="shared" si="51"/>
        <v>2.532692781448906E-3</v>
      </c>
      <c r="D148" s="7">
        <f t="shared" si="51"/>
        <v>0.29265407832178425</v>
      </c>
      <c r="E148" s="7">
        <f>MAX((1-Parameters!$B$4)^Parameters!B$65*E147+B147*Parameters!B$65-Parameters!$B$5*B147^2/E147*Parameters!B$65,0.0001)</f>
        <v>0.8188732638538796</v>
      </c>
      <c r="F148" s="9">
        <f>(1-Parameters!$B$4)^Parameters!B$65*F147+C147*Parameters!B$65-Parameters!$B$5*C147^2/F147*Parameters!B$65</f>
        <v>3.791079547405015E-2</v>
      </c>
      <c r="G148" s="7">
        <f>(1-Parameters!$B$4)^Parameters!B$65*G147+D147*Parameters!B$65-Parameters!$B$5*D147^2/G147*Parameters!B$65</f>
        <v>4.3390687051044781</v>
      </c>
      <c r="H148" s="7">
        <f>H147 *(1-Parameters!$B$4)-B147*(B147&lt;0)*Parameters!B$65</f>
        <v>0</v>
      </c>
      <c r="I148" s="7">
        <f>I147*(1+Parameters!$B$51)^Parameters!B$65</f>
        <v>12.381950620814214</v>
      </c>
      <c r="J148" s="7">
        <f>J147*(1+Parameters!$B$53)^Parameters!B$65</f>
        <v>156.24315658000216</v>
      </c>
      <c r="K148" s="23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309.11884085370525</v>
      </c>
      <c r="L148" s="8">
        <f>L147+K148*Parameters!B$65</f>
        <v>23024.999370228928</v>
      </c>
      <c r="M148" s="7">
        <f>M147+Parameters!$B$45*K148</f>
        <v>13.814999622137353</v>
      </c>
      <c r="N148" s="7">
        <f>'6states'!O148</f>
        <v>0.96350024338246965</v>
      </c>
      <c r="O148" s="7">
        <f>MAX(O147+(Parameters!B$31-K148)*Parameters!B$65,30)</f>
        <v>30</v>
      </c>
      <c r="P148" s="7">
        <f>Parameters!B$61*EXP(-Parameters!B$60*A148)+(1-Parameters!B$61)*(O148/Parameters!B$62)^-Parameters!B$63</f>
        <v>0.53644802839845251</v>
      </c>
      <c r="Q148" s="9">
        <f>1-P148/Parameters!$B$12</f>
        <v>0.73177598580077374</v>
      </c>
      <c r="R148" s="23">
        <f t="shared" si="49"/>
        <v>3.7282269560593457</v>
      </c>
      <c r="S148" s="7">
        <f>(Parameters!$B$19*(E148+Parameters!$B$20)^Q148+Parameters!$B$18*F148^Q148)^(1/Q148)</f>
        <v>0.53709198566414407</v>
      </c>
      <c r="T148" s="7">
        <f>(Parameters!$B$10*G148^Parameters!$B$9 + Parameters!$B$11*S148^Parameters!$B$9) ^ (Parameters!$B$7/Parameters!$B$9) * N148</f>
        <v>1.4761611851600935</v>
      </c>
      <c r="U148" s="7">
        <f t="shared" si="50"/>
        <v>1.1257356193654475</v>
      </c>
      <c r="V148" s="7">
        <f>EXP(-Parameters!$B$55*A148)</f>
        <v>0.11367633901652432</v>
      </c>
      <c r="W148" s="7">
        <f>IF(U148&gt;0,U148^(1-Parameters!$B$52)/(1-Parameters!$B$52)*V148,-10+U148*1000)</f>
        <v>-0.3116013219463194</v>
      </c>
      <c r="X148" s="7"/>
      <c r="Y148" s="7"/>
      <c r="Z148" s="7"/>
      <c r="AA148" s="7"/>
    </row>
    <row r="149" spans="1:27" x14ac:dyDescent="0.25">
      <c r="A149">
        <f>A148+Parameters!$B$65</f>
        <v>145</v>
      </c>
      <c r="B149" s="9">
        <f t="shared" si="51"/>
        <v>5.5238794691412761E-2</v>
      </c>
      <c r="C149" s="9">
        <f t="shared" si="51"/>
        <v>2.532692781448906E-3</v>
      </c>
      <c r="D149" s="7">
        <f t="shared" si="51"/>
        <v>0.29265407832178425</v>
      </c>
      <c r="E149" s="7">
        <f>MAX((1-Parameters!$B$4)^Parameters!B$65*E148+B148*Parameters!B$65-Parameters!$B$5*B148^2/E148*Parameters!B$65,0.0001)</f>
        <v>0.81887868276511577</v>
      </c>
      <c r="F149" s="9">
        <f>(1-Parameters!$B$4)^Parameters!B$65*F148+C148*Parameters!B$65-Parameters!$B$5*C148^2/F148*Parameters!B$65</f>
        <v>3.78896985309055E-2</v>
      </c>
      <c r="G149" s="7">
        <f>(1-Parameters!$B$4)^Parameters!B$65*G148+D148*Parameters!B$65-Parameters!$B$5*D148^2/G148*Parameters!B$65</f>
        <v>4.3390569305713447</v>
      </c>
      <c r="H149" s="7">
        <f>H148 *(1-Parameters!$B$4)-B148*(B148&lt;0)*Parameters!B$65</f>
        <v>0</v>
      </c>
      <c r="I149" s="7">
        <f>I148*(1+Parameters!$B$51)^Parameters!B$65</f>
        <v>12.417858277614574</v>
      </c>
      <c r="J149" s="7">
        <f>J148*(1+Parameters!$B$53)^Parameters!B$65</f>
        <v>159.36801971160222</v>
      </c>
      <c r="K149" s="23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313.08736489183985</v>
      </c>
      <c r="L149" s="8">
        <f>L148+K149*Parameters!B$65</f>
        <v>23338.086735120767</v>
      </c>
      <c r="M149" s="7">
        <f>M148+Parameters!$B$45*K149</f>
        <v>14.002852041072458</v>
      </c>
      <c r="N149" s="7">
        <f>'6states'!O149</f>
        <v>0.96349941603818257</v>
      </c>
      <c r="O149" s="7">
        <f>MAX(O148+(Parameters!B$31-K149)*Parameters!B$65,30)</f>
        <v>30</v>
      </c>
      <c r="P149" s="7">
        <f>Parameters!B$61*EXP(-Parameters!B$60*A149)+(1-Parameters!B$61)*(O149/Parameters!B$62)^-Parameters!B$63</f>
        <v>0.53617516389728759</v>
      </c>
      <c r="Q149" s="9">
        <f>1-P149/Parameters!$B$12</f>
        <v>0.73191241805135621</v>
      </c>
      <c r="R149" s="23">
        <f t="shared" si="49"/>
        <v>3.7301242852478151</v>
      </c>
      <c r="S149" s="7">
        <f>(Parameters!$B$19*(E149+Parameters!$B$20)^Q149+Parameters!$B$18*F149^Q149)^(1/Q149)</f>
        <v>0.53711225392541762</v>
      </c>
      <c r="T149" s="7">
        <f>(Parameters!$B$10*G149^Parameters!$B$9 + Parameters!$B$11*S149^Parameters!$B$9) ^ (Parameters!$B$7/Parameters!$B$9) * N149</f>
        <v>1.4761617011850381</v>
      </c>
      <c r="U149" s="7">
        <f t="shared" si="50"/>
        <v>1.1257361353903921</v>
      </c>
      <c r="V149" s="7">
        <f>EXP(-Parameters!$B$55*A149)</f>
        <v>0.11197272098356298</v>
      </c>
      <c r="W149" s="7">
        <f>IF(U149&gt;0,U149^(1-Parameters!$B$52)/(1-Parameters!$B$52)*V149,-10+U149*1000)</f>
        <v>-0.30693143871900991</v>
      </c>
      <c r="X149" s="7"/>
      <c r="Y149" s="7"/>
      <c r="Z149" s="7"/>
      <c r="AA149" s="7"/>
    </row>
    <row r="150" spans="1:27" x14ac:dyDescent="0.25">
      <c r="A150">
        <f>A149+Parameters!$B$65</f>
        <v>146</v>
      </c>
      <c r="B150" s="9">
        <f t="shared" si="51"/>
        <v>5.5238794691412761E-2</v>
      </c>
      <c r="C150" s="9">
        <f t="shared" si="51"/>
        <v>2.532692781448906E-3</v>
      </c>
      <c r="D150" s="7">
        <f t="shared" si="51"/>
        <v>0.29265407832178425</v>
      </c>
      <c r="E150" s="7">
        <f>MAX((1-Parameters!$B$4)^Parameters!B$65*E149+B149*Parameters!B$65-Parameters!$B$5*B149^2/E149*Parameters!B$65,0.0001)</f>
        <v>0.81888378548519403</v>
      </c>
      <c r="F150" s="9">
        <f>(1-Parameters!$B$4)^Parameters!B$65*F149+C149*Parameters!B$65-Parameters!$B$5*C149^2/F149*Parameters!B$65</f>
        <v>3.7869834374723937E-2</v>
      </c>
      <c r="G150" s="7">
        <f>(1-Parameters!$B$4)^Parameters!B$65*G149+D149*Parameters!B$65-Parameters!$B$5*D149^2/G149*Parameters!B$65</f>
        <v>4.3390458430938281</v>
      </c>
      <c r="H150" s="7">
        <f>H149 *(1-Parameters!$B$4)-B149*(B149&lt;0)*Parameters!B$65</f>
        <v>0</v>
      </c>
      <c r="I150" s="7">
        <f>I149*(1+Parameters!$B$51)^Parameters!B$65</f>
        <v>12.453870066619654</v>
      </c>
      <c r="J150" s="7">
        <f>J149*(1+Parameters!$B$53)^Parameters!B$65</f>
        <v>162.55538010583427</v>
      </c>
      <c r="K150" s="23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317.10778613408235</v>
      </c>
      <c r="L150" s="8">
        <f>L149+K150*Parameters!B$65</f>
        <v>23655.194521254849</v>
      </c>
      <c r="M150" s="7">
        <f>M149+Parameters!$B$45*K150</f>
        <v>14.193116712752907</v>
      </c>
      <c r="N150" s="7">
        <f>'6states'!O150</f>
        <v>0.96349857789873561</v>
      </c>
      <c r="O150" s="7">
        <f>MAX(O149+(Parameters!B$31-K150)*Parameters!B$65,30)</f>
        <v>30</v>
      </c>
      <c r="P150" s="7">
        <f>Parameters!B$61*EXP(-Parameters!B$60*A150)+(1-Parameters!B$61)*(O150/Parameters!B$62)^-Parameters!B$63</f>
        <v>0.53590956816766566</v>
      </c>
      <c r="Q150" s="9">
        <f>1-P150/Parameters!$B$12</f>
        <v>0.73204521591616722</v>
      </c>
      <c r="R150" s="23">
        <f t="shared" si="49"/>
        <v>3.7319729275187652</v>
      </c>
      <c r="S150" s="7">
        <f>(Parameters!$B$19*(E150+Parameters!$B$20)^Q150+Parameters!$B$18*F150^Q150)^(1/Q150)</f>
        <v>0.537132294004113</v>
      </c>
      <c r="T150" s="7">
        <f>(Parameters!$B$10*G150^Parameters!$B$9 + Parameters!$B$11*S150^Parameters!$B$9) ^ (Parameters!$B$7/Parameters!$B$9) * N150</f>
        <v>1.4761622272515738</v>
      </c>
      <c r="U150" s="7">
        <f t="shared" si="50"/>
        <v>1.1257366614569277</v>
      </c>
      <c r="V150" s="7">
        <f>EXP(-Parameters!$B$55*A150)</f>
        <v>0.11029463433582516</v>
      </c>
      <c r="W150" s="7">
        <f>IF(U150&gt;0,U150^(1-Parameters!$B$52)/(1-Parameters!$B$52)*V150,-10+U150*1000)</f>
        <v>-0.30233154080213764</v>
      </c>
      <c r="X150" s="7"/>
      <c r="Y150" s="7"/>
      <c r="Z150" s="7"/>
      <c r="AA150" s="7"/>
    </row>
    <row r="151" spans="1:27" x14ac:dyDescent="0.25">
      <c r="A151">
        <f>A150+Parameters!$B$65</f>
        <v>147</v>
      </c>
      <c r="B151" s="9">
        <f t="shared" si="51"/>
        <v>5.5238794691412761E-2</v>
      </c>
      <c r="C151" s="9">
        <f t="shared" si="51"/>
        <v>2.532692781448906E-3</v>
      </c>
      <c r="D151" s="7">
        <f t="shared" si="51"/>
        <v>0.29265407832178425</v>
      </c>
      <c r="E151" s="7">
        <f>MAX((1-Parameters!$B$4)^Parameters!B$65*E150+B150*Parameters!B$65-Parameters!$B$5*B150^2/E150*Parameters!B$65,0.0001)</f>
        <v>0.8188885904634351</v>
      </c>
      <c r="F151" s="9">
        <f>(1-Parameters!$B$4)^Parameters!B$65*F150+C150*Parameters!B$65-Parameters!$B$5*C150^2/F150*Parameters!B$65</f>
        <v>3.7851130872407102E-2</v>
      </c>
      <c r="G151" s="7">
        <f>(1-Parameters!$B$4)^Parameters!B$65*G150+D150*Parameters!B$65-Parameters!$B$5*D150^2/G150*Parameters!B$65</f>
        <v>4.3390354025812892</v>
      </c>
      <c r="H151" s="7">
        <f>H150 *(1-Parameters!$B$4)-B150*(B150&lt;0)*Parameters!B$65</f>
        <v>0</v>
      </c>
      <c r="I151" s="7">
        <f>I150*(1+Parameters!$B$51)^Parameters!B$65</f>
        <v>12.489986289812849</v>
      </c>
      <c r="J151" s="7">
        <f>J150*(1+Parameters!$B$53)^Parameters!B$65</f>
        <v>165.80648770795096</v>
      </c>
      <c r="K151" s="23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321.18077820108084</v>
      </c>
      <c r="L151" s="8">
        <f>L150+K151*Parameters!B$65</f>
        <v>23976.375299455929</v>
      </c>
      <c r="M151" s="7">
        <f>M150+Parameters!$B$45*K151</f>
        <v>14.385825179673557</v>
      </c>
      <c r="N151" s="7">
        <f>'6states'!O151</f>
        <v>0.96349772882122953</v>
      </c>
      <c r="O151" s="7">
        <f>MAX(O150+(Parameters!B$31-K151)*Parameters!B$65,30)</f>
        <v>30</v>
      </c>
      <c r="P151" s="7">
        <f>Parameters!B$61*EXP(-Parameters!B$60*A151)+(1-Parameters!B$61)*(O151/Parameters!B$62)^-Parameters!B$63</f>
        <v>0.53565104757853743</v>
      </c>
      <c r="Q151" s="9">
        <f>1-P151/Parameters!$B$12</f>
        <v>0.73217447621073128</v>
      </c>
      <c r="R151" s="23">
        <f t="shared" si="49"/>
        <v>3.7337740849032111</v>
      </c>
      <c r="S151" s="7">
        <f>(Parameters!$B$19*(E151+Parameters!$B$20)^Q151+Parameters!$B$18*F151^Q151)^(1/Q151)</f>
        <v>0.53715209345648662</v>
      </c>
      <c r="T151" s="7">
        <f>(Parameters!$B$10*G151^Parameters!$B$9 + Parameters!$B$11*S151^Parameters!$B$9) ^ (Parameters!$B$7/Parameters!$B$9) * N151</f>
        <v>1.4761627580427439</v>
      </c>
      <c r="U151" s="7">
        <f t="shared" si="50"/>
        <v>1.1257371922480979</v>
      </c>
      <c r="V151" s="7">
        <f>EXP(-Parameters!$B$55*A151)</f>
        <v>0.1086416964455041</v>
      </c>
      <c r="W151" s="7">
        <f>IF(U151&gt;0,U151^(1-Parameters!$B$52)/(1-Parameters!$B$52)*V151,-10+U151*1000)</f>
        <v>-0.29780057986570269</v>
      </c>
      <c r="X151" s="7"/>
      <c r="Y151" s="7"/>
      <c r="Z151" s="7"/>
      <c r="AA151" s="7"/>
    </row>
    <row r="152" spans="1:27" x14ac:dyDescent="0.25">
      <c r="A152">
        <f>A151+Parameters!$B$65</f>
        <v>148</v>
      </c>
      <c r="B152" s="9">
        <f t="shared" si="51"/>
        <v>5.5238794691412761E-2</v>
      </c>
      <c r="C152" s="9">
        <f t="shared" si="51"/>
        <v>2.532692781448906E-3</v>
      </c>
      <c r="D152" s="7">
        <f t="shared" si="51"/>
        <v>0.29265407832178425</v>
      </c>
      <c r="E152" s="7">
        <f>MAX((1-Parameters!$B$4)^Parameters!B$65*E151+B151*Parameters!B$65-Parameters!$B$5*B151^2/E151*Parameters!B$65,0.0001)</f>
        <v>0.81889311507270091</v>
      </c>
      <c r="F152" s="9">
        <f>(1-Parameters!$B$4)^Parameters!B$65*F151+C151*Parameters!B$65-Parameters!$B$5*C151^2/F151*Parameters!B$65</f>
        <v>3.7833520122267018E-2</v>
      </c>
      <c r="G152" s="7">
        <f>(1-Parameters!$B$4)^Parameters!B$65*G151+D151*Parameters!B$65-Parameters!$B$5*D151^2/G151*Parameters!B$65</f>
        <v>4.3390255712824644</v>
      </c>
      <c r="H152" s="7">
        <f>H151 *(1-Parameters!$B$4)-B151*(B151&lt;0)*Parameters!B$65</f>
        <v>0</v>
      </c>
      <c r="I152" s="7">
        <f>I151*(1+Parameters!$B$51)^Parameters!B$65</f>
        <v>12.526207250053305</v>
      </c>
      <c r="J152" s="7">
        <f>J151*(1+Parameters!$B$53)^Parameters!B$65</f>
        <v>169.12261746210999</v>
      </c>
      <c r="K152" s="23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325.30702329801699</v>
      </c>
      <c r="L152" s="8">
        <f>L151+K152*Parameters!B$65</f>
        <v>24301.682322753946</v>
      </c>
      <c r="M152" s="7">
        <f>M151+Parameters!$B$45*K152</f>
        <v>14.581009393652367</v>
      </c>
      <c r="N152" s="7">
        <f>'6states'!O152</f>
        <v>0.96349686866181028</v>
      </c>
      <c r="O152" s="7">
        <f>MAX(O151+(Parameters!B$31-K152)*Parameters!B$65,30)</f>
        <v>30</v>
      </c>
      <c r="P152" s="7">
        <f>Parameters!B$61*EXP(-Parameters!B$60*A152)+(1-Parameters!B$61)*(O152/Parameters!B$62)^-Parameters!B$63</f>
        <v>0.53539941365694399</v>
      </c>
      <c r="Q152" s="9">
        <f>1-P152/Parameters!$B$12</f>
        <v>0.73230029317152801</v>
      </c>
      <c r="R152" s="23">
        <f t="shared" si="49"/>
        <v>3.7355289322029321</v>
      </c>
      <c r="S152" s="7">
        <f>(Parameters!$B$19*(E152+Parameters!$B$20)^Q152+Parameters!$B$18*F152^Q152)^(1/Q152)</f>
        <v>0.53717164127626393</v>
      </c>
      <c r="T152" s="7">
        <f>(Parameters!$B$10*G152^Parameters!$B$9 + Parameters!$B$11*S152^Parameters!$B$9) ^ (Parameters!$B$7/Parameters!$B$9) * N152</f>
        <v>1.4761632886369358</v>
      </c>
      <c r="U152" s="7">
        <f t="shared" si="50"/>
        <v>1.12573772284229</v>
      </c>
      <c r="V152" s="7">
        <f>EXP(-Parameters!$B$55*A152)</f>
        <v>0.10701353041907032</v>
      </c>
      <c r="W152" s="7">
        <f>IF(U152&gt;0,U152^(1-Parameters!$B$52)/(1-Parameters!$B$52)*V152,-10+U152*1000)</f>
        <v>-0.29333752323191253</v>
      </c>
      <c r="X152" s="7"/>
      <c r="Y152" s="7"/>
      <c r="Z152" s="7"/>
      <c r="AA152" s="7"/>
    </row>
    <row r="153" spans="1:27" x14ac:dyDescent="0.25">
      <c r="A153">
        <f>A152+Parameters!$B$65</f>
        <v>149</v>
      </c>
      <c r="B153" s="9">
        <f t="shared" si="51"/>
        <v>5.5238794691412761E-2</v>
      </c>
      <c r="C153" s="9">
        <f t="shared" si="51"/>
        <v>2.532692781448906E-3</v>
      </c>
      <c r="D153" s="7">
        <f t="shared" si="51"/>
        <v>0.29265407832178425</v>
      </c>
      <c r="E153" s="7">
        <f>MAX((1-Parameters!$B$4)^Parameters!B$65*E152+B152*Parameters!B$65-Parameters!$B$5*B152^2/E152*Parameters!B$65,0.0001)</f>
        <v>0.81889737567219889</v>
      </c>
      <c r="F153" s="9">
        <f>(1-Parameters!$B$4)^Parameters!B$65*F152+C152*Parameters!B$65-Parameters!$B$5*C152^2/F152*Parameters!B$65</f>
        <v>3.7816938204611225E-2</v>
      </c>
      <c r="G153" s="7">
        <f>(1-Parameters!$B$4)^Parameters!B$65*G152+D152*Parameters!B$65-Parameters!$B$5*D152^2/G152*Parameters!B$65</f>
        <v>4.3390163136489512</v>
      </c>
      <c r="H153" s="7">
        <f>H152 *(1-Parameters!$B$4)-B152*(B152&lt;0)*Parameters!B$65</f>
        <v>0</v>
      </c>
      <c r="I153" s="7">
        <f>I152*(1+Parameters!$B$51)^Parameters!B$65</f>
        <v>12.56253325107846</v>
      </c>
      <c r="J153" s="7">
        <f>J152*(1+Parameters!$B$53)^Parameters!B$65</f>
        <v>172.5050698113522</v>
      </c>
      <c r="K153" s="23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329.48721233530949</v>
      </c>
      <c r="L153" s="8">
        <f>L152+K153*Parameters!B$65</f>
        <v>24631.169535089255</v>
      </c>
      <c r="M153" s="7">
        <f>M152+Parameters!$B$45*K153</f>
        <v>14.778701721053553</v>
      </c>
      <c r="N153" s="7">
        <f>'6states'!O153</f>
        <v>0.96349599727565005</v>
      </c>
      <c r="O153" s="7">
        <f>MAX(O152+(Parameters!B$31-K153)*Parameters!B$65,30)</f>
        <v>30</v>
      </c>
      <c r="P153" s="7">
        <f>Parameters!B$61*EXP(-Parameters!B$60*A153)+(1-Parameters!B$61)*(O153/Parameters!B$62)^-Parameters!B$63</f>
        <v>0.53515448295061208</v>
      </c>
      <c r="Q153" s="9">
        <f>1-P153/Parameters!$B$12</f>
        <v>0.73242275852469396</v>
      </c>
      <c r="R153" s="23">
        <f t="shared" si="49"/>
        <v>3.7372386174789356</v>
      </c>
      <c r="S153" s="7">
        <f>(Parameters!$B$19*(E153+Parameters!$B$20)^Q153+Parameters!$B$18*F153^Q153)^(1/Q153)</f>
        <v>0.53719092778996191</v>
      </c>
      <c r="T153" s="7">
        <f>(Parameters!$B$10*G153^Parameters!$B$9 + Parameters!$B$11*S153^Parameters!$B$9) ^ (Parameters!$B$7/Parameters!$B$9) * N153</f>
        <v>1.4761638144817102</v>
      </c>
      <c r="U153" s="7">
        <f t="shared" si="50"/>
        <v>1.1257382486870644</v>
      </c>
      <c r="V153" s="7">
        <f>EXP(-Parameters!$B$55*A153)</f>
        <v>0.10540976501133419</v>
      </c>
      <c r="W153" s="7">
        <f>IF(U153&gt;0,U153^(1-Parameters!$B$52)/(1-Parameters!$B$52)*V153,-10+U153*1000)</f>
        <v>-0.28894135364579465</v>
      </c>
      <c r="X153" s="7"/>
      <c r="Y153" s="7"/>
      <c r="Z153" s="7"/>
      <c r="AA153" s="7"/>
    </row>
    <row r="154" spans="1:27" x14ac:dyDescent="0.25">
      <c r="A154">
        <f>A153+Parameters!$B$65</f>
        <v>150</v>
      </c>
      <c r="B154" s="9">
        <f t="shared" ref="B154:D169" si="52">B153</f>
        <v>5.5238794691412761E-2</v>
      </c>
      <c r="C154" s="9">
        <f t="shared" si="52"/>
        <v>2.532692781448906E-3</v>
      </c>
      <c r="D154" s="7">
        <f t="shared" si="52"/>
        <v>0.29265407832178425</v>
      </c>
      <c r="E154" s="7">
        <f>MAX((1-Parameters!$B$4)^Parameters!B$65*E153+B153*Parameters!B$65-Parameters!$B$5*B153^2/E153*Parameters!B$65,0.0001)</f>
        <v>0.81890138766662202</v>
      </c>
      <c r="F154" s="9">
        <f>(1-Parameters!$B$4)^Parameters!B$65*F153+C153*Parameters!B$65-Parameters!$B$5*C153^2/F153*Parameters!B$65</f>
        <v>3.7801324947161076E-2</v>
      </c>
      <c r="G154" s="7">
        <f>(1-Parameters!$B$4)^Parameters!B$65*G153+D153*Parameters!B$65-Parameters!$B$5*D153^2/G153*Parameters!B$65</f>
        <v>4.3390075962066676</v>
      </c>
      <c r="H154" s="7">
        <f>H153 *(1-Parameters!$B$4)-B153*(B153&lt;0)*Parameters!B$65</f>
        <v>0</v>
      </c>
      <c r="I154" s="7">
        <f>I153*(1+Parameters!$B$51)^Parameters!B$65</f>
        <v>12.598964597506585</v>
      </c>
      <c r="J154" s="7">
        <f>J153*(1+Parameters!$B$53)^Parameters!B$65</f>
        <v>175.95517120757924</v>
      </c>
      <c r="K154" s="23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333.72204505043555</v>
      </c>
      <c r="L154" s="8">
        <f>L153+K154*Parameters!B$65</f>
        <v>24964.891580139691</v>
      </c>
      <c r="M154" s="7">
        <f>M153+Parameters!$B$45*K154</f>
        <v>14.978934948083815</v>
      </c>
      <c r="N154" s="7">
        <f>'6states'!O154</f>
        <v>0.96349511451691716</v>
      </c>
      <c r="O154" s="7">
        <f>MAX(O153+(Parameters!B$31-K154)*Parameters!B$65,30)</f>
        <v>30</v>
      </c>
      <c r="P154" s="7">
        <f>Parameters!B$61*EXP(-Parameters!B$60*A154)+(1-Parameters!B$61)*(O154/Parameters!B$62)^-Parameters!B$63</f>
        <v>0.53491607689420939</v>
      </c>
      <c r="Q154" s="9">
        <f>1-P154/Parameters!$B$12</f>
        <v>0.7325419615528953</v>
      </c>
      <c r="R154" s="23">
        <f t="shared" si="49"/>
        <v>3.738904262538254</v>
      </c>
      <c r="S154" s="7">
        <f>(Parameters!$B$19*(E154+Parameters!$B$20)^Q154+Parameters!$B$18*F154^Q154)^(1/Q154)</f>
        <v>0.53720994455900173</v>
      </c>
      <c r="T154" s="7">
        <f>(Parameters!$B$10*G154^Parameters!$B$9 + Parameters!$B$11*S154^Parameters!$B$9) ^ (Parameters!$B$7/Parameters!$B$9) * N154</f>
        <v>1.4761643313692414</v>
      </c>
      <c r="U154" s="7">
        <f t="shared" si="50"/>
        <v>1.1257387655745954</v>
      </c>
      <c r="V154" s="7">
        <f>EXP(-Parameters!$B$55*A154)</f>
        <v>0.10383003454079688</v>
      </c>
      <c r="W154" s="7">
        <f>IF(U154&gt;0,U154^(1-Parameters!$B$52)/(1-Parameters!$B$52)*V154,-10+U154*1000)</f>
        <v>-0.28461106904883204</v>
      </c>
      <c r="X154" s="7"/>
      <c r="Y154" s="7"/>
      <c r="Z154" s="7"/>
      <c r="AA154" s="7"/>
    </row>
    <row r="155" spans="1:27" x14ac:dyDescent="0.25">
      <c r="A155">
        <f>A154+Parameters!$B$65</f>
        <v>151</v>
      </c>
      <c r="B155" s="9">
        <f t="shared" si="52"/>
        <v>5.5238794691412761E-2</v>
      </c>
      <c r="C155" s="9">
        <f t="shared" si="52"/>
        <v>2.532692781448906E-3</v>
      </c>
      <c r="D155" s="7">
        <f t="shared" si="52"/>
        <v>0.29265407832178425</v>
      </c>
      <c r="E155" s="7">
        <f>MAX((1-Parameters!$B$4)^Parameters!B$65*E154+B154*Parameters!B$65-Parameters!$B$5*B154^2/E154*Parameters!B$65,0.0001)</f>
        <v>0.81890516556183901</v>
      </c>
      <c r="F155" s="9">
        <f>(1-Parameters!$B$4)^Parameters!B$65*F154+C154*Parameters!B$65-Parameters!$B$5*C154^2/F154*Parameters!B$65</f>
        <v>3.7786623704406781E-2</v>
      </c>
      <c r="G155" s="7">
        <f>(1-Parameters!$B$4)^Parameters!B$65*G154+D154*Parameters!B$65-Parameters!$B$5*D154^2/G154*Parameters!B$65</f>
        <v>4.3389993874348063</v>
      </c>
      <c r="H155" s="7">
        <f>H154 *(1-Parameters!$B$4)-B154*(B154&lt;0)*Parameters!B$65</f>
        <v>0</v>
      </c>
      <c r="I155" s="7">
        <f>I154*(1+Parameters!$B$51)^Parameters!B$65</f>
        <v>12.635501594839353</v>
      </c>
      <c r="J155" s="7">
        <f>J154*(1+Parameters!$B$53)^Parameters!B$65</f>
        <v>179.47427463173082</v>
      </c>
      <c r="K155" s="23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338.01223013090191</v>
      </c>
      <c r="L155" s="8">
        <f>L154+K155*Parameters!B$65</f>
        <v>25302.903810270593</v>
      </c>
      <c r="M155" s="7">
        <f>M154+Parameters!$B$45*K155</f>
        <v>15.181742286162356</v>
      </c>
      <c r="N155" s="7">
        <f>'6states'!O155</f>
        <v>0.96349422023873654</v>
      </c>
      <c r="O155" s="7">
        <f>MAX(O154+(Parameters!B$31-K155)*Parameters!B$65,30)</f>
        <v>30</v>
      </c>
      <c r="P155" s="7">
        <f>Parameters!B$61*EXP(-Parameters!B$60*A155)+(1-Parameters!B$61)*(O155/Parameters!B$62)^-Parameters!B$63</f>
        <v>0.5346840216791624</v>
      </c>
      <c r="Q155" s="9">
        <f>1-P155/Parameters!$B$12</f>
        <v>0.7326579891604188</v>
      </c>
      <c r="R155" s="23">
        <f t="shared" si="49"/>
        <v>3.740526963418596</v>
      </c>
      <c r="S155" s="7">
        <f>(Parameters!$B$19*(E155+Parameters!$B$20)^Q155+Parameters!$B$18*F155^Q155)^(1/Q155)</f>
        <v>0.53722868428818671</v>
      </c>
      <c r="T155" s="7">
        <f>(Parameters!$B$10*G155^Parameters!$B$9 + Parameters!$B$11*S155^Parameters!$B$9) ^ (Parameters!$B$7/Parameters!$B$9) * N155</f>
        <v>1.4761648354132688</v>
      </c>
      <c r="U155" s="7">
        <f t="shared" si="50"/>
        <v>1.1257392696186228</v>
      </c>
      <c r="V155" s="7">
        <f>EXP(-Parameters!$B$55*A155)</f>
        <v>0.10227397880626984</v>
      </c>
      <c r="W155" s="7">
        <f>IF(U155&gt;0,U155^(1-Parameters!$B$52)/(1-Parameters!$B$52)*V155,-10+U155*1000)</f>
        <v>-0.28034568235560536</v>
      </c>
      <c r="X155" s="7"/>
      <c r="Y155" s="7"/>
      <c r="Z155" s="7"/>
      <c r="AA155" s="7"/>
    </row>
    <row r="156" spans="1:27" x14ac:dyDescent="0.25">
      <c r="A156">
        <f>A155+Parameters!$B$65</f>
        <v>152</v>
      </c>
      <c r="B156" s="9">
        <f t="shared" si="52"/>
        <v>5.5238794691412761E-2</v>
      </c>
      <c r="C156" s="9">
        <f t="shared" si="52"/>
        <v>2.532692781448906E-3</v>
      </c>
      <c r="D156" s="7">
        <f t="shared" si="52"/>
        <v>0.29265407832178425</v>
      </c>
      <c r="E156" s="7">
        <f>MAX((1-Parameters!$B$4)^Parameters!B$65*E155+B155*Parameters!B$65-Parameters!$B$5*B155^2/E155*Parameters!B$65,0.0001)</f>
        <v>0.81890872301733608</v>
      </c>
      <c r="F156" s="9">
        <f>(1-Parameters!$B$4)^Parameters!B$65*F155+C155*Parameters!B$65-Parameters!$B$5*C155^2/F155*Parameters!B$65</f>
        <v>3.7772781150058408E-2</v>
      </c>
      <c r="G156" s="7">
        <f>(1-Parameters!$B$4)^Parameters!B$65*G155+D155*Parameters!B$65-Parameters!$B$5*D155^2/G155*Parameters!B$65</f>
        <v>4.3389916576518539</v>
      </c>
      <c r="H156" s="7">
        <f>H155 *(1-Parameters!$B$4)-B155*(B155&lt;0)*Parameters!B$65</f>
        <v>0</v>
      </c>
      <c r="I156" s="7">
        <f>I155*(1+Parameters!$B$51)^Parameters!B$65</f>
        <v>12.672144549464386</v>
      </c>
      <c r="J156" s="7">
        <f>J155*(1+Parameters!$B$53)^Parameters!B$65</f>
        <v>183.06376012436544</v>
      </c>
      <c r="K156" s="23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342.35848533840385</v>
      </c>
      <c r="L156" s="8">
        <f>L155+K156*Parameters!B$65</f>
        <v>25645.262295608998</v>
      </c>
      <c r="M156" s="7">
        <f>M155+Parameters!$B$45*K156</f>
        <v>15.387157377365398</v>
      </c>
      <c r="N156" s="7">
        <f>'6states'!O156</f>
        <v>0.96349331429314178</v>
      </c>
      <c r="O156" s="7">
        <f>MAX(O155+(Parameters!B$31-K156)*Parameters!B$65,30)</f>
        <v>30</v>
      </c>
      <c r="P156" s="7">
        <f>Parameters!B$61*EXP(-Parameters!B$60*A156)+(1-Parameters!B$61)*(O156/Parameters!B$62)^-Parameters!B$63</f>
        <v>0.53445814812694203</v>
      </c>
      <c r="Q156" s="9">
        <f>1-P156/Parameters!$B$12</f>
        <v>0.73277092593652893</v>
      </c>
      <c r="R156" s="23">
        <f t="shared" si="49"/>
        <v>3.7421077908704068</v>
      </c>
      <c r="S156" s="7">
        <f>(Parameters!$B$19*(E156+Parameters!$B$20)^Q156+Parameters!$B$18*F156^Q156)^(1/Q156)</f>
        <v>0.53724714074015201</v>
      </c>
      <c r="T156" s="7">
        <f>(Parameters!$B$10*G156^Parameters!$B$9 + Parameters!$B$11*S156^Parameters!$B$9) ^ (Parameters!$B$7/Parameters!$B$9) * N156</f>
        <v>1.4761653230274738</v>
      </c>
      <c r="U156" s="7">
        <f t="shared" si="50"/>
        <v>1.1257397572328278</v>
      </c>
      <c r="V156" s="7">
        <f>EXP(-Parameters!$B$55*A156)</f>
        <v>0.10074124300474355</v>
      </c>
      <c r="W156" s="7">
        <f>IF(U156&gt;0,U156^(1-Parameters!$B$52)/(1-Parameters!$B$52)*V156,-10+U156*1000)</f>
        <v>-0.27614422123342836</v>
      </c>
      <c r="X156" s="7"/>
      <c r="Y156" s="7"/>
      <c r="Z156" s="7"/>
      <c r="AA156" s="7"/>
    </row>
    <row r="157" spans="1:27" x14ac:dyDescent="0.25">
      <c r="A157">
        <f>A156+Parameters!$B$65</f>
        <v>153</v>
      </c>
      <c r="B157" s="9">
        <f t="shared" si="52"/>
        <v>5.5238794691412761E-2</v>
      </c>
      <c r="C157" s="9">
        <f t="shared" si="52"/>
        <v>2.532692781448906E-3</v>
      </c>
      <c r="D157" s="7">
        <f t="shared" si="52"/>
        <v>0.29265407832178425</v>
      </c>
      <c r="E157" s="7">
        <f>MAX((1-Parameters!$B$4)^Parameters!B$65*E156+B156*Parameters!B$65-Parameters!$B$5*B156^2/E156*Parameters!B$65,0.0001)</f>
        <v>0.81891207289559875</v>
      </c>
      <c r="F157" s="9">
        <f>(1-Parameters!$B$4)^Parameters!B$65*F156+C156*Parameters!B$65-Parameters!$B$5*C156^2/F156*Parameters!B$65</f>
        <v>3.775974708180415E-2</v>
      </c>
      <c r="G157" s="7">
        <f>(1-Parameters!$B$4)^Parameters!B$65*G156+D156*Parameters!B$65-Parameters!$B$5*D156^2/G156*Parameters!B$65</f>
        <v>4.3389843789082674</v>
      </c>
      <c r="H157" s="7">
        <f>H156 *(1-Parameters!$B$4)-B156*(B156&lt;0)*Parameters!B$65</f>
        <v>0</v>
      </c>
      <c r="I157" s="7">
        <f>I156*(1+Parameters!$B$51)^Parameters!B$65</f>
        <v>12.708893768657832</v>
      </c>
      <c r="J157" s="7">
        <f>J156*(1+Parameters!$B$53)^Parameters!B$65</f>
        <v>186.72503532685275</v>
      </c>
      <c r="K157" s="23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346.76153763420695</v>
      </c>
      <c r="L157" s="8">
        <f>L156+K157*Parameters!B$65</f>
        <v>25992.023833243205</v>
      </c>
      <c r="M157" s="7">
        <f>M156+Parameters!$B$45*K157</f>
        <v>15.595214299945923</v>
      </c>
      <c r="N157" s="7">
        <f>'6states'!O157</f>
        <v>0.96349239653101981</v>
      </c>
      <c r="O157" s="7">
        <f>MAX(O156+(Parameters!B$31-K157)*Parameters!B$65,30)</f>
        <v>30</v>
      </c>
      <c r="P157" s="7">
        <f>Parameters!B$61*EXP(-Parameters!B$60*A157)+(1-Parameters!B$61)*(O157/Parameters!B$62)^-Parameters!B$63</f>
        <v>0.53423829156572533</v>
      </c>
      <c r="Q157" s="9">
        <f>1-P157/Parameters!$B$12</f>
        <v>0.73288085421713733</v>
      </c>
      <c r="R157" s="23">
        <f t="shared" si="49"/>
        <v>3.7436477908359502</v>
      </c>
      <c r="S157" s="7">
        <f>(Parameters!$B$19*(E157+Parameters!$B$20)^Q157+Parameters!$B$18*F157^Q157)^(1/Q157)</f>
        <v>0.53726530865541255</v>
      </c>
      <c r="T157" s="7">
        <f>(Parameters!$B$10*G157^Parameters!$B$9 + Parameters!$B$11*S157^Parameters!$B$9) ^ (Parameters!$B$7/Parameters!$B$9) * N157</f>
        <v>1.4761657909051902</v>
      </c>
      <c r="U157" s="7">
        <f t="shared" si="50"/>
        <v>1.1257402251105444</v>
      </c>
      <c r="V157" s="7">
        <f>EXP(-Parameters!$B$55*A157)</f>
        <v>9.9231477650487412E-2</v>
      </c>
      <c r="W157" s="7">
        <f>IF(U157&gt;0,U157^(1-Parameters!$B$52)/(1-Parameters!$B$52)*V157,-10+U157*1000)</f>
        <v>-0.27200572788495808</v>
      </c>
      <c r="X157" s="7"/>
      <c r="Y157" s="7"/>
      <c r="Z157" s="7"/>
      <c r="AA157" s="7"/>
    </row>
    <row r="158" spans="1:27" x14ac:dyDescent="0.25">
      <c r="A158">
        <f>A157+Parameters!$B$65</f>
        <v>154</v>
      </c>
      <c r="B158" s="9">
        <f t="shared" si="52"/>
        <v>5.5238794691412761E-2</v>
      </c>
      <c r="C158" s="9">
        <f t="shared" si="52"/>
        <v>2.532692781448906E-3</v>
      </c>
      <c r="D158" s="7">
        <f t="shared" si="52"/>
        <v>0.29265407832178425</v>
      </c>
      <c r="E158" s="7">
        <f>MAX((1-Parameters!$B$4)^Parameters!B$65*E157+B157*Parameters!B$65-Parameters!$B$5*B157^2/E157*Parameters!B$65,0.0001)</f>
        <v>0.81891522730861277</v>
      </c>
      <c r="F158" s="9">
        <f>(1-Parameters!$B$4)^Parameters!B$65*F157+C157*Parameters!B$65-Parameters!$B$5*C157^2/F157*Parameters!B$65</f>
        <v>3.7747474237635893E-2</v>
      </c>
      <c r="G158" s="7">
        <f>(1-Parameters!$B$4)^Parameters!B$65*G157+D157*Parameters!B$65-Parameters!$B$5*D157^2/G157*Parameters!B$65</f>
        <v>4.3389775248854034</v>
      </c>
      <c r="H158" s="7">
        <f>H157 *(1-Parameters!$B$4)-B157*(B157&lt;0)*Parameters!B$65</f>
        <v>0</v>
      </c>
      <c r="I158" s="7">
        <f>I157*(1+Parameters!$B$51)^Parameters!B$65</f>
        <v>12.745749560586939</v>
      </c>
      <c r="J158" s="7">
        <f>J157*(1+Parameters!$B$53)^Parameters!B$65</f>
        <v>190.45953603338981</v>
      </c>
      <c r="K158" s="23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351.22212330578441</v>
      </c>
      <c r="L158" s="8">
        <f>L157+K158*Parameters!B$65</f>
        <v>26343.245956548992</v>
      </c>
      <c r="M158" s="7">
        <f>M157+Parameters!$B$45*K158</f>
        <v>15.805947573929393</v>
      </c>
      <c r="N158" s="7">
        <f>'6states'!O158</f>
        <v>0.96349146680204956</v>
      </c>
      <c r="O158" s="7">
        <f>MAX(O157+(Parameters!B$31-K158)*Parameters!B$65,30)</f>
        <v>30</v>
      </c>
      <c r="P158" s="7">
        <f>Parameters!B$61*EXP(-Parameters!B$60*A158)+(1-Parameters!B$61)*(O158/Parameters!B$62)^-Parameters!B$63</f>
        <v>0.53402429171034216</v>
      </c>
      <c r="Q158" s="9">
        <f>1-P158/Parameters!$B$12</f>
        <v>0.73298785414482892</v>
      </c>
      <c r="R158" s="23">
        <f t="shared" si="49"/>
        <v>3.7451479849250218</v>
      </c>
      <c r="S158" s="7">
        <f>(Parameters!$B$19*(E158+Parameters!$B$20)^Q158+Parameters!$B$18*F158^Q158)^(1/Q158)</f>
        <v>0.5372831836776617</v>
      </c>
      <c r="T158" s="7">
        <f>(Parameters!$B$10*G158^Parameters!$B$9 + Parameters!$B$11*S158^Parameters!$B$9) ^ (Parameters!$B$7/Parameters!$B$9) * N158</f>
        <v>1.4761662360003742</v>
      </c>
      <c r="U158" s="7">
        <f t="shared" si="50"/>
        <v>1.1257406702057282</v>
      </c>
      <c r="V158" s="7">
        <f>EXP(-Parameters!$B$55*A158)</f>
        <v>9.7744338495362112E-2</v>
      </c>
      <c r="W158" s="7">
        <f>IF(U158&gt;0,U158^(1-Parameters!$B$52)/(1-Parameters!$B$52)*V158,-10+U158*1000)</f>
        <v>-0.26792925883376084</v>
      </c>
      <c r="X158" s="7"/>
      <c r="Y158" s="7"/>
      <c r="Z158" s="7"/>
      <c r="AA158" s="7"/>
    </row>
    <row r="159" spans="1:27" x14ac:dyDescent="0.25">
      <c r="A159">
        <f>A158+Parameters!$B$65</f>
        <v>155</v>
      </c>
      <c r="B159" s="9">
        <f t="shared" si="52"/>
        <v>5.5238794691412761E-2</v>
      </c>
      <c r="C159" s="9">
        <f t="shared" si="52"/>
        <v>2.532692781448906E-3</v>
      </c>
      <c r="D159" s="7">
        <f t="shared" si="52"/>
        <v>0.29265407832178425</v>
      </c>
      <c r="E159" s="7">
        <f>MAX((1-Parameters!$B$4)^Parameters!B$65*E158+B158*Parameters!B$65-Parameters!$B$5*B158^2/E158*Parameters!B$65,0.0001)</f>
        <v>0.81891819766165297</v>
      </c>
      <c r="F159" s="9">
        <f>(1-Parameters!$B$4)^Parameters!B$65*F158+C158*Parameters!B$65-Parameters!$B$5*C158^2/F158*Parameters!B$65</f>
        <v>3.7735918123047718E-2</v>
      </c>
      <c r="G159" s="7">
        <f>(1-Parameters!$B$4)^Parameters!B$65*G158+D158*Parameters!B$65-Parameters!$B$5*D158^2/G158*Parameters!B$65</f>
        <v>4.3389710708003539</v>
      </c>
      <c r="H159" s="7">
        <f>H158 *(1-Parameters!$B$4)-B158*(B158&lt;0)*Parameters!B$65</f>
        <v>0</v>
      </c>
      <c r="I159" s="7">
        <f>I158*(1+Parameters!$B$51)^Parameters!B$65</f>
        <v>12.782712234312639</v>
      </c>
      <c r="J159" s="7">
        <f>J158*(1+Parameters!$B$53)^Parameters!B$65</f>
        <v>194.26872675405761</v>
      </c>
      <c r="K159" s="23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355.74098809474572</v>
      </c>
      <c r="L159" s="8">
        <f>L158+K159*Parameters!B$65</f>
        <v>26698.986944643737</v>
      </c>
      <c r="M159" s="7">
        <f>M158+Parameters!$B$45*K159</f>
        <v>16.01939216678624</v>
      </c>
      <c r="N159" s="7">
        <f>'6states'!O159</f>
        <v>0.9634905249546375</v>
      </c>
      <c r="O159" s="7">
        <f>MAX(O158+(Parameters!B$31-K159)*Parameters!B$65,30)</f>
        <v>30</v>
      </c>
      <c r="P159" s="7">
        <f>Parameters!B$61*EXP(-Parameters!B$60*A159)+(1-Parameters!B$61)*(O159/Parameters!B$62)^-Parameters!B$63</f>
        <v>0.53381599254542045</v>
      </c>
      <c r="Q159" s="9">
        <f>1-P159/Parameters!$B$12</f>
        <v>0.73309200372728978</v>
      </c>
      <c r="R159" s="23">
        <f t="shared" si="49"/>
        <v>3.7466093708869677</v>
      </c>
      <c r="S159" s="7">
        <f>(Parameters!$B$19*(E159+Parameters!$B$20)^Q159+Parameters!$B$18*F159^Q159)^(1/Q159)</f>
        <v>0.53730076228398926</v>
      </c>
      <c r="T159" s="7">
        <f>(Parameters!$B$10*G159^Parameters!$B$9 + Parameters!$B$11*S159^Parameters!$B$9) ^ (Parameters!$B$7/Parameters!$B$9) * N159</f>
        <v>1.476166655509755</v>
      </c>
      <c r="U159" s="7">
        <f t="shared" si="50"/>
        <v>1.1257410897151092</v>
      </c>
      <c r="V159" s="7">
        <f>EXP(-Parameters!$B$55*A159)</f>
        <v>9.6279486450325927E-2</v>
      </c>
      <c r="W159" s="7">
        <f>IF(U159&gt;0,U159^(1-Parameters!$B$52)/(1-Parameters!$B$52)*V159,-10+U159*1000)</f>
        <v>-0.26391388471281202</v>
      </c>
      <c r="X159" s="7"/>
      <c r="Y159" s="7"/>
      <c r="Z159" s="7"/>
      <c r="AA159" s="7"/>
    </row>
    <row r="160" spans="1:27" x14ac:dyDescent="0.25">
      <c r="A160">
        <f>A159+Parameters!$B$65</f>
        <v>156</v>
      </c>
      <c r="B160" s="9">
        <f t="shared" si="52"/>
        <v>5.5238794691412761E-2</v>
      </c>
      <c r="C160" s="9">
        <f t="shared" si="52"/>
        <v>2.532692781448906E-3</v>
      </c>
      <c r="D160" s="7">
        <f t="shared" si="52"/>
        <v>0.29265407832178425</v>
      </c>
      <c r="E160" s="7">
        <f>MAX((1-Parameters!$B$4)^Parameters!B$65*E159+B159*Parameters!B$65-Parameters!$B$5*B159^2/E159*Parameters!B$65,0.0001)</f>
        <v>0.81892099469451618</v>
      </c>
      <c r="F160" s="9">
        <f>(1-Parameters!$B$4)^Parameters!B$65*F159+C159*Parameters!B$65-Parameters!$B$5*C159^2/F159*Parameters!B$65</f>
        <v>3.7725036848455552E-2</v>
      </c>
      <c r="G160" s="7">
        <f>(1-Parameters!$B$4)^Parameters!B$65*G159+D159*Parameters!B$65-Parameters!$B$5*D159^2/G159*Parameters!B$65</f>
        <v>4.3389649933163312</v>
      </c>
      <c r="H160" s="7">
        <f>H159 *(1-Parameters!$B$4)-B159*(B159&lt;0)*Parameters!B$65</f>
        <v>0</v>
      </c>
      <c r="I160" s="7">
        <f>I159*(1+Parameters!$B$51)^Parameters!B$65</f>
        <v>12.819782099792144</v>
      </c>
      <c r="J160" s="7">
        <f>J159*(1+Parameters!$B$53)^Parameters!B$65</f>
        <v>198.15410128913877</v>
      </c>
      <c r="K160" s="23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360.31888732608928</v>
      </c>
      <c r="L160" s="8">
        <f>L159+K160*Parameters!B$65</f>
        <v>27059.305831969825</v>
      </c>
      <c r="M160" s="7">
        <f>M159+Parameters!$B$45*K160</f>
        <v>16.235583499181892</v>
      </c>
      <c r="N160" s="7">
        <f>'6states'!O160</f>
        <v>0.96348957083584752</v>
      </c>
      <c r="O160" s="7">
        <f>MAX(O159+(Parameters!B$31-K160)*Parameters!B$65,30)</f>
        <v>30</v>
      </c>
      <c r="P160" s="7">
        <f>Parameters!B$61*EXP(-Parameters!B$60*A160)+(1-Parameters!B$61)*(O160/Parameters!B$62)^-Parameters!B$63</f>
        <v>0.53361324221164363</v>
      </c>
      <c r="Q160" s="9">
        <f>1-P160/Parameters!$B$12</f>
        <v>0.73319337889417824</v>
      </c>
      <c r="R160" s="23">
        <f t="shared" si="49"/>
        <v>3.748032923078684</v>
      </c>
      <c r="S160" s="7">
        <f>(Parameters!$B$19*(E160+Parameters!$B$20)^Q160+Parameters!$B$18*F160^Q160)^(1/Q160)</f>
        <v>0.53731804171971409</v>
      </c>
      <c r="T160" s="7">
        <f>(Parameters!$B$10*G160^Parameters!$B$9 + Parameters!$B$11*S160^Parameters!$B$9) ^ (Parameters!$B$7/Parameters!$B$9) * N160</f>
        <v>1.4761670468560963</v>
      </c>
      <c r="U160" s="7">
        <f t="shared" si="50"/>
        <v>1.1257414810614503</v>
      </c>
      <c r="V160" s="7">
        <f>EXP(-Parameters!$B$55*A160)</f>
        <v>9.4836587508117826E-2</v>
      </c>
      <c r="W160" s="7">
        <f>IF(U160&gt;0,U160^(1-Parameters!$B$52)/(1-Parameters!$B$52)*V160,-10+U160*1000)</f>
        <v>-0.25995869005591021</v>
      </c>
      <c r="X160" s="7"/>
      <c r="Y160" s="7"/>
      <c r="Z160" s="7"/>
      <c r="AA160" s="7"/>
    </row>
    <row r="161" spans="1:27" x14ac:dyDescent="0.25">
      <c r="A161">
        <f>A160+Parameters!$B$65</f>
        <v>157</v>
      </c>
      <c r="B161" s="9">
        <f t="shared" si="52"/>
        <v>5.5238794691412761E-2</v>
      </c>
      <c r="C161" s="9">
        <f t="shared" si="52"/>
        <v>2.532692781448906E-3</v>
      </c>
      <c r="D161" s="7">
        <f t="shared" si="52"/>
        <v>0.29265407832178425</v>
      </c>
      <c r="E161" s="7">
        <f>MAX((1-Parameters!$B$4)^Parameters!B$65*E160+B160*Parameters!B$65-Parameters!$B$5*B160^2/E160*Parameters!B$65,0.0001)</f>
        <v>0.8189236285203495</v>
      </c>
      <c r="F161" s="9">
        <f>(1-Parameters!$B$4)^Parameters!B$65*F160+C160*Parameters!B$65-Parameters!$B$5*C160^2/F160*Parameters!B$65</f>
        <v>3.7714790976226223E-2</v>
      </c>
      <c r="G161" s="7">
        <f>(1-Parameters!$B$4)^Parameters!B$65*G160+D160*Parameters!B$65-Parameters!$B$5*D160^2/G160*Parameters!B$65</f>
        <v>4.3389592704582851</v>
      </c>
      <c r="H161" s="7">
        <f>H160 *(1-Parameters!$B$4)-B160*(B160&lt;0)*Parameters!B$65</f>
        <v>0</v>
      </c>
      <c r="I161" s="7">
        <f>I160*(1+Parameters!$B$51)^Parameters!B$65</f>
        <v>12.85695946788154</v>
      </c>
      <c r="J161" s="7">
        <f>J160*(1+Parameters!$B$53)^Parameters!B$65</f>
        <v>202.11718331492153</v>
      </c>
      <c r="K161" s="23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364.95658603881282</v>
      </c>
      <c r="L161" s="8">
        <f>L160+K161*Parameters!B$65</f>
        <v>27424.262418008639</v>
      </c>
      <c r="M161" s="7">
        <f>M160+Parameters!$B$45*K161</f>
        <v>16.454557450805179</v>
      </c>
      <c r="N161" s="7">
        <f>'6states'!O161</f>
        <v>0.96348860429133054</v>
      </c>
      <c r="O161" s="7">
        <f>MAX(O160+(Parameters!B$31-K161)*Parameters!B$65,30)</f>
        <v>30</v>
      </c>
      <c r="P161" s="7">
        <f>Parameters!B$61*EXP(-Parameters!B$60*A161)+(1-Parameters!B$61)*(O161/Parameters!B$62)^-Parameters!B$63</f>
        <v>0.53341589289503932</v>
      </c>
      <c r="Q161" s="9">
        <f>1-P161/Parameters!$B$12</f>
        <v>0.73329205355248028</v>
      </c>
      <c r="R161" s="23">
        <f t="shared" si="49"/>
        <v>3.7494195929282919</v>
      </c>
      <c r="S161" s="7">
        <f>(Parameters!$B$19*(E161+Parameters!$B$20)^Q161+Parameters!$B$18*F161^Q161)^(1/Q161)</f>
        <v>0.53733501993754007</v>
      </c>
      <c r="T161" s="7">
        <f>(Parameters!$B$10*G161^Parameters!$B$9 + Parameters!$B$11*S161^Parameters!$B$9) ^ (Parameters!$B$7/Parameters!$B$9) * N161</f>
        <v>1.4761674076725022</v>
      </c>
      <c r="U161" s="7">
        <f t="shared" si="50"/>
        <v>1.1257418418778564</v>
      </c>
      <c r="V161" s="7">
        <f>EXP(-Parameters!$B$55*A161)</f>
        <v>9.3415312667098696E-2</v>
      </c>
      <c r="W161" s="7">
        <f>IF(U161&gt;0,U161^(1-Parameters!$B$52)/(1-Parameters!$B$52)*V161,-10+U161*1000)</f>
        <v>-0.25606277309197756</v>
      </c>
      <c r="X161" s="7"/>
      <c r="Y161" s="7"/>
      <c r="Z161" s="7"/>
      <c r="AA161" s="7"/>
    </row>
    <row r="162" spans="1:27" x14ac:dyDescent="0.25">
      <c r="A162">
        <f>A161+Parameters!$B$65</f>
        <v>158</v>
      </c>
      <c r="B162" s="9">
        <f t="shared" si="52"/>
        <v>5.5238794691412761E-2</v>
      </c>
      <c r="C162" s="9">
        <f t="shared" si="52"/>
        <v>2.532692781448906E-3</v>
      </c>
      <c r="D162" s="7">
        <f t="shared" si="52"/>
        <v>0.29265407832178425</v>
      </c>
      <c r="E162" s="7">
        <f>MAX((1-Parameters!$B$4)^Parameters!B$65*E161+B161*Parameters!B$65-Parameters!$B$5*B161^2/E161*Parameters!B$65,0.0001)</f>
        <v>0.81892610866221327</v>
      </c>
      <c r="F162" s="9">
        <f>(1-Parameters!$B$4)^Parameters!B$65*F161+C161*Parameters!B$65-Parameters!$B$5*C161^2/F161*Parameters!B$65</f>
        <v>3.7705143376741461E-2</v>
      </c>
      <c r="G162" s="7">
        <f>(1-Parameters!$B$4)^Parameters!B$65*G161+D161*Parameters!B$65-Parameters!$B$5*D161^2/G161*Parameters!B$65</f>
        <v>4.3389538815334401</v>
      </c>
      <c r="H162" s="7">
        <f>H161 *(1-Parameters!$B$4)-B161*(B161&lt;0)*Parameters!B$65</f>
        <v>0</v>
      </c>
      <c r="I162" s="7">
        <f>I161*(1+Parameters!$B$51)^Parameters!B$65</f>
        <v>12.894244650338395</v>
      </c>
      <c r="J162" s="7">
        <f>J161*(1+Parameters!$B$53)^Parameters!B$65</f>
        <v>206.15952698121995</v>
      </c>
      <c r="K162" s="23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369.65485911791365</v>
      </c>
      <c r="L162" s="8">
        <f>L161+K162*Parameters!B$65</f>
        <v>27793.917277126551</v>
      </c>
      <c r="M162" s="7">
        <f>M161+Parameters!$B$45*K162</f>
        <v>16.676350366275926</v>
      </c>
      <c r="N162" s="7">
        <f>'6states'!O162</f>
        <v>0.96348762516525177</v>
      </c>
      <c r="O162" s="7">
        <f>MAX(O161+(Parameters!B$31-K162)*Parameters!B$65,30)</f>
        <v>30</v>
      </c>
      <c r="P162" s="7">
        <f>Parameters!B$61*EXP(-Parameters!B$60*A162)+(1-Parameters!B$61)*(O162/Parameters!B$62)^-Parameters!B$63</f>
        <v>0.53322380071921527</v>
      </c>
      <c r="Q162" s="9">
        <f>1-P162/Parameters!$B$12</f>
        <v>0.73338809964039231</v>
      </c>
      <c r="R162" s="23">
        <f t="shared" si="49"/>
        <v>3.7507703093942699</v>
      </c>
      <c r="S162" s="7">
        <f>(Parameters!$B$19*(E162+Parameters!$B$20)^Q162+Parameters!$B$18*F162^Q162)^(1/Q162)</f>
        <v>0.53735169554076401</v>
      </c>
      <c r="T162" s="7">
        <f>(Parameters!$B$10*G162^Parameters!$B$9 + Parameters!$B$11*S162^Parameters!$B$9) ^ (Parameters!$B$7/Parameters!$B$9) * N162</f>
        <v>1.4761677357877057</v>
      </c>
      <c r="U162" s="7">
        <f t="shared" si="50"/>
        <v>1.1257421699930599</v>
      </c>
      <c r="V162" s="7">
        <f>EXP(-Parameters!$B$55*A162)</f>
        <v>9.2015337856234475E-2</v>
      </c>
      <c r="W162" s="7">
        <f>IF(U162&gt;0,U162^(1-Parameters!$B$52)/(1-Parameters!$B$52)*V162,-10+U162*1000)</f>
        <v>-0.25222524554222553</v>
      </c>
      <c r="X162" s="7"/>
      <c r="Y162" s="7"/>
      <c r="Z162" s="7"/>
      <c r="AA162" s="7"/>
    </row>
    <row r="163" spans="1:27" x14ac:dyDescent="0.25">
      <c r="A163">
        <f>A162+Parameters!$B$65</f>
        <v>159</v>
      </c>
      <c r="B163" s="9">
        <f t="shared" si="52"/>
        <v>5.5238794691412761E-2</v>
      </c>
      <c r="C163" s="9">
        <f t="shared" si="52"/>
        <v>2.532692781448906E-3</v>
      </c>
      <c r="D163" s="7">
        <f t="shared" si="52"/>
        <v>0.29265407832178425</v>
      </c>
      <c r="E163" s="7">
        <f>MAX((1-Parameters!$B$4)^Parameters!B$65*E162+B162*Parameters!B$65-Parameters!$B$5*B162^2/E162*Parameters!B$65,0.0001)</f>
        <v>0.81892844408751009</v>
      </c>
      <c r="F163" s="9">
        <f>(1-Parameters!$B$4)^Parameters!B$65*F162+C162*Parameters!B$65-Parameters!$B$5*C162^2/F162*Parameters!B$65</f>
        <v>3.7696059092957541E-2</v>
      </c>
      <c r="G163" s="7">
        <f>(1-Parameters!$B$4)^Parameters!B$65*G162+D162*Parameters!B$65-Parameters!$B$5*D162^2/G162*Parameters!B$65</f>
        <v>4.3389488070564726</v>
      </c>
      <c r="H163" s="7">
        <f>H162 *(1-Parameters!$B$4)-B162*(B162&lt;0)*Parameters!B$65</f>
        <v>0</v>
      </c>
      <c r="I163" s="7">
        <f>I162*(1+Parameters!$B$51)^Parameters!B$65</f>
        <v>12.931637959824375</v>
      </c>
      <c r="J163" s="7">
        <f>J162*(1+Parameters!$B$53)^Parameters!B$65</f>
        <v>210.28271752084436</v>
      </c>
      <c r="K163" s="23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374.41449142781318</v>
      </c>
      <c r="L163" s="8">
        <f>L162+K163*Parameters!B$65</f>
        <v>28168.331768554366</v>
      </c>
      <c r="M163" s="7">
        <f>M162+Parameters!$B$45*K163</f>
        <v>16.900999061132612</v>
      </c>
      <c r="N163" s="7">
        <f>'6states'!O163</f>
        <v>0.96348663330021722</v>
      </c>
      <c r="O163" s="7">
        <f>MAX(O162+(Parameters!B$31-K163)*Parameters!B$65,30)</f>
        <v>30</v>
      </c>
      <c r="P163" s="7">
        <f>Parameters!B$61*EXP(-Parameters!B$60*A163)+(1-Parameters!B$61)*(O163/Parameters!B$62)^-Parameters!B$63</f>
        <v>0.53303682564046806</v>
      </c>
      <c r="Q163" s="9">
        <f>1-P163/Parameters!$B$12</f>
        <v>0.73348158717976597</v>
      </c>
      <c r="R163" s="23">
        <f t="shared" si="49"/>
        <v>3.7520859794197312</v>
      </c>
      <c r="S163" s="7">
        <f>(Parameters!$B$19*(E163+Parameters!$B$20)^Q163+Parameters!$B$18*F163^Q163)^(1/Q163)</f>
        <v>0.53736806773028145</v>
      </c>
      <c r="T163" s="7">
        <f>(Parameters!$B$10*G163^Parameters!$B$9 + Parameters!$B$11*S163^Parameters!$B$9) ^ (Parameters!$B$7/Parameters!$B$9) * N163</f>
        <v>1.4761680292122763</v>
      </c>
      <c r="U163" s="7">
        <f t="shared" si="50"/>
        <v>1.1257424634176303</v>
      </c>
      <c r="V163" s="7">
        <f>EXP(-Parameters!$B$55*A163)</f>
        <v>9.0636343861203325E-2</v>
      </c>
      <c r="W163" s="7">
        <f>IF(U163&gt;0,U163^(1-Parameters!$B$52)/(1-Parameters!$B$52)*V163,-10+U163*1000)</f>
        <v>-0.24844523242015856</v>
      </c>
      <c r="X163" s="7"/>
      <c r="Y163" s="7"/>
      <c r="Z163" s="7"/>
      <c r="AA163" s="7"/>
    </row>
    <row r="164" spans="1:27" x14ac:dyDescent="0.25">
      <c r="A164">
        <f>A163+Parameters!$B$65</f>
        <v>160</v>
      </c>
      <c r="B164" s="9">
        <f t="shared" si="52"/>
        <v>5.5238794691412761E-2</v>
      </c>
      <c r="C164" s="9">
        <f t="shared" si="52"/>
        <v>2.532692781448906E-3</v>
      </c>
      <c r="D164" s="7">
        <f t="shared" si="52"/>
        <v>0.29265407832178425</v>
      </c>
      <c r="E164" s="7">
        <f>MAX((1-Parameters!$B$4)^Parameters!B$65*E163+B163*Parameters!B$65-Parameters!$B$5*B163^2/E163*Parameters!B$65,0.0001)</f>
        <v>0.81893064324040621</v>
      </c>
      <c r="F164" s="9">
        <f>(1-Parameters!$B$4)^Parameters!B$65*F163+C163*Parameters!B$65-Parameters!$B$5*C163^2/F163*Parameters!B$65</f>
        <v>3.7687505212953984E-2</v>
      </c>
      <c r="G164" s="7">
        <f>(1-Parameters!$B$4)^Parameters!B$65*G163+D163*Parameters!B$65-Parameters!$B$5*D163^2/G163*Parameters!B$65</f>
        <v>4.3389440286790526</v>
      </c>
      <c r="H164" s="7">
        <f>H163 *(1-Parameters!$B$4)-B163*(B163&lt;0)*Parameters!B$65</f>
        <v>0</v>
      </c>
      <c r="I164" s="7">
        <f>I163*(1+Parameters!$B$51)^Parameters!B$65</f>
        <v>12.969139709907864</v>
      </c>
      <c r="J164" s="7">
        <f>J163*(1+Parameters!$B$53)^Parameters!B$65</f>
        <v>214.48837187126125</v>
      </c>
      <c r="K164" s="23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379.2362779472341</v>
      </c>
      <c r="L164" s="8">
        <f>L163+K164*Parameters!B$65</f>
        <v>28547.568046501601</v>
      </c>
      <c r="M164" s="7">
        <f>M163+Parameters!$B$45*K164</f>
        <v>17.128540827900952</v>
      </c>
      <c r="N164" s="7">
        <f>'6states'!O164</f>
        <v>0.9634856285372011</v>
      </c>
      <c r="O164" s="7">
        <f>MAX(O163+(Parameters!B$31-K164)*Parameters!B$65,30)</f>
        <v>30</v>
      </c>
      <c r="P164" s="7">
        <f>Parameters!B$61*EXP(-Parameters!B$60*A164)+(1-Parameters!B$61)*(O164/Parameters!B$62)^-Parameters!B$63</f>
        <v>0.53285483134568457</v>
      </c>
      <c r="Q164" s="9">
        <f>1-P164/Parameters!$B$12</f>
        <v>0.73357258432715766</v>
      </c>
      <c r="R164" s="23">
        <f t="shared" si="49"/>
        <v>3.753367488381687</v>
      </c>
      <c r="S164" s="7">
        <f>(Parameters!$B$19*(E164+Parameters!$B$20)^Q164+Parameters!$B$18*F164^Q164)^(1/Q164)</f>
        <v>0.53738413625515002</v>
      </c>
      <c r="T164" s="7">
        <f>(Parameters!$B$10*G164^Parameters!$B$9 + Parameters!$B$11*S164^Parameters!$B$9) ^ (Parameters!$B$7/Parameters!$B$9) * N164</f>
        <v>1.4761682861257004</v>
      </c>
      <c r="U164" s="7">
        <f t="shared" si="50"/>
        <v>1.1257427203310546</v>
      </c>
      <c r="V164" s="7">
        <f>EXP(-Parameters!$B$55*A164)</f>
        <v>8.9278016251610026E-2</v>
      </c>
      <c r="W164" s="7">
        <f>IF(U164&gt;0,U164^(1-Parameters!$B$52)/(1-Parameters!$B$52)*V164,-10+U164*1000)</f>
        <v>-0.24472187183438801</v>
      </c>
      <c r="X164" s="7"/>
      <c r="Y164" s="7"/>
      <c r="Z164" s="7"/>
      <c r="AA164" s="7"/>
    </row>
    <row r="165" spans="1:27" x14ac:dyDescent="0.25">
      <c r="A165">
        <f>A164+Parameters!$B$65</f>
        <v>161</v>
      </c>
      <c r="B165" s="9">
        <f t="shared" si="52"/>
        <v>5.5238794691412761E-2</v>
      </c>
      <c r="C165" s="9">
        <f t="shared" si="52"/>
        <v>2.532692781448906E-3</v>
      </c>
      <c r="D165" s="7">
        <f t="shared" si="52"/>
        <v>0.29265407832178425</v>
      </c>
      <c r="E165" s="7">
        <f>MAX((1-Parameters!$B$4)^Parameters!B$65*E164+B164*Parameters!B$65-Parameters!$B$5*B164^2/E164*Parameters!B$65,0.0001)</f>
        <v>0.81893271407236012</v>
      </c>
      <c r="F165" s="9">
        <f>(1-Parameters!$B$4)^Parameters!B$65*F164+C164*Parameters!B$65-Parameters!$B$5*C164^2/F164*Parameters!B$65</f>
        <v>3.7679450749995527E-2</v>
      </c>
      <c r="G165" s="7">
        <f>(1-Parameters!$B$4)^Parameters!B$65*G164+D164*Parameters!B$65-Parameters!$B$5*D164^2/G164*Parameters!B$65</f>
        <v>4.3389395291234996</v>
      </c>
      <c r="H165" s="7">
        <f>H164 *(1-Parameters!$B$4)-B164*(B164&lt;0)*Parameters!B$65</f>
        <v>0</v>
      </c>
      <c r="I165" s="7">
        <f>I164*(1+Parameters!$B$51)^Parameters!B$65</f>
        <v>13.006750215066596</v>
      </c>
      <c r="J165" s="7">
        <f>J164*(1+Parameters!$B$53)^Parameters!B$65</f>
        <v>218.77813930868649</v>
      </c>
      <c r="K165" s="23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384.12102390556896</v>
      </c>
      <c r="L165" s="8">
        <f>L164+K165*Parameters!B$65</f>
        <v>28931.68907040717</v>
      </c>
      <c r="M165" s="7">
        <f>M164+Parameters!$B$45*K165</f>
        <v>17.359013442244294</v>
      </c>
      <c r="N165" s="7">
        <f>'6states'!O165</f>
        <v>0.96348461071547276</v>
      </c>
      <c r="O165" s="7">
        <f>MAX(O164+(Parameters!B$31-K165)*Parameters!B$65,30)</f>
        <v>30</v>
      </c>
      <c r="P165" s="7">
        <f>Parameters!B$61*EXP(-Parameters!B$60*A165)+(1-Parameters!B$61)*(O165/Parameters!B$62)^-Parameters!B$63</f>
        <v>0.53267768515296376</v>
      </c>
      <c r="Q165" s="9">
        <f>1-P165/Parameters!$B$12</f>
        <v>0.73366115742351812</v>
      </c>
      <c r="R165" s="23">
        <f t="shared" si="49"/>
        <v>3.7546157005350804</v>
      </c>
      <c r="S165" s="7">
        <f>(Parameters!$B$19*(E165+Parameters!$B$20)^Q165+Parameters!$B$18*F165^Q165)^(1/Q165)</f>
        <v>0.53739990136648652</v>
      </c>
      <c r="T165" s="7">
        <f>(Parameters!$B$10*G165^Parameters!$B$9 + Parameters!$B$11*S165^Parameters!$B$9) ^ (Parameters!$B$7/Parameters!$B$9) * N165</f>
        <v>1.476168504864271</v>
      </c>
      <c r="U165" s="7">
        <f t="shared" si="50"/>
        <v>1.125742939069625</v>
      </c>
      <c r="V165" s="7">
        <f>EXP(-Parameters!$B$55*A165)</f>
        <v>8.7940045309291504E-2</v>
      </c>
      <c r="W165" s="7">
        <f>IF(U165&gt;0,U165^(1-Parameters!$B$52)/(1-Parameters!$B$52)*V165,-10+U165*1000)</f>
        <v>-0.24105431479423131</v>
      </c>
      <c r="X165" s="7"/>
      <c r="Y165" s="7"/>
      <c r="Z165" s="7"/>
      <c r="AA165" s="7"/>
    </row>
    <row r="166" spans="1:27" x14ac:dyDescent="0.25">
      <c r="A166">
        <f>A165+Parameters!$B$65</f>
        <v>162</v>
      </c>
      <c r="B166" s="9">
        <f t="shared" si="52"/>
        <v>5.5238794691412761E-2</v>
      </c>
      <c r="C166" s="9">
        <f t="shared" si="52"/>
        <v>2.532692781448906E-3</v>
      </c>
      <c r="D166" s="7">
        <f t="shared" si="52"/>
        <v>0.29265407832178425</v>
      </c>
      <c r="E166" s="7">
        <f>MAX((1-Parameters!$B$4)^Parameters!B$65*E165+B165*Parameters!B$65-Parameters!$B$5*B165^2/E165*Parameters!B$65,0.0001)</f>
        <v>0.81893466407087134</v>
      </c>
      <c r="F166" s="9">
        <f>(1-Parameters!$B$4)^Parameters!B$65*F165+C165*Parameters!B$65-Parameters!$B$5*C165^2/F165*Parameters!B$65</f>
        <v>3.767186652966046E-2</v>
      </c>
      <c r="G166" s="7">
        <f>(1-Parameters!$B$4)^Parameters!B$65*G165+D165*Parameters!B$65-Parameters!$B$5*D165^2/G165*Parameters!B$65</f>
        <v>4.3389352921203068</v>
      </c>
      <c r="H166" s="7">
        <f>H165 *(1-Parameters!$B$4)-B165*(B165&lt;0)*Parameters!B$65</f>
        <v>0</v>
      </c>
      <c r="I166" s="7">
        <f>I165*(1+Parameters!$B$51)^Parameters!B$65</f>
        <v>13.044469790690288</v>
      </c>
      <c r="J166" s="7">
        <f>J165*(1+Parameters!$B$53)^Parameters!B$65</f>
        <v>223.15370209486022</v>
      </c>
      <c r="K166" s="23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389.06954492076483</v>
      </c>
      <c r="L166" s="8">
        <f>L165+K166*Parameters!B$65</f>
        <v>29320.758615327934</v>
      </c>
      <c r="M166" s="7">
        <f>M165+Parameters!$B$45*K166</f>
        <v>17.592455169196754</v>
      </c>
      <c r="N166" s="7">
        <f>'6states'!O166</f>
        <v>0.96348357967252662</v>
      </c>
      <c r="O166" s="7">
        <f>MAX(O165+(Parameters!B$31-K166)*Parameters!B$65,30)</f>
        <v>30</v>
      </c>
      <c r="P166" s="7">
        <f>Parameters!B$61*EXP(-Parameters!B$60*A166)+(1-Parameters!B$61)*(O166/Parameters!B$62)^-Parameters!B$63</f>
        <v>0.53250525791488568</v>
      </c>
      <c r="Q166" s="9">
        <f>1-P166/Parameters!$B$12</f>
        <v>0.73374737104255716</v>
      </c>
      <c r="R166" s="23">
        <f t="shared" si="49"/>
        <v>3.7558314594513829</v>
      </c>
      <c r="S166" s="7">
        <f>(Parameters!$B$19*(E166+Parameters!$B$20)^Q166+Parameters!$B$18*F166^Q166)^(1/Q166)</f>
        <v>0.5374153637744874</v>
      </c>
      <c r="T166" s="7">
        <f>(Parameters!$B$10*G166^Parameters!$B$9 + Parameters!$B$11*S166^Parameters!$B$9) ^ (Parameters!$B$7/Parameters!$B$9) * N166</f>
        <v>1.4761686839097472</v>
      </c>
      <c r="U166" s="7">
        <f t="shared" si="50"/>
        <v>1.1257431181151012</v>
      </c>
      <c r="V166" s="7">
        <f>EXP(-Parameters!$B$55*A166)</f>
        <v>8.6622125957696541E-2</v>
      </c>
      <c r="W166" s="7">
        <f>IF(U166&gt;0,U166^(1-Parameters!$B$52)/(1-Parameters!$B$52)*V166,-10+U166*1000)</f>
        <v>-0.23744172501806482</v>
      </c>
      <c r="X166" s="7"/>
      <c r="Y166" s="7"/>
      <c r="Z166" s="7"/>
      <c r="AA166" s="7"/>
    </row>
    <row r="167" spans="1:27" x14ac:dyDescent="0.25">
      <c r="A167">
        <f>A166+Parameters!$B$65</f>
        <v>163</v>
      </c>
      <c r="B167" s="9">
        <f t="shared" si="52"/>
        <v>5.5238794691412761E-2</v>
      </c>
      <c r="C167" s="9">
        <f t="shared" si="52"/>
        <v>2.532692781448906E-3</v>
      </c>
      <c r="D167" s="7">
        <f t="shared" si="52"/>
        <v>0.29265407832178425</v>
      </c>
      <c r="E167" s="7">
        <f>MAX((1-Parameters!$B$4)^Parameters!B$65*E166+B166*Parameters!B$65-Parameters!$B$5*B166^2/E166*Parameters!B$65,0.0001)</f>
        <v>0.81893650028655096</v>
      </c>
      <c r="F167" s="9">
        <f>(1-Parameters!$B$4)^Parameters!B$65*F166+C166*Parameters!B$65-Parameters!$B$5*C166^2/F166*Parameters!B$65</f>
        <v>3.7664725083615312E-2</v>
      </c>
      <c r="G167" s="7">
        <f>(1-Parameters!$B$4)^Parameters!B$65*G166+D166*Parameters!B$65-Parameters!$B$5*D166^2/G166*Parameters!B$65</f>
        <v>4.3389313023493141</v>
      </c>
      <c r="H167" s="7">
        <f>H166 *(1-Parameters!$B$4)-B166*(B166&lt;0)*Parameters!B$65</f>
        <v>0</v>
      </c>
      <c r="I167" s="7">
        <f>I166*(1+Parameters!$B$51)^Parameters!B$65</f>
        <v>13.082298753083288</v>
      </c>
      <c r="J167" s="7">
        <f>J166*(1+Parameters!$B$53)^Parameters!B$65</f>
        <v>227.61677613675744</v>
      </c>
      <c r="K167" s="23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394.08266713876014</v>
      </c>
      <c r="L167" s="8">
        <f>L166+K167*Parameters!B$65</f>
        <v>29714.841282466692</v>
      </c>
      <c r="M167" s="7">
        <f>M166+Parameters!$B$45*K167</f>
        <v>17.828904769480008</v>
      </c>
      <c r="N167" s="7">
        <f>'6states'!O167</f>
        <v>0.96348253524401128</v>
      </c>
      <c r="O167" s="7">
        <f>MAX(O166+(Parameters!B$31-K167)*Parameters!B$65,30)</f>
        <v>30</v>
      </c>
      <c r="P167" s="7">
        <f>Parameters!B$61*EXP(-Parameters!B$60*A167)+(1-Parameters!B$61)*(O167/Parameters!B$62)^-Parameters!B$63</f>
        <v>0.53233742392435746</v>
      </c>
      <c r="Q167" s="9">
        <f>1-P167/Parameters!$B$12</f>
        <v>0.73383128803782127</v>
      </c>
      <c r="R167" s="23">
        <f t="shared" si="49"/>
        <v>3.7570155884516399</v>
      </c>
      <c r="S167" s="7">
        <f>(Parameters!$B$19*(E167+Parameters!$B$20)^Q167+Parameters!$B$18*F167^Q167)^(1/Q167)</f>
        <v>0.53743052460837271</v>
      </c>
      <c r="T167" s="7">
        <f>(Parameters!$B$10*G167^Parameters!$B$9 + Parameters!$B$11*S167^Parameters!$B$9) ^ (Parameters!$B$7/Parameters!$B$9) * N167</f>
        <v>1.476168821878729</v>
      </c>
      <c r="U167" s="7">
        <f t="shared" si="50"/>
        <v>1.1257432560840832</v>
      </c>
      <c r="V167" s="7">
        <f>EXP(-Parameters!$B$55*A167)</f>
        <v>8.5323957692323968E-2</v>
      </c>
      <c r="W167" s="7">
        <f>IF(U167&gt;0,U167^(1-Parameters!$B$52)/(1-Parameters!$B$52)*V167,-10+U167*1000)</f>
        <v>-0.23388327874440529</v>
      </c>
      <c r="X167" s="7"/>
      <c r="Y167" s="7"/>
      <c r="Z167" s="7"/>
      <c r="AA167" s="7"/>
    </row>
    <row r="168" spans="1:27" x14ac:dyDescent="0.25">
      <c r="A168">
        <f>A167+Parameters!$B$65</f>
        <v>164</v>
      </c>
      <c r="B168" s="9">
        <f t="shared" si="52"/>
        <v>5.5238794691412761E-2</v>
      </c>
      <c r="C168" s="9">
        <f t="shared" si="52"/>
        <v>2.532692781448906E-3</v>
      </c>
      <c r="D168" s="7">
        <f t="shared" si="52"/>
        <v>0.29265407832178425</v>
      </c>
      <c r="E168" s="7">
        <f>MAX((1-Parameters!$B$4)^Parameters!B$65*E167+B167*Parameters!B$65-Parameters!$B$5*B167^2/E167*Parameters!B$65,0.0001)</f>
        <v>0.81893822935861305</v>
      </c>
      <c r="F168" s="9">
        <f>(1-Parameters!$B$4)^Parameters!B$65*F167+C167*Parameters!B$65-Parameters!$B$5*C167^2/F167*Parameters!B$65</f>
        <v>3.7658000549641399E-2</v>
      </c>
      <c r="G168" s="7">
        <f>(1-Parameters!$B$4)^Parameters!B$65*G167+D167*Parameters!B$65-Parameters!$B$5*D167^2/G167*Parameters!B$65</f>
        <v>4.3389275453843075</v>
      </c>
      <c r="H168" s="7">
        <f>H167 *(1-Parameters!$B$4)-B167*(B167&lt;0)*Parameters!B$65</f>
        <v>0</v>
      </c>
      <c r="I168" s="7">
        <f>I167*(1+Parameters!$B$51)^Parameters!B$65</f>
        <v>13.120237419467228</v>
      </c>
      <c r="J168" s="7">
        <f>J167*(1+Parameters!$B$53)^Parameters!B$65</f>
        <v>232.16911165949259</v>
      </c>
      <c r="K168" s="23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399.16122737450473</v>
      </c>
      <c r="L168" s="8">
        <f>L167+K168*Parameters!B$65</f>
        <v>30114.002509841197</v>
      </c>
      <c r="M168" s="7">
        <f>M167+Parameters!$B$45*K168</f>
        <v>18.06840150590471</v>
      </c>
      <c r="N168" s="7">
        <f>'6states'!O168</f>
        <v>0.96348147726366273</v>
      </c>
      <c r="O168" s="7">
        <f>MAX(O167+(Parameters!B$31-K168)*Parameters!B$65,30)</f>
        <v>30</v>
      </c>
      <c r="P168" s="7">
        <f>Parameters!B$61*EXP(-Parameters!B$60*A168)+(1-Parameters!B$61)*(O168/Parameters!B$62)^-Parameters!B$63</f>
        <v>0.53217406082296692</v>
      </c>
      <c r="Q168" s="9">
        <f>1-P168/Parameters!$B$12</f>
        <v>0.73391296958851648</v>
      </c>
      <c r="R168" s="23">
        <f t="shared" si="49"/>
        <v>3.7581688910337925</v>
      </c>
      <c r="S168" s="7">
        <f>(Parameters!$B$19*(E168+Parameters!$B$20)^Q168+Parameters!$B$18*F168^Q168)^(1/Q168)</f>
        <v>0.53744538537907161</v>
      </c>
      <c r="T168" s="7">
        <f>(Parameters!$B$10*G168^Parameters!$B$9 + Parameters!$B$11*S168^Parameters!$B$9) ^ (Parameters!$B$7/Parameters!$B$9) * N168</f>
        <v>1.47616891751271</v>
      </c>
      <c r="U168" s="7">
        <f t="shared" si="50"/>
        <v>1.1257433517180639</v>
      </c>
      <c r="V168" s="7">
        <f>EXP(-Parameters!$B$55*A168)</f>
        <v>8.4045244512203479E-2</v>
      </c>
      <c r="W168" s="7">
        <f>IF(U168&gt;0,U168^(1-Parameters!$B$52)/(1-Parameters!$B$52)*V168,-10+U168*1000)</f>
        <v>-0.23037816454568769</v>
      </c>
      <c r="X168" s="7"/>
      <c r="Y168" s="7"/>
      <c r="Z168" s="7"/>
      <c r="AA168" s="7"/>
    </row>
    <row r="169" spans="1:27" x14ac:dyDescent="0.25">
      <c r="A169">
        <f>A168+Parameters!$B$65</f>
        <v>165</v>
      </c>
      <c r="B169" s="9">
        <f t="shared" si="52"/>
        <v>5.5238794691412761E-2</v>
      </c>
      <c r="C169" s="9">
        <f t="shared" si="52"/>
        <v>2.532692781448906E-3</v>
      </c>
      <c r="D169" s="7">
        <f t="shared" si="52"/>
        <v>0.29265407832178425</v>
      </c>
      <c r="E169" s="7">
        <f>MAX((1-Parameters!$B$4)^Parameters!B$65*E168+B168*Parameters!B$65-Parameters!$B$5*B168^2/E168*Parameters!B$65,0.0001)</f>
        <v>0.81893985753887855</v>
      </c>
      <c r="F169" s="9">
        <f>(1-Parameters!$B$4)^Parameters!B$65*F168+C168*Parameters!B$65-Parameters!$B$5*C168^2/F168*Parameters!B$65</f>
        <v>3.765166857754236E-2</v>
      </c>
      <c r="G169" s="7">
        <f>(1-Parameters!$B$4)^Parameters!B$65*G168+D168*Parameters!B$65-Parameters!$B$5*D168^2/G168*Parameters!B$65</f>
        <v>4.3389240076408626</v>
      </c>
      <c r="H169" s="7">
        <f>H168 *(1-Parameters!$B$4)-B168*(B168&lt;0)*Parameters!B$65</f>
        <v>0</v>
      </c>
      <c r="I169" s="7">
        <f>I168*(1+Parameters!$B$51)^Parameters!B$65</f>
        <v>13.158286107983683</v>
      </c>
      <c r="J169" s="7">
        <f>J168*(1+Parameters!$B$53)^Parameters!B$65</f>
        <v>236.81249389268245</v>
      </c>
      <c r="K169" s="23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404.30607325459238</v>
      </c>
      <c r="L169" s="8">
        <f>L168+K169*Parameters!B$65</f>
        <v>30518.30858309579</v>
      </c>
      <c r="M169" s="7">
        <f>M168+Parameters!$B$45*K169</f>
        <v>18.310985149857466</v>
      </c>
      <c r="N169" s="7">
        <f>'6states'!O169</f>
        <v>0.96348040556323822</v>
      </c>
      <c r="O169" s="7">
        <f>MAX(O168+(Parameters!B$31-K169)*Parameters!B$65,30)</f>
        <v>30</v>
      </c>
      <c r="P169" s="7">
        <f>Parameters!B$61*EXP(-Parameters!B$60*A169)+(1-Parameters!B$61)*(O169/Parameters!B$62)^-Parameters!B$63</f>
        <v>0.53201504951177814</v>
      </c>
      <c r="Q169" s="9">
        <f>1-P169/Parameters!$B$12</f>
        <v>0.73399247524411093</v>
      </c>
      <c r="R169" s="23">
        <f t="shared" si="49"/>
        <v>3.7592921512941571</v>
      </c>
      <c r="S169" s="7">
        <f>(Parameters!$B$19*(E169+Parameters!$B$20)^Q169+Parameters!$B$18*F169^Q169)^(1/Q169)</f>
        <v>0.53745994794447083</v>
      </c>
      <c r="T169" s="7">
        <f>(Parameters!$B$10*G169^Parameters!$B$9 + Parameters!$B$11*S169^Parameters!$B$9) ^ (Parameters!$B$7/Parameters!$B$9) * N169</f>
        <v>1.4761689696687648</v>
      </c>
      <c r="U169" s="7">
        <f t="shared" si="50"/>
        <v>1.125743403874119</v>
      </c>
      <c r="V169" s="7">
        <f>EXP(-Parameters!$B$55*A169)</f>
        <v>8.2785694852402933E-2</v>
      </c>
      <c r="W169" s="7">
        <f>IF(U169&gt;0,U169^(1-Parameters!$B$52)/(1-Parameters!$B$52)*V169,-10+U169*1000)</f>
        <v>-0.22692558314471023</v>
      </c>
      <c r="X169" s="7"/>
      <c r="Y169" s="7"/>
      <c r="Z169" s="7"/>
      <c r="AA169" s="7"/>
    </row>
    <row r="170" spans="1:27" x14ac:dyDescent="0.25">
      <c r="A170">
        <f>A169+Parameters!$B$65</f>
        <v>166</v>
      </c>
      <c r="B170" s="9">
        <f t="shared" ref="B170:D185" si="53">B169</f>
        <v>5.5238794691412761E-2</v>
      </c>
      <c r="C170" s="9">
        <f t="shared" si="53"/>
        <v>2.532692781448906E-3</v>
      </c>
      <c r="D170" s="7">
        <f t="shared" si="53"/>
        <v>0.29265407832178425</v>
      </c>
      <c r="E170" s="7">
        <f>MAX((1-Parameters!$B$4)^Parameters!B$65*E169+B169*Parameters!B$65-Parameters!$B$5*B169^2/E169*Parameters!B$65,0.0001)</f>
        <v>0.81894139071437932</v>
      </c>
      <c r="F170" s="9">
        <f>(1-Parameters!$B$4)^Parameters!B$65*F169+C169*Parameters!B$65-Parameters!$B$5*C169^2/F169*Parameters!B$65</f>
        <v>3.7645706240584303E-2</v>
      </c>
      <c r="G170" s="7">
        <f>(1-Parameters!$B$4)^Parameters!B$65*G169+D169*Parameters!B$65-Parameters!$B$5*D169^2/G169*Parameters!B$65</f>
        <v>4.338920676327219</v>
      </c>
      <c r="H170" s="7">
        <f>H169 *(1-Parameters!$B$4)-B169*(B169&lt;0)*Parameters!B$65</f>
        <v>0</v>
      </c>
      <c r="I170" s="7">
        <f>I169*(1+Parameters!$B$51)^Parameters!B$65</f>
        <v>13.196445137696834</v>
      </c>
      <c r="J170" s="7">
        <f>J169*(1+Parameters!$B$53)^Parameters!B$65</f>
        <v>241.54874377053611</v>
      </c>
      <c r="K170" s="23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409.51806336154061</v>
      </c>
      <c r="L170" s="8">
        <f>L169+K170*Parameters!B$65</f>
        <v>30927.826646457332</v>
      </c>
      <c r="M170" s="7">
        <f>M169+Parameters!$B$45*K170</f>
        <v>18.556695987874392</v>
      </c>
      <c r="N170" s="7">
        <f>'6states'!O170</f>
        <v>0.96347931997245284</v>
      </c>
      <c r="O170" s="7">
        <f>MAX(O169+(Parameters!B$31-K170)*Parameters!B$65,30)</f>
        <v>30</v>
      </c>
      <c r="P170" s="7">
        <f>Parameters!B$61*EXP(-Parameters!B$60*A170)+(1-Parameters!B$61)*(O170/Parameters!B$62)^-Parameters!B$63</f>
        <v>0.53186027406450298</v>
      </c>
      <c r="Q170" s="9">
        <f>1-P170/Parameters!$B$12</f>
        <v>0.73406986296774845</v>
      </c>
      <c r="R170" s="23">
        <f t="shared" si="49"/>
        <v>3.7603861343429523</v>
      </c>
      <c r="S170" s="7">
        <f>(Parameters!$B$19*(E170+Parameters!$B$20)^Q170+Parameters!$B$18*F170^Q170)^(1/Q170)</f>
        <v>0.53747421447706845</v>
      </c>
      <c r="T170" s="7">
        <f>(Parameters!$B$10*G170^Parameters!$B$9 + Parameters!$B$11*S170^Parameters!$B$9) ^ (Parameters!$B$7/Parameters!$B$9) * N170</f>
        <v>1.4761689773108304</v>
      </c>
      <c r="U170" s="7">
        <f t="shared" si="50"/>
        <v>1.1257434115161846</v>
      </c>
      <c r="V170" s="7">
        <f>EXP(-Parameters!$B$55*A170)</f>
        <v>8.1545021517547445E-2</v>
      </c>
      <c r="W170" s="7">
        <f>IF(U170&gt;0,U170^(1-Parameters!$B$52)/(1-Parameters!$B$52)*V170,-10+U170*1000)</f>
        <v>-0.22352474723371782</v>
      </c>
      <c r="X170" s="7"/>
      <c r="Y170" s="7"/>
      <c r="Z170" s="7"/>
      <c r="AA170" s="7"/>
    </row>
    <row r="171" spans="1:27" x14ac:dyDescent="0.25">
      <c r="A171">
        <f>A170+Parameters!$B$65</f>
        <v>167</v>
      </c>
      <c r="B171" s="9">
        <f t="shared" si="53"/>
        <v>5.5238794691412761E-2</v>
      </c>
      <c r="C171" s="9">
        <f t="shared" si="53"/>
        <v>2.532692781448906E-3</v>
      </c>
      <c r="D171" s="7">
        <f t="shared" si="53"/>
        <v>0.29265407832178425</v>
      </c>
      <c r="E171" s="7">
        <f>MAX((1-Parameters!$B$4)^Parameters!B$65*E170+B170*Parameters!B$65-Parameters!$B$5*B170^2/E170*Parameters!B$65,0.0001)</f>
        <v>0.81894283442864246</v>
      </c>
      <c r="F171" s="9">
        <f>(1-Parameters!$B$4)^Parameters!B$65*F170+C170*Parameters!B$65-Parameters!$B$5*C170^2/F170*Parameters!B$65</f>
        <v>3.7640091952140818E-2</v>
      </c>
      <c r="G171" s="7">
        <f>(1-Parameters!$B$4)^Parameters!B$65*G170+D170*Parameters!B$65-Parameters!$B$5*D170^2/G170*Parameters!B$65</f>
        <v>4.3389175393980297</v>
      </c>
      <c r="H171" s="7">
        <f>H170 *(1-Parameters!$B$4)-B170*(B170&lt;0)*Parameters!B$65</f>
        <v>0</v>
      </c>
      <c r="I171" s="7">
        <f>I170*(1+Parameters!$B$51)^Parameters!B$65</f>
        <v>13.234714828596154</v>
      </c>
      <c r="J171" s="7">
        <f>J170*(1+Parameters!$B$53)^Parameters!B$65</f>
        <v>246.37971864594684</v>
      </c>
      <c r="K171" s="23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414.79806737974479</v>
      </c>
      <c r="L171" s="8">
        <f>L170+K171*Parameters!B$65</f>
        <v>31342.624713837078</v>
      </c>
      <c r="M171" s="7">
        <f>M170+Parameters!$B$45*K171</f>
        <v>18.805574828302237</v>
      </c>
      <c r="N171" s="7">
        <f>'6states'!O171</f>
        <v>0.96347822031891794</v>
      </c>
      <c r="O171" s="7">
        <f>MAX(O170+(Parameters!B$31-K171)*Parameters!B$65,30)</f>
        <v>30</v>
      </c>
      <c r="P171" s="7">
        <f>Parameters!B$61*EXP(-Parameters!B$60*A171)+(1-Parameters!B$61)*(O171/Parameters!B$62)^-Parameters!B$63</f>
        <v>0.53170962164298585</v>
      </c>
      <c r="Q171" s="9">
        <f>1-P171/Parameters!$B$12</f>
        <v>0.73414518917850713</v>
      </c>
      <c r="R171" s="23">
        <f t="shared" si="49"/>
        <v>3.7614515867137945</v>
      </c>
      <c r="S171" s="7">
        <f>(Parameters!$B$19*(E171+Parameters!$B$20)^Q171+Parameters!$B$18*F171^Q171)^(1/Q171)</f>
        <v>0.53748818743387272</v>
      </c>
      <c r="T171" s="7">
        <f>(Parameters!$B$10*G171^Parameters!$B$9 + Parameters!$B$11*S171^Parameters!$B$9) ^ (Parameters!$B$7/Parameters!$B$9) * N171</f>
        <v>1.4761689395015465</v>
      </c>
      <c r="U171" s="7">
        <f t="shared" si="50"/>
        <v>1.1257433737069005</v>
      </c>
      <c r="V171" s="7">
        <f>EXP(-Parameters!$B$55*A171)</f>
        <v>8.0322941616334922E-2</v>
      </c>
      <c r="W171" s="7">
        <f>IF(U171&gt;0,U171^(1-Parameters!$B$52)/(1-Parameters!$B$52)*V171,-10+U171*1000)</f>
        <v>-0.2201748812960925</v>
      </c>
      <c r="X171" s="7"/>
      <c r="Y171" s="7"/>
      <c r="Z171" s="7"/>
      <c r="AA171" s="7"/>
    </row>
    <row r="172" spans="1:27" x14ac:dyDescent="0.25">
      <c r="A172">
        <f>A171+Parameters!$B$65</f>
        <v>168</v>
      </c>
      <c r="B172" s="9">
        <f t="shared" si="53"/>
        <v>5.5238794691412761E-2</v>
      </c>
      <c r="C172" s="9">
        <f t="shared" si="53"/>
        <v>2.532692781448906E-3</v>
      </c>
      <c r="D172" s="7">
        <f t="shared" si="53"/>
        <v>0.29265407832178425</v>
      </c>
      <c r="E172" s="7">
        <f>MAX((1-Parameters!$B$4)^Parameters!B$65*E171+B171*Parameters!B$65-Parameters!$B$5*B171^2/E171*Parameters!B$65,0.0001)</f>
        <v>0.81894419390173334</v>
      </c>
      <c r="F172" s="9">
        <f>(1-Parameters!$B$4)^Parameters!B$65*F171+C171*Parameters!B$65-Parameters!$B$5*C171^2/F171*Parameters!B$65</f>
        <v>3.7634805387235147E-2</v>
      </c>
      <c r="G172" s="7">
        <f>(1-Parameters!$B$4)^Parameters!B$65*G171+D171*Parameters!B$65-Parameters!$B$5*D171^2/G171*Parameters!B$65</f>
        <v>4.3389145855108051</v>
      </c>
      <c r="H172" s="7">
        <f>H171 *(1-Parameters!$B$4)-B171*(B171&lt;0)*Parameters!B$65</f>
        <v>0</v>
      </c>
      <c r="I172" s="7">
        <f>I171*(1+Parameters!$B$51)^Parameters!B$65</f>
        <v>13.273095501599082</v>
      </c>
      <c r="J172" s="7">
        <f>J171*(1+Parameters!$B$53)^Parameters!B$65</f>
        <v>251.30731301886578</v>
      </c>
      <c r="K172" s="23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420.14696624314206</v>
      </c>
      <c r="L172" s="8">
        <f>L171+K172*Parameters!B$65</f>
        <v>31762.771680080219</v>
      </c>
      <c r="M172" s="7">
        <f>M171+Parameters!$B$45*K172</f>
        <v>19.057663008048124</v>
      </c>
      <c r="N172" s="7">
        <f>'6states'!O172</f>
        <v>0.96347710642808271</v>
      </c>
      <c r="O172" s="7">
        <f>MAX(O171+(Parameters!B$31-K172)*Parameters!B$65,30)</f>
        <v>30</v>
      </c>
      <c r="P172" s="7">
        <f>Parameters!B$61*EXP(-Parameters!B$60*A172)+(1-Parameters!B$61)*(O172/Parameters!B$62)^-Parameters!B$63</f>
        <v>0.53156298241493916</v>
      </c>
      <c r="Q172" s="9">
        <f>1-P172/Parameters!$B$12</f>
        <v>0.73421850879253037</v>
      </c>
      <c r="R172" s="23">
        <f t="shared" si="49"/>
        <v>3.7624892367670468</v>
      </c>
      <c r="S172" s="7">
        <f>(Parameters!$B$19*(E172+Parameters!$B$20)^Q172+Parameters!$B$18*F172^Q172)^(1/Q172)</f>
        <v>0.53750186952840906</v>
      </c>
      <c r="T172" s="7">
        <f>(Parameters!$B$10*G172^Parameters!$B$9 + Parameters!$B$11*S172^Parameters!$B$9) ^ (Parameters!$B$7/Parameters!$B$9) * N172</f>
        <v>1.4761688553946228</v>
      </c>
      <c r="U172" s="7">
        <f t="shared" si="50"/>
        <v>1.1257432895999768</v>
      </c>
      <c r="V172" s="7">
        <f>EXP(-Parameters!$B$55*A172)</f>
        <v>7.9119176497032498E-2</v>
      </c>
      <c r="W172" s="7">
        <f>IF(U172&gt;0,U172^(1-Parameters!$B$52)/(1-Parameters!$B$52)*V172,-10+U172*1000)</f>
        <v>-0.21687522143061924</v>
      </c>
      <c r="X172" s="7"/>
      <c r="Y172" s="7"/>
      <c r="Z172" s="7"/>
      <c r="AA172" s="7"/>
    </row>
    <row r="173" spans="1:27" x14ac:dyDescent="0.25">
      <c r="A173">
        <f>A172+Parameters!$B$65</f>
        <v>169</v>
      </c>
      <c r="B173" s="9">
        <f t="shared" si="53"/>
        <v>5.5238794691412761E-2</v>
      </c>
      <c r="C173" s="9">
        <f t="shared" si="53"/>
        <v>2.532692781448906E-3</v>
      </c>
      <c r="D173" s="7">
        <f t="shared" si="53"/>
        <v>0.29265407832178425</v>
      </c>
      <c r="E173" s="7">
        <f>MAX((1-Parameters!$B$4)^Parameters!B$65*E172+B172*Parameters!B$65-Parameters!$B$5*B172^2/E172*Parameters!B$65,0.0001)</f>
        <v>0.81894547404912932</v>
      </c>
      <c r="F173" s="9">
        <f>(1-Parameters!$B$4)^Parameters!B$65*F172+C172*Parameters!B$65-Parameters!$B$5*C172^2/F172*Parameters!B$65</f>
        <v>3.7629827408689857E-2</v>
      </c>
      <c r="G173" s="7">
        <f>(1-Parameters!$B$4)^Parameters!B$65*G172+D172*Parameters!B$65-Parameters!$B$5*D172^2/G172*Parameters!B$65</f>
        <v>4.3389118039849031</v>
      </c>
      <c r="H173" s="7">
        <f>H172 *(1-Parameters!$B$4)-B172*(B172&lt;0)*Parameters!B$65</f>
        <v>0</v>
      </c>
      <c r="I173" s="7">
        <f>I172*(1+Parameters!$B$51)^Parameters!B$65</f>
        <v>13.311587478553719</v>
      </c>
      <c r="J173" s="7">
        <f>J172*(1+Parameters!$B$53)^Parameters!B$65</f>
        <v>256.33345927924313</v>
      </c>
      <c r="K173" s="23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425.56565228461307</v>
      </c>
      <c r="L173" s="8">
        <f>L172+K173*Parameters!B$65</f>
        <v>32188.337332364834</v>
      </c>
      <c r="M173" s="7">
        <f>M172+Parameters!$B$45*K173</f>
        <v>19.313002399418892</v>
      </c>
      <c r="N173" s="7">
        <f>'6states'!O173</f>
        <v>0.96347597812317654</v>
      </c>
      <c r="O173" s="7">
        <f>MAX(O172+(Parameters!B$31-K173)*Parameters!B$65,30)</f>
        <v>30</v>
      </c>
      <c r="P173" s="7">
        <f>Parameters!B$61*EXP(-Parameters!B$60*A173)+(1-Parameters!B$61)*(O173/Parameters!B$62)^-Parameters!B$63</f>
        <v>0.53142024947387156</v>
      </c>
      <c r="Q173" s="9">
        <f>1-P173/Parameters!$B$12</f>
        <v>0.73428987526306422</v>
      </c>
      <c r="R173" s="23">
        <f t="shared" si="49"/>
        <v>3.7634997950870037</v>
      </c>
      <c r="S173" s="7">
        <f>(Parameters!$B$19*(E173+Parameters!$B$20)^Q173+Parameters!$B$18*F173^Q173)^(1/Q173)</f>
        <v>0.53751526370469715</v>
      </c>
      <c r="T173" s="7">
        <f>(Parameters!$B$10*G173^Parameters!$B$9 + Parameters!$B$11*S173^Parameters!$B$9) ^ (Parameters!$B$7/Parameters!$B$9) * N173</f>
        <v>1.4761687242276964</v>
      </c>
      <c r="U173" s="7">
        <f t="shared" si="50"/>
        <v>1.1257431584330506</v>
      </c>
      <c r="V173" s="7">
        <f>EXP(-Parameters!$B$55*A173)</f>
        <v>7.79334516839401E-2</v>
      </c>
      <c r="W173" s="7">
        <f>IF(U173&gt;0,U173^(1-Parameters!$B$52)/(1-Parameters!$B$52)*V173,-10+U173*1000)</f>
        <v>-0.21362501517829849</v>
      </c>
      <c r="X173" s="7"/>
      <c r="Y173" s="7"/>
      <c r="Z173" s="7"/>
      <c r="AA173" s="7"/>
    </row>
    <row r="174" spans="1:27" x14ac:dyDescent="0.25">
      <c r="A174">
        <f>A173+Parameters!$B$65</f>
        <v>170</v>
      </c>
      <c r="B174" s="9">
        <f t="shared" si="53"/>
        <v>5.5238794691412761E-2</v>
      </c>
      <c r="C174" s="9">
        <f t="shared" si="53"/>
        <v>2.532692781448906E-3</v>
      </c>
      <c r="D174" s="7">
        <f t="shared" si="53"/>
        <v>0.29265407832178425</v>
      </c>
      <c r="E174" s="7">
        <f>MAX((1-Parameters!$B$4)^Parameters!B$65*E173+B173*Parameters!B$65-Parameters!$B$5*B173^2/E173*Parameters!B$65,0.0001)</f>
        <v>0.8189466794994914</v>
      </c>
      <c r="F174" s="9">
        <f>(1-Parameters!$B$4)^Parameters!B$65*F173+C173*Parameters!B$65-Parameters!$B$5*C173^2/F173*Parameters!B$65</f>
        <v>3.7625139997611932E-2</v>
      </c>
      <c r="G174" s="7">
        <f>(1-Parameters!$B$4)^Parameters!B$65*G173+D173*Parameters!B$65-Parameters!$B$5*D173^2/G173*Parameters!B$65</f>
        <v>4.3389091847629073</v>
      </c>
      <c r="H174" s="7">
        <f>H173 *(1-Parameters!$B$4)-B173*(B173&lt;0)*Parameters!B$65</f>
        <v>0</v>
      </c>
      <c r="I174" s="7">
        <f>I173*(1+Parameters!$B$51)^Parameters!B$65</f>
        <v>13.350191082241523</v>
      </c>
      <c r="J174" s="7">
        <f>J173*(1+Parameters!$B$53)^Parameters!B$65</f>
        <v>261.46012846482802</v>
      </c>
      <c r="K174" s="23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431.05502938715256</v>
      </c>
      <c r="L174" s="8">
        <f>L173+K174*Parameters!B$65</f>
        <v>32619.392361751987</v>
      </c>
      <c r="M174" s="7">
        <f>M173+Parameters!$B$45*K174</f>
        <v>19.571635417051183</v>
      </c>
      <c r="N174" s="7">
        <f>'6states'!O174</f>
        <v>0.96347483522515542</v>
      </c>
      <c r="O174" s="7">
        <f>MAX(O173+(Parameters!B$31-K174)*Parameters!B$65,30)</f>
        <v>30</v>
      </c>
      <c r="P174" s="7">
        <f>Parameters!B$61*EXP(-Parameters!B$60*A174)+(1-Parameters!B$61)*(O174/Parameters!B$62)^-Parameters!B$63</f>
        <v>0.53128131876114748</v>
      </c>
      <c r="Q174" s="9">
        <f>1-P174/Parameters!$B$12</f>
        <v>0.7343593406194262</v>
      </c>
      <c r="R174" s="23">
        <f t="shared" si="49"/>
        <v>3.7644839548727971</v>
      </c>
      <c r="S174" s="7">
        <f>(Parameters!$B$19*(E174+Parameters!$B$20)^Q174+Parameters!$B$18*F174^Q174)^(1/Q174)</f>
        <v>0.53752837311307078</v>
      </c>
      <c r="T174" s="7">
        <f>(Parameters!$B$10*G174^Parameters!$B$9 + Parameters!$B$11*S174^Parameters!$B$9) ^ (Parameters!$B$7/Parameters!$B$9) * N174</f>
        <v>1.4761685453156541</v>
      </c>
      <c r="U174" s="7">
        <f t="shared" si="50"/>
        <v>1.1257429795210081</v>
      </c>
      <c r="V174" s="7">
        <f>EXP(-Parameters!$B$55*A174)</f>
        <v>7.6765496814806045E-2</v>
      </c>
      <c r="W174" s="7">
        <f>IF(U174&gt;0,U174^(1-Parameters!$B$52)/(1-Parameters!$B$52)*V174,-10+U174*1000)</f>
        <v>-0.21042352135167255</v>
      </c>
      <c r="X174" s="7"/>
      <c r="Y174" s="7"/>
      <c r="Z174" s="7"/>
      <c r="AA174" s="7"/>
    </row>
    <row r="175" spans="1:27" x14ac:dyDescent="0.25">
      <c r="A175">
        <f>A174+Parameters!$B$65</f>
        <v>171</v>
      </c>
      <c r="B175" s="9">
        <f t="shared" si="53"/>
        <v>5.5238794691412761E-2</v>
      </c>
      <c r="C175" s="9">
        <f t="shared" si="53"/>
        <v>2.532692781448906E-3</v>
      </c>
      <c r="D175" s="7">
        <f t="shared" si="53"/>
        <v>0.29265407832178425</v>
      </c>
      <c r="E175" s="7">
        <f>MAX((1-Parameters!$B$4)^Parameters!B$65*E174+B174*Parameters!B$65-Parameters!$B$5*B174^2/E174*Parameters!B$65,0.0001)</f>
        <v>0.81894781461140032</v>
      </c>
      <c r="F175" s="9">
        <f>(1-Parameters!$B$4)^Parameters!B$65*F174+C174*Parameters!B$65-Parameters!$B$5*C174^2/F174*Parameters!B$65</f>
        <v>3.7620726187957351E-2</v>
      </c>
      <c r="G175" s="7">
        <f>(1-Parameters!$B$4)^Parameters!B$65*G174+D174*Parameters!B$65-Parameters!$B$5*D174^2/G174*Parameters!B$65</f>
        <v>4.3389067183742602</v>
      </c>
      <c r="H175" s="7">
        <f>H174 *(1-Parameters!$B$4)-B174*(B174&lt;0)*Parameters!B$65</f>
        <v>0</v>
      </c>
      <c r="I175" s="7">
        <f>I174*(1+Parameters!$B$51)^Parameters!B$65</f>
        <v>13.388906636380021</v>
      </c>
      <c r="J175" s="7">
        <f>J174*(1+Parameters!$B$53)^Parameters!B$65</f>
        <v>266.68933103412456</v>
      </c>
      <c r="K175" s="23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436.61601313684258</v>
      </c>
      <c r="L175" s="8">
        <f>L174+K175*Parameters!B$65</f>
        <v>33056.008374888828</v>
      </c>
      <c r="M175" s="7">
        <f>M174+Parameters!$B$45*K175</f>
        <v>19.833605024933288</v>
      </c>
      <c r="N175" s="7">
        <f>'6states'!O175</f>
        <v>0.96347367755264868</v>
      </c>
      <c r="O175" s="7">
        <f>MAX(O174+(Parameters!B$31-K175)*Parameters!B$65,30)</f>
        <v>30</v>
      </c>
      <c r="P175" s="7">
        <f>Parameters!B$61*EXP(-Parameters!B$60*A175)+(1-Parameters!B$61)*(O175/Parameters!B$62)^-Parameters!B$63</f>
        <v>0.53114608899012461</v>
      </c>
      <c r="Q175" s="9">
        <f>1-P175/Parameters!$B$12</f>
        <v>0.73442695550493764</v>
      </c>
      <c r="R175" s="23">
        <f t="shared" si="49"/>
        <v>3.7654423923230373</v>
      </c>
      <c r="S175" s="7">
        <f>(Parameters!$B$19*(E175+Parameters!$B$20)^Q175+Parameters!$B$18*F175^Q175)^(1/Q175)</f>
        <v>0.53754120108772252</v>
      </c>
      <c r="T175" s="7">
        <f>(Parameters!$B$10*G175^Parameters!$B$9 + Parameters!$B$11*S175^Parameters!$B$9) ^ (Parameters!$B$7/Parameters!$B$9) * N175</f>
        <v>1.4761683180443841</v>
      </c>
      <c r="U175" s="7">
        <f t="shared" si="50"/>
        <v>1.1257427522497383</v>
      </c>
      <c r="V175" s="7">
        <f>EXP(-Parameters!$B$55*A175)</f>
        <v>7.5615045579180543E-2</v>
      </c>
      <c r="W175" s="7">
        <f>IF(U175&gt;0,U175^(1-Parameters!$B$52)/(1-Parameters!$B$52)*V175,-10+U175*1000)</f>
        <v>-0.20727000986663582</v>
      </c>
      <c r="X175" s="7"/>
      <c r="Y175" s="7"/>
      <c r="Z175" s="7"/>
      <c r="AA175" s="7"/>
    </row>
    <row r="176" spans="1:27" x14ac:dyDescent="0.25">
      <c r="A176">
        <f>A175+Parameters!$B$65</f>
        <v>172</v>
      </c>
      <c r="B176" s="9">
        <f t="shared" si="53"/>
        <v>5.5238794691412761E-2</v>
      </c>
      <c r="C176" s="9">
        <f t="shared" si="53"/>
        <v>2.532692781448906E-3</v>
      </c>
      <c r="D176" s="7">
        <f t="shared" si="53"/>
        <v>0.29265407832178425</v>
      </c>
      <c r="E176" s="7">
        <f>MAX((1-Parameters!$B$4)^Parameters!B$65*E175+B175*Parameters!B$65-Parameters!$B$5*B175^2/E175*Parameters!B$65,0.0001)</f>
        <v>0.81894888348911465</v>
      </c>
      <c r="F176" s="9">
        <f>(1-Parameters!$B$4)^Parameters!B$65*F175+C175*Parameters!B$65-Parameters!$B$5*C175^2/F175*Parameters!B$65</f>
        <v>3.7616570004934485E-2</v>
      </c>
      <c r="G176" s="7">
        <f>(1-Parameters!$B$4)^Parameters!B$65*G175+D175*Parameters!B$65-Parameters!$B$5*D175^2/G175*Parameters!B$65</f>
        <v>4.3389043959010225</v>
      </c>
      <c r="H176" s="7">
        <f>H175 *(1-Parameters!$B$4)-B175*(B175&lt;0)*Parameters!B$65</f>
        <v>0</v>
      </c>
      <c r="I176" s="7">
        <f>I175*(1+Parameters!$B$51)^Parameters!B$65</f>
        <v>13.427734465625521</v>
      </c>
      <c r="J176" s="7">
        <f>J175*(1+Parameters!$B$53)^Parameters!B$65</f>
        <v>272.02311765480704</v>
      </c>
      <c r="K176" s="23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442.24953097765712</v>
      </c>
      <c r="L176" s="8">
        <f>L175+K176*Parameters!B$65</f>
        <v>33498.257905866485</v>
      </c>
      <c r="M176" s="7">
        <f>M175+Parameters!$B$45*K176</f>
        <v>20.098954743519883</v>
      </c>
      <c r="N176" s="7">
        <f>'6states'!O176</f>
        <v>0.96347250492190861</v>
      </c>
      <c r="O176" s="7">
        <f>MAX(O175+(Parameters!B$31-K176)*Parameters!B$65,30)</f>
        <v>30</v>
      </c>
      <c r="P176" s="7">
        <f>Parameters!B$61*EXP(-Parameters!B$60*A176)+(1-Parameters!B$61)*(O176/Parameters!B$62)^-Parameters!B$63</f>
        <v>0.53101446157231069</v>
      </c>
      <c r="Q176" s="9">
        <f>1-P176/Parameters!$B$12</f>
        <v>0.73449276921384465</v>
      </c>
      <c r="R176" s="23">
        <f t="shared" si="49"/>
        <v>3.7663757670141171</v>
      </c>
      <c r="S176" s="7">
        <f>(Parameters!$B$19*(E176+Parameters!$B$20)^Q176+Parameters!$B$18*F176^Q176)^(1/Q176)</f>
        <v>0.53755375112586534</v>
      </c>
      <c r="T176" s="7">
        <f>(Parameters!$B$10*G176^Parameters!$B$9 + Parameters!$B$11*S176^Parameters!$B$9) ^ (Parameters!$B$7/Parameters!$B$9) * N176</f>
        <v>1.4761680418649379</v>
      </c>
      <c r="U176" s="7">
        <f t="shared" si="50"/>
        <v>1.1257424760702919</v>
      </c>
      <c r="V176" s="7">
        <f>EXP(-Parameters!$B$55*A176)</f>
        <v>7.4481835657693174E-2</v>
      </c>
      <c r="W176" s="7">
        <f>IF(U176&gt;0,U176^(1-Parameters!$B$52)/(1-Parameters!$B$52)*V176,-10+U176*1000)</f>
        <v>-0.20416376157669708</v>
      </c>
      <c r="X176" s="7"/>
      <c r="Y176" s="7"/>
      <c r="Z176" s="7"/>
      <c r="AA176" s="7"/>
    </row>
    <row r="177" spans="1:27" x14ac:dyDescent="0.25">
      <c r="A177">
        <f>A176+Parameters!$B$65</f>
        <v>173</v>
      </c>
      <c r="B177" s="9">
        <f t="shared" si="53"/>
        <v>5.5238794691412761E-2</v>
      </c>
      <c r="C177" s="9">
        <f t="shared" si="53"/>
        <v>2.532692781448906E-3</v>
      </c>
      <c r="D177" s="7">
        <f t="shared" si="53"/>
        <v>0.29265407832178425</v>
      </c>
      <c r="E177" s="7">
        <f>MAX((1-Parameters!$B$4)^Parameters!B$65*E176+B176*Parameters!B$65-Parameters!$B$5*B176^2/E176*Parameters!B$65,0.0001)</f>
        <v>0.81894988999741092</v>
      </c>
      <c r="F177" s="9">
        <f>(1-Parameters!$B$4)^Parameters!B$65*F176+C176*Parameters!B$65-Parameters!$B$5*C176^2/F176*Parameters!B$65</f>
        <v>3.7612656407020002E-2</v>
      </c>
      <c r="G177" s="7">
        <f>(1-Parameters!$B$4)^Parameters!B$65*G176+D176*Parameters!B$65-Parameters!$B$5*D176^2/G176*Parameters!B$65</f>
        <v>4.3389022089456217</v>
      </c>
      <c r="H177" s="7">
        <f>H176 *(1-Parameters!$B$4)-B176*(B176&lt;0)*Parameters!B$65</f>
        <v>0</v>
      </c>
      <c r="I177" s="7">
        <f>I176*(1+Parameters!$B$51)^Parameters!B$65</f>
        <v>13.466674895575833</v>
      </c>
      <c r="J177" s="7">
        <f>J176*(1+Parameters!$B$53)^Parameters!B$65</f>
        <v>277.4635800079032</v>
      </c>
      <c r="K177" s="23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447.95652236813009</v>
      </c>
      <c r="L177" s="8">
        <f>L176+K177*Parameters!B$65</f>
        <v>33946.214428234613</v>
      </c>
      <c r="M177" s="7">
        <f>M176+Parameters!$B$45*K177</f>
        <v>20.367728656940763</v>
      </c>
      <c r="N177" s="7">
        <f>'6states'!O177</f>
        <v>0.96347131714676226</v>
      </c>
      <c r="O177" s="7">
        <f>MAX(O176+(Parameters!B$31-K177)*Parameters!B$65,30)</f>
        <v>30</v>
      </c>
      <c r="P177" s="7">
        <f>Parameters!B$61*EXP(-Parameters!B$60*A177)+(1-Parameters!B$61)*(O177/Parameters!B$62)^-Parameters!B$63</f>
        <v>0.53088634054548878</v>
      </c>
      <c r="Q177" s="9">
        <f>1-P177/Parameters!$B$12</f>
        <v>0.73455682972725556</v>
      </c>
      <c r="R177" s="23">
        <f t="shared" si="49"/>
        <v>3.7672847222721684</v>
      </c>
      <c r="S177" s="7">
        <f>(Parameters!$B$19*(E177+Parameters!$B$20)^Q177+Parameters!$B$18*F177^Q177)^(1/Q177)</f>
        <v>0.53756602686840194</v>
      </c>
      <c r="T177" s="7">
        <f>(Parameters!$B$10*G177^Parameters!$B$9 + Parameters!$B$11*S177^Parameters!$B$9) ^ (Parameters!$B$7/Parameters!$B$9) * N177</f>
        <v>1.4761677162880733</v>
      </c>
      <c r="U177" s="7">
        <f t="shared" si="50"/>
        <v>1.1257421504934273</v>
      </c>
      <c r="V177" s="7">
        <f>EXP(-Parameters!$B$55*A177)</f>
        <v>7.3365608662240192E-2</v>
      </c>
      <c r="W177" s="7">
        <f>IF(U177&gt;0,U177^(1-Parameters!$B$52)/(1-Parameters!$B$52)*V177,-10+U177*1000)</f>
        <v>-0.20110406810966303</v>
      </c>
      <c r="X177" s="7"/>
      <c r="Y177" s="7"/>
      <c r="Z177" s="7"/>
      <c r="AA177" s="7"/>
    </row>
    <row r="178" spans="1:27" x14ac:dyDescent="0.25">
      <c r="A178">
        <f>A177+Parameters!$B$65</f>
        <v>174</v>
      </c>
      <c r="B178" s="9">
        <f t="shared" si="53"/>
        <v>5.5238794691412761E-2</v>
      </c>
      <c r="C178" s="9">
        <f t="shared" si="53"/>
        <v>2.532692781448906E-3</v>
      </c>
      <c r="D178" s="7">
        <f t="shared" si="53"/>
        <v>0.29265407832178425</v>
      </c>
      <c r="E178" s="7">
        <f>MAX((1-Parameters!$B$4)^Parameters!B$65*E177+B177*Parameters!B$65-Parameters!$B$5*B177^2/E177*Parameters!B$65,0.0001)</f>
        <v>0.81895083777555655</v>
      </c>
      <c r="F178" s="9">
        <f>(1-Parameters!$B$4)^Parameters!B$65*F177+C177*Parameters!B$65-Parameters!$B$5*C177^2/F177*Parameters!B$65</f>
        <v>3.7608971231374425E-2</v>
      </c>
      <c r="G178" s="7">
        <f>(1-Parameters!$B$4)^Parameters!B$65*G177+D177*Parameters!B$65-Parameters!$B$5*D177^2/G177*Parameters!B$65</f>
        <v>4.3389001496004926</v>
      </c>
      <c r="H178" s="7">
        <f>H177 *(1-Parameters!$B$4)-B177*(B177&lt;0)*Parameters!B$65</f>
        <v>0</v>
      </c>
      <c r="I178" s="7">
        <f>I177*(1+Parameters!$B$51)^Parameters!B$65</f>
        <v>13.505728252773002</v>
      </c>
      <c r="J178" s="7">
        <f>J177*(1+Parameters!$B$53)^Parameters!B$65</f>
        <v>283.01285160806128</v>
      </c>
      <c r="K178" s="23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453.737938939917</v>
      </c>
      <c r="L178" s="8">
        <f>L177+K178*Parameters!B$65</f>
        <v>34399.952367174526</v>
      </c>
      <c r="M178" s="7">
        <f>M177+Parameters!$B$45*K178</f>
        <v>20.639971420304715</v>
      </c>
      <c r="N178" s="7">
        <f>'6states'!O178</f>
        <v>0.96347011403856386</v>
      </c>
      <c r="O178" s="7">
        <f>MAX(O177+(Parameters!B$31-K178)*Parameters!B$65,30)</f>
        <v>30</v>
      </c>
      <c r="P178" s="7">
        <f>Parameters!B$61*EXP(-Parameters!B$60*A178)+(1-Parameters!B$61)*(O178/Parameters!B$62)^-Parameters!B$63</f>
        <v>0.53076163250375596</v>
      </c>
      <c r="Q178" s="9">
        <f>1-P178/Parameters!$B$12</f>
        <v>0.73461918374812196</v>
      </c>
      <c r="R178" s="23">
        <f t="shared" si="49"/>
        <v>3.7681698855386774</v>
      </c>
      <c r="S178" s="7">
        <f>(Parameters!$B$19*(E178+Parameters!$B$20)^Q178+Parameters!$B$18*F178^Q178)^(1/Q178)</f>
        <v>0.53757803208200616</v>
      </c>
      <c r="T178" s="7">
        <f>(Parameters!$B$10*G178^Parameters!$B$9 + Parameters!$B$11*S178^Parameters!$B$9) ^ (Parameters!$B$7/Parameters!$B$9) * N178</f>
        <v>1.4761673408791529</v>
      </c>
      <c r="U178" s="7">
        <f t="shared" si="50"/>
        <v>1.1257417750845069</v>
      </c>
      <c r="V178" s="7">
        <f>EXP(-Parameters!$B$55*A178)</f>
        <v>7.226611007706836E-2</v>
      </c>
      <c r="W178" s="7">
        <f>IF(U178&gt;0,U178^(1-Parameters!$B$52)/(1-Parameters!$B$52)*V178,-10+U178*1000)</f>
        <v>-0.198090231706712</v>
      </c>
      <c r="X178" s="7"/>
      <c r="Y178" s="7"/>
      <c r="Z178" s="7"/>
      <c r="AA178" s="7"/>
    </row>
    <row r="179" spans="1:27" x14ac:dyDescent="0.25">
      <c r="A179">
        <f>A178+Parameters!$B$65</f>
        <v>175</v>
      </c>
      <c r="B179" s="9">
        <f t="shared" si="53"/>
        <v>5.5238794691412761E-2</v>
      </c>
      <c r="C179" s="9">
        <f t="shared" si="53"/>
        <v>2.532692781448906E-3</v>
      </c>
      <c r="D179" s="7">
        <f t="shared" si="53"/>
        <v>0.29265407832178425</v>
      </c>
      <c r="E179" s="7">
        <f>MAX((1-Parameters!$B$4)^Parameters!B$65*E178+B178*Parameters!B$65-Parameters!$B$5*B178^2/E178*Parameters!B$65,0.0001)</f>
        <v>0.81895173025046841</v>
      </c>
      <c r="F179" s="9">
        <f>(1-Parameters!$B$4)^Parameters!B$65*F178+C178*Parameters!B$65-Parameters!$B$5*C178^2/F178*Parameters!B$65</f>
        <v>3.7605501142457115E-2</v>
      </c>
      <c r="G179" s="7">
        <f>(1-Parameters!$B$4)^Parameters!B$65*G178+D178*Parameters!B$65-Parameters!$B$5*D178^2/G178*Parameters!B$65</f>
        <v>4.338898210419484</v>
      </c>
      <c r="H179" s="7">
        <f>H178 *(1-Parameters!$B$4)-B178*(B178&lt;0)*Parameters!B$65</f>
        <v>0</v>
      </c>
      <c r="I179" s="7">
        <f>I178*(1+Parameters!$B$51)^Parameters!B$65</f>
        <v>13.544894864706043</v>
      </c>
      <c r="J179" s="7">
        <f>J178*(1+Parameters!$B$53)^Parameters!B$65</f>
        <v>288.67310864022249</v>
      </c>
      <c r="K179" s="23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459.59474465828407</v>
      </c>
      <c r="L179" s="8">
        <f>L178+K179*Parameters!B$65</f>
        <v>34859.547111832813</v>
      </c>
      <c r="M179" s="7">
        <f>M178+Parameters!$B$45*K179</f>
        <v>20.915728267099684</v>
      </c>
      <c r="N179" s="7">
        <f>'6states'!O179</f>
        <v>0.96346889540614999</v>
      </c>
      <c r="O179" s="7">
        <f>MAX(O178+(Parameters!B$31-K179)*Parameters!B$65,30)</f>
        <v>30</v>
      </c>
      <c r="P179" s="7">
        <f>Parameters!B$61*EXP(-Parameters!B$60*A179)+(1-Parameters!B$61)*(O179/Parameters!B$62)^-Parameters!B$63</f>
        <v>0.53064024652942676</v>
      </c>
      <c r="Q179" s="9">
        <f>1-P179/Parameters!$B$12</f>
        <v>0.73467987673528667</v>
      </c>
      <c r="R179" s="23">
        <f t="shared" si="49"/>
        <v>3.7690318687297122</v>
      </c>
      <c r="S179" s="7">
        <f>(Parameters!$B$19*(E179+Parameters!$B$20)^Q179+Parameters!$B$18*F179^Q179)^(1/Q179)</f>
        <v>0.53758977064252644</v>
      </c>
      <c r="T179" s="7">
        <f>(Parameters!$B$10*G179^Parameters!$B$9 + Parameters!$B$11*S179^Parameters!$B$9) ^ (Parameters!$B$7/Parameters!$B$9) * N179</f>
        <v>1.4761669152533798</v>
      </c>
      <c r="U179" s="7">
        <f t="shared" si="50"/>
        <v>1.1257413494587341</v>
      </c>
      <c r="V179" s="7">
        <f>EXP(-Parameters!$B$55*A179)</f>
        <v>7.1183089200741873E-2</v>
      </c>
      <c r="W179" s="7">
        <f>IF(U179&gt;0,U179^(1-Parameters!$B$52)/(1-Parameters!$B$52)*V179,-10+U179*1000)</f>
        <v>-0.19512156506382711</v>
      </c>
      <c r="X179" s="7"/>
      <c r="Y179" s="7"/>
      <c r="Z179" s="7"/>
      <c r="AA179" s="7"/>
    </row>
    <row r="180" spans="1:27" x14ac:dyDescent="0.25">
      <c r="A180">
        <f>A179+Parameters!$B$65</f>
        <v>176</v>
      </c>
      <c r="B180" s="9">
        <f t="shared" si="53"/>
        <v>5.5238794691412761E-2</v>
      </c>
      <c r="C180" s="9">
        <f t="shared" si="53"/>
        <v>2.532692781448906E-3</v>
      </c>
      <c r="D180" s="7">
        <f t="shared" si="53"/>
        <v>0.29265407832178425</v>
      </c>
      <c r="E180" s="7">
        <f>MAX((1-Parameters!$B$4)^Parameters!B$65*E179+B179*Parameters!B$65-Parameters!$B$5*B179^2/E179*Parameters!B$65,0.0001)</f>
        <v>0.81895257064910321</v>
      </c>
      <c r="F180" s="9">
        <f>(1-Parameters!$B$4)^Parameters!B$65*F179+C179*Parameters!B$65-Parameters!$B$5*C179^2/F179*Parameters!B$65</f>
        <v>3.7602233583652431E-2</v>
      </c>
      <c r="G180" s="7">
        <f>(1-Parameters!$B$4)^Parameters!B$65*G179+D179*Parameters!B$65-Parameters!$B$5*D179^2/G179*Parameters!B$65</f>
        <v>4.3388963843909334</v>
      </c>
      <c r="H180" s="7">
        <f>H179 *(1-Parameters!$B$4)-B179*(B179&lt;0)*Parameters!B$65</f>
        <v>0</v>
      </c>
      <c r="I180" s="7">
        <f>I179*(1+Parameters!$B$51)^Parameters!B$65</f>
        <v>13.584175059813688</v>
      </c>
      <c r="J180" s="7">
        <f>J179*(1+Parameters!$B$53)^Parameters!B$65</f>
        <v>294.44657081302694</v>
      </c>
      <c r="K180" s="23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465.52791598455116</v>
      </c>
      <c r="L180" s="8">
        <f>L179+K180*Parameters!B$65</f>
        <v>35325.075027817365</v>
      </c>
      <c r="M180" s="7">
        <f>M179+Parameters!$B$45*K180</f>
        <v>21.195045016690415</v>
      </c>
      <c r="N180" s="7">
        <f>'6states'!O180</f>
        <v>0.96346766105579573</v>
      </c>
      <c r="O180" s="7">
        <f>MAX(O179+(Parameters!B$31-K180)*Parameters!B$65,30)</f>
        <v>30</v>
      </c>
      <c r="P180" s="7">
        <f>Parameters!B$61*EXP(-Parameters!B$60*A180)+(1-Parameters!B$61)*(O180/Parameters!B$62)^-Parameters!B$63</f>
        <v>0.53052209412675011</v>
      </c>
      <c r="Q180" s="9">
        <f>1-P180/Parameters!$B$12</f>
        <v>0.73473895293662494</v>
      </c>
      <c r="R180" s="23">
        <f t="shared" si="49"/>
        <v>3.7698712685888034</v>
      </c>
      <c r="S180" s="7">
        <f>(Parameters!$B$19*(E180+Parameters!$B$20)^Q180+Parameters!$B$18*F180^Q180)^(1/Q180)</f>
        <v>0.53760124651962171</v>
      </c>
      <c r="T180" s="7">
        <f>(Parameters!$B$10*G180^Parameters!$B$9 + Parameters!$B$11*S180^Parameters!$B$9) ^ (Parameters!$B$7/Parameters!$B$9) * N180</f>
        <v>1.4761664390713465</v>
      </c>
      <c r="U180" s="7">
        <f t="shared" si="50"/>
        <v>1.1257408732767007</v>
      </c>
      <c r="V180" s="7">
        <f>EXP(-Parameters!$B$55*A180)</f>
        <v>7.0116299088978581E-2</v>
      </c>
      <c r="W180" s="7">
        <f>IF(U180&gt;0,U180^(1-Parameters!$B$52)/(1-Parameters!$B$52)*V180,-10+U180*1000)</f>
        <v>-0.19219739117555687</v>
      </c>
      <c r="X180" s="7"/>
      <c r="Y180" s="7"/>
      <c r="Z180" s="7"/>
      <c r="AA180" s="7"/>
    </row>
    <row r="181" spans="1:27" x14ac:dyDescent="0.25">
      <c r="A181">
        <f>A180+Parameters!$B$65</f>
        <v>177</v>
      </c>
      <c r="B181" s="9">
        <f t="shared" si="53"/>
        <v>5.5238794691412761E-2</v>
      </c>
      <c r="C181" s="9">
        <f t="shared" si="53"/>
        <v>2.532692781448906E-3</v>
      </c>
      <c r="D181" s="7">
        <f t="shared" si="53"/>
        <v>0.29265407832178425</v>
      </c>
      <c r="E181" s="7">
        <f>MAX((1-Parameters!$B$4)^Parameters!B$65*E180+B180*Parameters!B$65-Parameters!$B$5*B180^2/E180*Parameters!B$65,0.0001)</f>
        <v>0.81895336201012481</v>
      </c>
      <c r="F181" s="9">
        <f>(1-Parameters!$B$4)^Parameters!B$65*F180+C180*Parameters!B$65-Parameters!$B$5*C180^2/F180*Parameters!B$65</f>
        <v>3.7599156731729845E-2</v>
      </c>
      <c r="G181" s="7">
        <f>(1-Parameters!$B$4)^Parameters!B$65*G180+D180*Parameters!B$65-Parameters!$B$5*D180^2/G180*Parameters!B$65</f>
        <v>4.3388946649123152</v>
      </c>
      <c r="H181" s="7">
        <f>H180 *(1-Parameters!$B$4)-B180*(B180&lt;0)*Parameters!B$65</f>
        <v>0</v>
      </c>
      <c r="I181" s="7">
        <f>I180*(1+Parameters!$B$51)^Parameters!B$65</f>
        <v>13.623569167487148</v>
      </c>
      <c r="J181" s="7">
        <f>J180*(1+Parameters!$B$53)^Parameters!B$65</f>
        <v>300.3355022292875</v>
      </c>
      <c r="K181" s="23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471.53844204052746</v>
      </c>
      <c r="L181" s="8">
        <f>L180+K181*Parameters!B$65</f>
        <v>35796.61346985789</v>
      </c>
      <c r="M181" s="7">
        <f>M180+Parameters!$B$45*K181</f>
        <v>21.477968081914732</v>
      </c>
      <c r="N181" s="7">
        <f>'6states'!O181</f>
        <v>0.96346641079117157</v>
      </c>
      <c r="O181" s="7">
        <f>MAX(O180+(Parameters!B$31-K181)*Parameters!B$65,30)</f>
        <v>30</v>
      </c>
      <c r="P181" s="7">
        <f>Parameters!B$61*EXP(-Parameters!B$60*A181)+(1-Parameters!B$61)*(O181/Parameters!B$62)^-Parameters!B$63</f>
        <v>0.53040708915739176</v>
      </c>
      <c r="Q181" s="9">
        <f>1-P181/Parameters!$B$12</f>
        <v>0.73479645542130412</v>
      </c>
      <c r="R181" s="23">
        <f t="shared" si="49"/>
        <v>3.7706886670334918</v>
      </c>
      <c r="S181" s="7">
        <f>(Parameters!$B$19*(E181+Parameters!$B$20)^Q181+Parameters!$B$18*F181^Q181)^(1/Q181)</f>
        <v>0.53761246376255256</v>
      </c>
      <c r="T181" s="7">
        <f>(Parameters!$B$10*G181^Parameters!$B$9 + Parameters!$B$11*S181^Parameters!$B$9) ^ (Parameters!$B$7/Parameters!$B$9) * N181</f>
        <v>1.4761659120348789</v>
      </c>
      <c r="U181" s="7">
        <f t="shared" si="50"/>
        <v>1.1257403462402329</v>
      </c>
      <c r="V181" s="7">
        <f>EXP(-Parameters!$B$55*A181)</f>
        <v>6.9065496498343315E-2</v>
      </c>
      <c r="W181" s="7">
        <f>IF(U181&gt;0,U181^(1-Parameters!$B$52)/(1-Parameters!$B$52)*V181,-10+U181*1000)</f>
        <v>-0.18931704318107315</v>
      </c>
      <c r="X181" s="7"/>
      <c r="Y181" s="7"/>
      <c r="Z181" s="7"/>
      <c r="AA181" s="7"/>
    </row>
    <row r="182" spans="1:27" x14ac:dyDescent="0.25">
      <c r="A182">
        <f>A181+Parameters!$B$65</f>
        <v>178</v>
      </c>
      <c r="B182" s="9">
        <f t="shared" si="53"/>
        <v>5.5238794691412761E-2</v>
      </c>
      <c r="C182" s="9">
        <f t="shared" si="53"/>
        <v>2.532692781448906E-3</v>
      </c>
      <c r="D182" s="7">
        <f t="shared" si="53"/>
        <v>0.29265407832178425</v>
      </c>
      <c r="E182" s="7">
        <f>MAX((1-Parameters!$B$4)^Parameters!B$65*E181+B181*Parameters!B$65-Parameters!$B$5*B181^2/E181*Parameters!B$65,0.0001)</f>
        <v>0.81895410719489159</v>
      </c>
      <c r="F182" s="9">
        <f>(1-Parameters!$B$4)^Parameters!B$65*F181+C181*Parameters!B$65-Parameters!$B$5*C181^2/F181*Parameters!B$65</f>
        <v>3.759625945397143E-2</v>
      </c>
      <c r="G182" s="7">
        <f>(1-Parameters!$B$4)^Parameters!B$65*G181+D181*Parameters!B$65-Parameters!$B$5*D181^2/G181*Parameters!B$65</f>
        <v>4.3388930457663664</v>
      </c>
      <c r="H182" s="7">
        <f>H181 *(1-Parameters!$B$4)-B181*(B181&lt;0)*Parameters!B$65</f>
        <v>0</v>
      </c>
      <c r="I182" s="7">
        <f>I181*(1+Parameters!$B$51)^Parameters!B$65</f>
        <v>13.663077518072859</v>
      </c>
      <c r="J182" s="7">
        <f>J181*(1+Parameters!$B$53)^Parameters!B$65</f>
        <v>306.34221227387326</v>
      </c>
      <c r="K182" s="23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477.62732477496462</v>
      </c>
      <c r="L182" s="8">
        <f>L181+K182*Parameters!B$65</f>
        <v>36274.240794632853</v>
      </c>
      <c r="M182" s="7">
        <f>M181+Parameters!$B$45*K182</f>
        <v>21.764544476779712</v>
      </c>
      <c r="N182" s="7">
        <f>'6states'!O182</f>
        <v>0.96346514441330233</v>
      </c>
      <c r="O182" s="7">
        <f>MAX(O181+(Parameters!B$31-K182)*Parameters!B$65,30)</f>
        <v>30</v>
      </c>
      <c r="P182" s="7">
        <f>Parameters!B$61*EXP(-Parameters!B$60*A182)+(1-Parameters!B$61)*(O182/Parameters!B$62)^-Parameters!B$63</f>
        <v>0.53029514777763553</v>
      </c>
      <c r="Q182" s="9">
        <f>1-P182/Parameters!$B$12</f>
        <v>0.73485242611118218</v>
      </c>
      <c r="R182" s="23">
        <f t="shared" si="49"/>
        <v>3.771484631495523</v>
      </c>
      <c r="S182" s="7">
        <f>(Parameters!$B$19*(E182+Parameters!$B$20)^Q182+Parameters!$B$18*F182^Q182)^(1/Q182)</f>
        <v>0.53762342648705086</v>
      </c>
      <c r="T182" s="7">
        <f>(Parameters!$B$10*G182^Parameters!$B$9 + Parameters!$B$11*S182^Parameters!$B$9) ^ (Parameters!$B$7/Parameters!$B$9) * N182</f>
        <v>1.4761653338831557</v>
      </c>
      <c r="U182" s="7">
        <f t="shared" si="50"/>
        <v>1.12573976808851</v>
      </c>
      <c r="V182" s="7">
        <f>EXP(-Parameters!$B$55*A182)</f>
        <v>6.8030441830784896E-2</v>
      </c>
      <c r="W182" s="7">
        <f>IF(U182&gt;0,U182^(1-Parameters!$B$52)/(1-Parameters!$B$52)*V182,-10+U182*1000)</f>
        <v>-0.18647986421249682</v>
      </c>
      <c r="X182" s="7"/>
      <c r="Y182" s="7"/>
      <c r="Z182" s="7"/>
      <c r="AA182" s="7"/>
    </row>
    <row r="183" spans="1:27" x14ac:dyDescent="0.25">
      <c r="A183">
        <f>A182+Parameters!$B$65</f>
        <v>179</v>
      </c>
      <c r="B183" s="9">
        <f t="shared" si="53"/>
        <v>5.5238794691412761E-2</v>
      </c>
      <c r="C183" s="9">
        <f t="shared" si="53"/>
        <v>2.532692781448906E-3</v>
      </c>
      <c r="D183" s="7">
        <f t="shared" si="53"/>
        <v>0.29265407832178425</v>
      </c>
      <c r="E183" s="7">
        <f>MAX((1-Parameters!$B$4)^Parameters!B$65*E182+B182*Parameters!B$65-Parameters!$B$5*B182^2/E182*Parameters!B$65,0.0001)</f>
        <v>0.81895480889780137</v>
      </c>
      <c r="F183" s="9">
        <f>(1-Parameters!$B$4)^Parameters!B$65*F182+C182*Parameters!B$65-Parameters!$B$5*C182^2/F182*Parameters!B$65</f>
        <v>3.7593531267809899E-2</v>
      </c>
      <c r="G183" s="7">
        <f>(1-Parameters!$B$4)^Parameters!B$65*G182+D182*Parameters!B$65-Parameters!$B$5*D182^2/G182*Parameters!B$65</f>
        <v>4.3388915210986063</v>
      </c>
      <c r="H183" s="7">
        <f>H182 *(1-Parameters!$B$4)-B182*(B182&lt;0)*Parameters!B$65</f>
        <v>0</v>
      </c>
      <c r="I183" s="7">
        <f>I182*(1+Parameters!$B$51)^Parameters!B$65</f>
        <v>13.702700442875269</v>
      </c>
      <c r="J183" s="7">
        <f>J182*(1+Parameters!$B$53)^Parameters!B$65</f>
        <v>312.46905651935072</v>
      </c>
      <c r="K183" s="23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483.79557913206128</v>
      </c>
      <c r="L183" s="8">
        <f>L182+K183*Parameters!B$65</f>
        <v>36758.036373764917</v>
      </c>
      <c r="M183" s="7">
        <f>M182+Parameters!$B$45*K183</f>
        <v>22.054821824258948</v>
      </c>
      <c r="N183" s="7">
        <f>'6states'!O183</f>
        <v>0.96346386172052656</v>
      </c>
      <c r="O183" s="7">
        <f>MAX(O182+(Parameters!B$31-K183)*Parameters!B$65,30)</f>
        <v>30</v>
      </c>
      <c r="P183" s="7">
        <f>Parameters!B$61*EXP(-Parameters!B$60*A183)+(1-Parameters!B$61)*(O183/Parameters!B$62)^-Parameters!B$63</f>
        <v>0.53018618837725806</v>
      </c>
      <c r="Q183" s="9">
        <f>1-P183/Parameters!$B$12</f>
        <v>0.73490690581137097</v>
      </c>
      <c r="R183" s="23">
        <f t="shared" si="49"/>
        <v>3.7722597152547563</v>
      </c>
      <c r="S183" s="7">
        <f>(Parameters!$B$19*(E183+Parameters!$B$20)^Q183+Parameters!$B$18*F183^Q183)^(1/Q183)</f>
        <v>0.53763413886319522</v>
      </c>
      <c r="T183" s="7">
        <f>(Parameters!$B$10*G183^Parameters!$B$9 + Parameters!$B$11*S183^Parameters!$B$9) ^ (Parameters!$B$7/Parameters!$B$9) * N183</f>
        <v>1.4761647043890884</v>
      </c>
      <c r="U183" s="7">
        <f t="shared" si="50"/>
        <v>1.1257391385944424</v>
      </c>
      <c r="V183" s="7">
        <f>EXP(-Parameters!$B$55*A183)</f>
        <v>6.701089907900426E-2</v>
      </c>
      <c r="W183" s="7">
        <f>IF(U183&gt;0,U183^(1-Parameters!$B$52)/(1-Parameters!$B$52)*V183,-10+U183*1000)</f>
        <v>-0.18368520724545775</v>
      </c>
      <c r="X183" s="7"/>
      <c r="Y183" s="7"/>
      <c r="Z183" s="7"/>
      <c r="AA183" s="7"/>
    </row>
    <row r="184" spans="1:27" x14ac:dyDescent="0.25">
      <c r="A184">
        <f>A183+Parameters!$B$65</f>
        <v>180</v>
      </c>
      <c r="B184" s="9">
        <f t="shared" si="53"/>
        <v>5.5238794691412761E-2</v>
      </c>
      <c r="C184" s="9">
        <f t="shared" si="53"/>
        <v>2.532692781448906E-3</v>
      </c>
      <c r="D184" s="7">
        <f t="shared" si="53"/>
        <v>0.29265407832178425</v>
      </c>
      <c r="E184" s="7">
        <f>MAX((1-Parameters!$B$4)^Parameters!B$65*E183+B183*Parameters!B$65-Parameters!$B$5*B183^2/E183*Parameters!B$65,0.0001)</f>
        <v>0.81895546965603372</v>
      </c>
      <c r="F184" s="9">
        <f>(1-Parameters!$B$4)^Parameters!B$65*F183+C183*Parameters!B$65-Parameters!$B$5*C183^2/F183*Parameters!B$65</f>
        <v>3.7590962302829711E-2</v>
      </c>
      <c r="G184" s="7">
        <f>(1-Parameters!$B$4)^Parameters!B$65*G183+D183*Parameters!B$65-Parameters!$B$5*D183^2/G183*Parameters!B$65</f>
        <v>4.3388900853961685</v>
      </c>
      <c r="H184" s="7">
        <f>H183 *(1-Parameters!$B$4)-B183*(B183&lt;0)*Parameters!B$65</f>
        <v>0</v>
      </c>
      <c r="I184" s="7">
        <f>I183*(1+Parameters!$B$51)^Parameters!B$65</f>
        <v>13.742438274159605</v>
      </c>
      <c r="J184" s="7">
        <f>J183*(1+Parameters!$B$53)^Parameters!B$65</f>
        <v>318.71843764973772</v>
      </c>
      <c r="K184" s="23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490.04423322205355</v>
      </c>
      <c r="L184" s="8">
        <f>L183+K184*Parameters!B$65</f>
        <v>37248.080606986972</v>
      </c>
      <c r="M184" s="7">
        <f>M183+Parameters!$B$45*K184</f>
        <v>22.348848364192179</v>
      </c>
      <c r="N184" s="7">
        <f>'6states'!O184</f>
        <v>0.96346256250845708</v>
      </c>
      <c r="O184" s="7">
        <f>MAX(O183+(Parameters!B$31-K184)*Parameters!B$65,30)</f>
        <v>30</v>
      </c>
      <c r="P184" s="7">
        <f>Parameters!B$61*EXP(-Parameters!B$60*A184)+(1-Parameters!B$61)*(O184/Parameters!B$62)^-Parameters!B$63</f>
        <v>0.53008013152003097</v>
      </c>
      <c r="Q184" s="9">
        <f>1-P184/Parameters!$B$12</f>
        <v>0.73495993423998451</v>
      </c>
      <c r="R184" s="23">
        <f t="shared" si="49"/>
        <v>3.7730144577667932</v>
      </c>
      <c r="S184" s="7">
        <f>(Parameters!$B$19*(E184+Parameters!$B$20)^Q184+Parameters!$B$18*F184^Q184)^(1/Q184)</f>
        <v>0.53764460510422984</v>
      </c>
      <c r="T184" s="7">
        <f>(Parameters!$B$10*G184^Parameters!$B$9 + Parameters!$B$11*S184^Parameters!$B$9) ^ (Parameters!$B$7/Parameters!$B$9) * N184</f>
        <v>1.4761640233559394</v>
      </c>
      <c r="U184" s="7">
        <f t="shared" si="50"/>
        <v>1.1257384575612934</v>
      </c>
      <c r="V184" s="7">
        <f>EXP(-Parameters!$B$55*A184)</f>
        <v>6.6006635772641528E-2</v>
      </c>
      <c r="W184" s="7">
        <f>IF(U184&gt;0,U184^(1-Parameters!$B$52)/(1-Parameters!$B$52)*V184,-10+U184*1000)</f>
        <v>-0.18093243495186223</v>
      </c>
      <c r="X184" s="7"/>
      <c r="Y184" s="7"/>
      <c r="Z184" s="7"/>
      <c r="AA184" s="7"/>
    </row>
    <row r="185" spans="1:27" x14ac:dyDescent="0.25">
      <c r="A185">
        <f>A184+Parameters!$B$65</f>
        <v>181</v>
      </c>
      <c r="B185" s="9">
        <f t="shared" si="53"/>
        <v>5.5238794691412761E-2</v>
      </c>
      <c r="C185" s="9">
        <f t="shared" si="53"/>
        <v>2.532692781448906E-3</v>
      </c>
      <c r="D185" s="7">
        <f t="shared" si="53"/>
        <v>0.29265407832178425</v>
      </c>
      <c r="E185" s="7">
        <f>MAX((1-Parameters!$B$4)^Parameters!B$65*E184+B184*Parameters!B$65-Parameters!$B$5*B184^2/E184*Parameters!B$65,0.0001)</f>
        <v>0.81895609185872398</v>
      </c>
      <c r="F185" s="9">
        <f>(1-Parameters!$B$4)^Parameters!B$65*F184+C184*Parameters!B$65-Parameters!$B$5*C184^2/F184*Parameters!B$65</f>
        <v>3.7588543264992509E-2</v>
      </c>
      <c r="G185" s="7">
        <f>(1-Parameters!$B$4)^Parameters!B$65*G184+D184*Parameters!B$65-Parameters!$B$5*D184^2/G184*Parameters!B$65</f>
        <v>4.338888733467865</v>
      </c>
      <c r="H185" s="7">
        <f>H184 *(1-Parameters!$B$4)-B184*(B184&lt;0)*Parameters!B$65</f>
        <v>0</v>
      </c>
      <c r="I185" s="7">
        <f>I184*(1+Parameters!$B$51)^Parameters!B$65</f>
        <v>13.782291345154666</v>
      </c>
      <c r="J185" s="7">
        <f>J184*(1+Parameters!$B$53)^Parameters!B$65</f>
        <v>325.09280640273249</v>
      </c>
      <c r="K185" s="23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496.37432849391928</v>
      </c>
      <c r="L185" s="8">
        <f>L184+K185*Parameters!B$65</f>
        <v>37744.454935480891</v>
      </c>
      <c r="M185" s="7">
        <f>M184+Parameters!$B$45*K185</f>
        <v>22.64667296128853</v>
      </c>
      <c r="N185" s="7">
        <f>'6states'!O185</f>
        <v>0.96346124656994225</v>
      </c>
      <c r="O185" s="7">
        <f>MAX(O184+(Parameters!B$31-K185)*Parameters!B$65,30)</f>
        <v>30</v>
      </c>
      <c r="P185" s="7">
        <f>Parameters!B$61*EXP(-Parameters!B$60*A185)+(1-Parameters!B$61)*(O185/Parameters!B$62)^-Parameters!B$63</f>
        <v>0.52997689988580821</v>
      </c>
      <c r="Q185" s="9">
        <f>1-P185/Parameters!$B$12</f>
        <v>0.73501155005709595</v>
      </c>
      <c r="R185" s="23">
        <f t="shared" si="49"/>
        <v>3.7737493849843862</v>
      </c>
      <c r="S185" s="7">
        <f>(Parameters!$B$19*(E185+Parameters!$B$20)^Q185+Parameters!$B$18*F185^Q185)^(1/Q185)</f>
        <v>0.5376548294562602</v>
      </c>
      <c r="T185" s="7">
        <f>(Parameters!$B$10*G185^Parameters!$B$9 + Parameters!$B$11*S185^Parameters!$B$9) ^ (Parameters!$B$7/Parameters!$B$9) * N185</f>
        <v>1.476163290614172</v>
      </c>
      <c r="U185" s="7">
        <f t="shared" si="50"/>
        <v>1.1257377248195262</v>
      </c>
      <c r="V185" s="7">
        <f>EXP(-Parameters!$B$55*A185)</f>
        <v>6.5017422925269325E-2</v>
      </c>
      <c r="W185" s="7">
        <f>IF(U185&gt;0,U185^(1-Parameters!$B$52)/(1-Parameters!$B$52)*V185,-10+U185*1000)</f>
        <v>-0.1782209195548346</v>
      </c>
      <c r="X185" s="7"/>
      <c r="Y185" s="7"/>
      <c r="Z185" s="7"/>
      <c r="AA185" s="7"/>
    </row>
    <row r="186" spans="1:27" x14ac:dyDescent="0.25">
      <c r="A186">
        <f>A185+Parameters!$B$65</f>
        <v>182</v>
      </c>
      <c r="B186" s="9">
        <f t="shared" ref="B186:D201" si="54">B185</f>
        <v>5.5238794691412761E-2</v>
      </c>
      <c r="C186" s="9">
        <f t="shared" si="54"/>
        <v>2.532692781448906E-3</v>
      </c>
      <c r="D186" s="7">
        <f t="shared" si="54"/>
        <v>0.29265407832178425</v>
      </c>
      <c r="E186" s="7">
        <f>MAX((1-Parameters!$B$4)^Parameters!B$65*E185+B185*Parameters!B$65-Parameters!$B$5*B185^2/E185*Parameters!B$65,0.0001)</f>
        <v>0.81895667775560099</v>
      </c>
      <c r="F186" s="9">
        <f>(1-Parameters!$B$4)^Parameters!B$65*F185+C185*Parameters!B$65-Parameters!$B$5*C185^2/F185*Parameters!B$65</f>
        <v>3.758626540295619E-2</v>
      </c>
      <c r="G186" s="7">
        <f>(1-Parameters!$B$4)^Parameters!B$65*G185+D185*Parameters!B$65-Parameters!$B$5*D185^2/G185*Parameters!B$65</f>
        <v>4.3388874604254202</v>
      </c>
      <c r="H186" s="7">
        <f>H185 *(1-Parameters!$B$4)-B185*(B185&lt;0)*Parameters!B$65</f>
        <v>0</v>
      </c>
      <c r="I186" s="7">
        <f>I185*(1+Parameters!$B$51)^Parameters!B$65</f>
        <v>13.822259990055613</v>
      </c>
      <c r="J186" s="7">
        <f>J185*(1+Parameters!$B$53)^Parameters!B$65</f>
        <v>331.59466253078716</v>
      </c>
      <c r="K186" s="23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502.7869199102318</v>
      </c>
      <c r="L186" s="8">
        <f>L185+K186*Parameters!B$65</f>
        <v>38247.241855391127</v>
      </c>
      <c r="M186" s="7">
        <f>M185+Parameters!$B$45*K186</f>
        <v>22.948345113234669</v>
      </c>
      <c r="N186" s="7">
        <f>'6states'!O186</f>
        <v>0.96345991369502737</v>
      </c>
      <c r="O186" s="7">
        <f>MAX(O185+(Parameters!B$31-K186)*Parameters!B$65,30)</f>
        <v>30</v>
      </c>
      <c r="P186" s="7">
        <f>Parameters!B$61*EXP(-Parameters!B$60*A186)+(1-Parameters!B$61)*(O186/Parameters!B$62)^-Parameters!B$63</f>
        <v>0.52987641821415665</v>
      </c>
      <c r="Q186" s="9">
        <f>1-P186/Parameters!$B$12</f>
        <v>0.73506179089292167</v>
      </c>
      <c r="R186" s="23">
        <f t="shared" si="49"/>
        <v>3.7744650096726389</v>
      </c>
      <c r="S186" s="7">
        <f>(Parameters!$B$19*(E186+Parameters!$B$20)^Q186+Parameters!$B$18*F186^Q186)^(1/Q186)</f>
        <v>0.5376648161887706</v>
      </c>
      <c r="T186" s="7">
        <f>(Parameters!$B$10*G186^Parameters!$B$9 + Parameters!$B$11*S186^Parameters!$B$9) ^ (Parameters!$B$7/Parameters!$B$9) * N186</f>
        <v>1.4761625060185091</v>
      </c>
      <c r="U186" s="7">
        <f t="shared" si="50"/>
        <v>1.1257369402238631</v>
      </c>
      <c r="V186" s="7">
        <f>EXP(-Parameters!$B$55*A186)</f>
        <v>6.4043034982180613E-2</v>
      </c>
      <c r="W186" s="7">
        <f>IF(U186&gt;0,U186^(1-Parameters!$B$52)/(1-Parameters!$B$52)*V186,-10+U186*1000)</f>
        <v>-0.17555004268580565</v>
      </c>
      <c r="X186" s="7"/>
      <c r="Y186" s="7"/>
      <c r="Z186" s="7"/>
      <c r="AA186" s="7"/>
    </row>
    <row r="187" spans="1:27" x14ac:dyDescent="0.25">
      <c r="A187">
        <f>A186+Parameters!$B$65</f>
        <v>183</v>
      </c>
      <c r="B187" s="9">
        <f t="shared" si="54"/>
        <v>5.5238794691412761E-2</v>
      </c>
      <c r="C187" s="9">
        <f t="shared" si="54"/>
        <v>2.532692781448906E-3</v>
      </c>
      <c r="D187" s="7">
        <f t="shared" si="54"/>
        <v>0.29265407832178425</v>
      </c>
      <c r="E187" s="7">
        <f>MAX((1-Parameters!$B$4)^Parameters!B$65*E186+B186*Parameters!B$65-Parameters!$B$5*B186^2/E186*Parameters!B$65,0.0001)</f>
        <v>0.81895722946512173</v>
      </c>
      <c r="F187" s="9">
        <f>(1-Parameters!$B$4)^Parameters!B$65*F186+C186*Parameters!B$65-Parameters!$B$5*C186^2/F186*Parameters!B$65</f>
        <v>3.758412047636487E-2</v>
      </c>
      <c r="G187" s="7">
        <f>(1-Parameters!$B$4)^Parameters!B$65*G186+D186*Parameters!B$65-Parameters!$B$5*D186^2/G186*Parameters!B$65</f>
        <v>4.3388862616657899</v>
      </c>
      <c r="H187" s="7">
        <f>H186 *(1-Parameters!$B$4)-B186*(B186&lt;0)*Parameters!B$65</f>
        <v>0</v>
      </c>
      <c r="I187" s="7">
        <f>I186*(1+Parameters!$B$51)^Parameters!B$65</f>
        <v>13.862344544026774</v>
      </c>
      <c r="J187" s="7">
        <f>J186*(1+Parameters!$B$53)^Parameters!B$65</f>
        <v>338.22655578140291</v>
      </c>
      <c r="K187" s="23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509.28307612419246</v>
      </c>
      <c r="L187" s="8">
        <f>L186+K187*Parameters!B$65</f>
        <v>38756.52493151532</v>
      </c>
      <c r="M187" s="7">
        <f>M186+Parameters!$B$45*K187</f>
        <v>23.253914958909185</v>
      </c>
      <c r="N187" s="7">
        <f>'6states'!O187</f>
        <v>0.96345856367091709</v>
      </c>
      <c r="O187" s="7">
        <f>MAX(O186+(Parameters!B$31-K187)*Parameters!B$65,30)</f>
        <v>30</v>
      </c>
      <c r="P187" s="7">
        <f>Parameters!B$61*EXP(-Parameters!B$60*A187)+(1-Parameters!B$61)*(O187/Parameters!B$62)^-Parameters!B$63</f>
        <v>0.52977861324948727</v>
      </c>
      <c r="Q187" s="9">
        <f>1-P187/Parameters!$B$12</f>
        <v>0.73511069337525636</v>
      </c>
      <c r="R187" s="23">
        <f t="shared" si="49"/>
        <v>3.7751618317180826</v>
      </c>
      <c r="S187" s="7">
        <f>(Parameters!$B$19*(E187+Parameters!$B$20)^Q187+Parameters!$B$18*F187^Q187)^(1/Q187)</f>
        <v>0.53767456958590709</v>
      </c>
      <c r="T187" s="7">
        <f>(Parameters!$B$10*G187^Parameters!$B$9 + Parameters!$B$11*S187^Parameters!$B$9) ^ (Parameters!$B$7/Parameters!$B$9) * N187</f>
        <v>1.476161669445192</v>
      </c>
      <c r="U187" s="7">
        <f t="shared" si="50"/>
        <v>1.1257361036505462</v>
      </c>
      <c r="V187" s="7">
        <f>EXP(-Parameters!$B$55*A187)</f>
        <v>6.3083249768959085E-2</v>
      </c>
      <c r="W187" s="7">
        <f>IF(U187&gt;0,U187^(1-Parameters!$B$52)/(1-Parameters!$B$52)*V187,-10+U187*1000)</f>
        <v>-0.17291919524371638</v>
      </c>
      <c r="X187" s="7"/>
      <c r="Y187" s="7"/>
      <c r="Z187" s="7"/>
      <c r="AA187" s="7"/>
    </row>
    <row r="188" spans="1:27" x14ac:dyDescent="0.25">
      <c r="A188">
        <f>A187+Parameters!$B$65</f>
        <v>184</v>
      </c>
      <c r="B188" s="9">
        <f t="shared" si="54"/>
        <v>5.5238794691412761E-2</v>
      </c>
      <c r="C188" s="9">
        <f t="shared" si="54"/>
        <v>2.532692781448906E-3</v>
      </c>
      <c r="D188" s="7">
        <f t="shared" si="54"/>
        <v>0.29265407832178425</v>
      </c>
      <c r="E188" s="7">
        <f>MAX((1-Parameters!$B$4)^Parameters!B$65*E187+B187*Parameters!B$65-Parameters!$B$5*B187^2/E187*Parameters!B$65,0.0001)</f>
        <v>0.81895774898213092</v>
      </c>
      <c r="F188" s="9">
        <f>(1-Parameters!$B$4)^Parameters!B$65*F187+C187*Parameters!B$65-Parameters!$B$5*C187^2/F187*Parameters!B$65</f>
        <v>3.7582100725994022E-2</v>
      </c>
      <c r="G188" s="7">
        <f>(1-Parameters!$B$4)^Parameters!B$65*G187+D187*Parameters!B$65-Parameters!$B$5*D187^2/G187*Parameters!B$65</f>
        <v>4.3388851328545233</v>
      </c>
      <c r="H188" s="7">
        <f>H187 *(1-Parameters!$B$4)-B187*(B187&lt;0)*Parameters!B$65</f>
        <v>0</v>
      </c>
      <c r="I188" s="7">
        <f>I187*(1+Parameters!$B$51)^Parameters!B$65</f>
        <v>13.90254534320445</v>
      </c>
      <c r="J188" s="7">
        <f>J187*(1+Parameters!$B$53)^Parameters!B$65</f>
        <v>344.99108689703098</v>
      </c>
      <c r="K188" s="23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515.86387965887877</v>
      </c>
      <c r="L188" s="8">
        <f>L187+K188*Parameters!B$65</f>
        <v>39272.388811174198</v>
      </c>
      <c r="M188" s="7">
        <f>M187+Parameters!$B$45*K188</f>
        <v>23.563433286704512</v>
      </c>
      <c r="N188" s="7">
        <f>'6states'!O188</f>
        <v>0.96345719628193849</v>
      </c>
      <c r="O188" s="7">
        <f>MAX(O187+(Parameters!B$31-K188)*Parameters!B$65,30)</f>
        <v>30</v>
      </c>
      <c r="P188" s="7">
        <f>Parameters!B$61*EXP(-Parameters!B$60*A188)+(1-Parameters!B$61)*(O188/Parameters!B$62)^-Parameters!B$63</f>
        <v>0.5296834136876496</v>
      </c>
      <c r="Q188" s="9">
        <f>1-P188/Parameters!$B$12</f>
        <v>0.7351582931561752</v>
      </c>
      <c r="R188" s="23">
        <f t="shared" si="49"/>
        <v>3.7758403384316375</v>
      </c>
      <c r="S188" s="7">
        <f>(Parameters!$B$19*(E188+Parameters!$B$20)^Q188+Parameters!$B$18*F188^Q188)^(1/Q188)</f>
        <v>0.53768409393847527</v>
      </c>
      <c r="T188" s="7">
        <f>(Parameters!$B$10*G188^Parameters!$B$9 + Parameters!$B$11*S188^Parameters!$B$9) ^ (Parameters!$B$7/Parameters!$B$9) * N188</f>
        <v>1.4761607807894284</v>
      </c>
      <c r="U188" s="7">
        <f t="shared" si="50"/>
        <v>1.1257352149947826</v>
      </c>
      <c r="V188" s="7">
        <f>EXP(-Parameters!$B$55*A188)</f>
        <v>6.2137848440820063E-2</v>
      </c>
      <c r="W188" s="7">
        <f>IF(U188&gt;0,U188^(1-Parameters!$B$52)/(1-Parameters!$B$52)*V188,-10+U188*1000)</f>
        <v>-0.17032777725630832</v>
      </c>
      <c r="X188" s="7"/>
      <c r="Y188" s="7"/>
      <c r="Z188" s="7"/>
      <c r="AA188" s="7"/>
    </row>
    <row r="189" spans="1:27" x14ac:dyDescent="0.25">
      <c r="A189">
        <f>A188+Parameters!$B$65</f>
        <v>185</v>
      </c>
      <c r="B189" s="9">
        <f t="shared" si="54"/>
        <v>5.5238794691412761E-2</v>
      </c>
      <c r="C189" s="9">
        <f t="shared" si="54"/>
        <v>2.532692781448906E-3</v>
      </c>
      <c r="D189" s="7">
        <f t="shared" si="54"/>
        <v>0.29265407832178425</v>
      </c>
      <c r="E189" s="7">
        <f>MAX((1-Parameters!$B$4)^Parameters!B$65*E188+B188*Parameters!B$65-Parameters!$B$5*B188^2/E188*Parameters!B$65,0.0001)</f>
        <v>0.81895823818507385</v>
      </c>
      <c r="F189" s="9">
        <f>(1-Parameters!$B$4)^Parameters!B$65*F188+C188*Parameters!B$65-Parameters!$B$5*C188^2/F188*Parameters!B$65</f>
        <v>3.7580198845642052E-2</v>
      </c>
      <c r="G189" s="7">
        <f>(1-Parameters!$B$4)^Parameters!B$65*G188+D188*Parameters!B$65-Parameters!$B$5*D188^2/G188*Parameters!B$65</f>
        <v>4.3388840699100886</v>
      </c>
      <c r="H189" s="7">
        <f>H188 *(1-Parameters!$B$4)-B188*(B188&lt;0)*Parameters!B$65</f>
        <v>0</v>
      </c>
      <c r="I189" s="7">
        <f>I188*(1+Parameters!$B$51)^Parameters!B$65</f>
        <v>13.942862724699742</v>
      </c>
      <c r="J189" s="7">
        <f>J188*(1+Parameters!$B$53)^Parameters!B$65</f>
        <v>351.89090863497159</v>
      </c>
      <c r="K189" s="23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522.53042708873363</v>
      </c>
      <c r="L189" s="8">
        <f>L188+K189*Parameters!B$65</f>
        <v>39794.919238262934</v>
      </c>
      <c r="M189" s="7">
        <f>M188+Parameters!$B$45*K189</f>
        <v>23.876951542957752</v>
      </c>
      <c r="N189" s="7">
        <f>'6states'!O189</f>
        <v>0.96345581130950331</v>
      </c>
      <c r="O189" s="7">
        <f>MAX(O188+(Parameters!B$31-K189)*Parameters!B$65,30)</f>
        <v>30</v>
      </c>
      <c r="P189" s="7">
        <f>Parameters!B$61*EXP(-Parameters!B$60*A189)+(1-Parameters!B$61)*(O189/Parameters!B$62)^-Parameters!B$63</f>
        <v>0.52959075012394663</v>
      </c>
      <c r="Q189" s="9">
        <f>1-P189/Parameters!$B$12</f>
        <v>0.73520462493802663</v>
      </c>
      <c r="R189" s="23">
        <f t="shared" si="49"/>
        <v>3.7765010048455623</v>
      </c>
      <c r="S189" s="7">
        <f>(Parameters!$B$19*(E189+Parameters!$B$20)^Q189+Parameters!$B$18*F189^Q189)^(1/Q189)</f>
        <v>0.53769339353660461</v>
      </c>
      <c r="T189" s="7">
        <f>(Parameters!$B$10*G189^Parameters!$B$9 + Parameters!$B$11*S189^Parameters!$B$9) ^ (Parameters!$B$7/Parameters!$B$9) * N189</f>
        <v>1.4761598399630069</v>
      </c>
      <c r="U189" s="7">
        <f t="shared" si="50"/>
        <v>1.1257342741683609</v>
      </c>
      <c r="V189" s="7">
        <f>EXP(-Parameters!$B$55*A189)</f>
        <v>6.1206615432710852E-2</v>
      </c>
      <c r="W189" s="7">
        <f>IF(U189&gt;0,U189^(1-Parameters!$B$52)/(1-Parameters!$B$52)*V189,-10+U189*1000)</f>
        <v>-0.16777519774347185</v>
      </c>
      <c r="X189" s="7"/>
      <c r="Y189" s="7"/>
      <c r="Z189" s="7"/>
      <c r="AA189" s="7"/>
    </row>
    <row r="190" spans="1:27" x14ac:dyDescent="0.25">
      <c r="A190">
        <f>A189+Parameters!$B$65</f>
        <v>186</v>
      </c>
      <c r="B190" s="9">
        <f t="shared" si="54"/>
        <v>5.5238794691412761E-2</v>
      </c>
      <c r="C190" s="9">
        <f t="shared" si="54"/>
        <v>2.532692781448906E-3</v>
      </c>
      <c r="D190" s="7">
        <f t="shared" si="54"/>
        <v>0.29265407832178425</v>
      </c>
      <c r="E190" s="7">
        <f>MAX((1-Parameters!$B$4)^Parameters!B$65*E189+B189*Parameters!B$65-Parameters!$B$5*B189^2/E189*Parameters!B$65,0.0001)</f>
        <v>0.81895869884278782</v>
      </c>
      <c r="F190" s="9">
        <f>(1-Parameters!$B$4)^Parameters!B$65*F189+C189*Parameters!B$65-Parameters!$B$5*C189^2/F189*Parameters!B$65</f>
        <v>3.7578407955665832E-2</v>
      </c>
      <c r="G190" s="7">
        <f>(1-Parameters!$B$4)^Parameters!B$65*G189+D189*Parameters!B$65-Parameters!$B$5*D189^2/G189*Parameters!B$65</f>
        <v>4.3388830689891122</v>
      </c>
      <c r="H190" s="7">
        <f>H189 *(1-Parameters!$B$4)-B189*(B189&lt;0)*Parameters!B$65</f>
        <v>0</v>
      </c>
      <c r="I190" s="7">
        <f>I189*(1+Parameters!$B$51)^Parameters!B$65</f>
        <v>13.98329702660137</v>
      </c>
      <c r="J190" s="7">
        <f>J189*(1+Parameters!$B$53)^Parameters!B$65</f>
        <v>358.92872680767101</v>
      </c>
      <c r="K190" s="23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529.28382922334151</v>
      </c>
      <c r="L190" s="8">
        <f>L189+K190*Parameters!B$65</f>
        <v>40324.203067486276</v>
      </c>
      <c r="M190" s="7">
        <f>M189+Parameters!$B$45*K190</f>
        <v>24.194521840491756</v>
      </c>
      <c r="N190" s="7">
        <f>'6states'!O190</f>
        <v>0.96345440853207176</v>
      </c>
      <c r="O190" s="7">
        <f>MAX(O189+(Parameters!B$31-K190)*Parameters!B$65,30)</f>
        <v>30</v>
      </c>
      <c r="P190" s="7">
        <f>Parameters!B$61*EXP(-Parameters!B$60*A190)+(1-Parameters!B$61)*(O190/Parameters!B$62)^-Parameters!B$63</f>
        <v>0.52950055500253668</v>
      </c>
      <c r="Q190" s="9">
        <f>1-P190/Parameters!$B$12</f>
        <v>0.73524972249873166</v>
      </c>
      <c r="R190" s="23">
        <f t="shared" si="49"/>
        <v>3.7771442940044104</v>
      </c>
      <c r="S190" s="7">
        <f>(Parameters!$B$19*(E190+Parameters!$B$20)^Q190+Parameters!$B$18*F190^Q190)^(1/Q190)</f>
        <v>0.53770247266303439</v>
      </c>
      <c r="T190" s="7">
        <f>(Parameters!$B$10*G190^Parameters!$B$9 + Parameters!$B$11*S190^Parameters!$B$9) ^ (Parameters!$B$7/Parameters!$B$9) * N190</f>
        <v>1.4761588468920863</v>
      </c>
      <c r="U190" s="7">
        <f t="shared" si="50"/>
        <v>1.1257332810974403</v>
      </c>
      <c r="V190" s="7">
        <f>EXP(-Parameters!$B$55*A190)</f>
        <v>6.0289338410158787E-2</v>
      </c>
      <c r="W190" s="7">
        <f>IF(U190&gt;0,U190^(1-Parameters!$B$52)/(1-Parameters!$B$52)*V190,-10+U190*1000)</f>
        <v>-0.16526087458262201</v>
      </c>
      <c r="X190" s="7"/>
      <c r="Y190" s="7"/>
      <c r="Z190" s="7"/>
      <c r="AA190" s="7"/>
    </row>
    <row r="191" spans="1:27" x14ac:dyDescent="0.25">
      <c r="A191">
        <f>A190+Parameters!$B$65</f>
        <v>187</v>
      </c>
      <c r="B191" s="9">
        <f t="shared" si="54"/>
        <v>5.5238794691412761E-2</v>
      </c>
      <c r="C191" s="9">
        <f t="shared" si="54"/>
        <v>2.532692781448906E-3</v>
      </c>
      <c r="D191" s="7">
        <f t="shared" si="54"/>
        <v>0.29265407832178425</v>
      </c>
      <c r="E191" s="7">
        <f>MAX((1-Parameters!$B$4)^Parameters!B$65*E190+B190*Parameters!B$65-Parameters!$B$5*B190^2/E190*Parameters!B$65,0.0001)</f>
        <v>0.81895913262089859</v>
      </c>
      <c r="F191" s="9">
        <f>(1-Parameters!$B$4)^Parameters!B$65*F190+C190*Parameters!B$65-Parameters!$B$5*C190^2/F190*Parameters!B$65</f>
        <v>3.757672157806391E-2</v>
      </c>
      <c r="G191" s="7">
        <f>(1-Parameters!$B$4)^Parameters!B$65*G190+D190*Parameters!B$65-Parameters!$B$5*D190^2/G190*Parameters!B$65</f>
        <v>4.3388821264724848</v>
      </c>
      <c r="H191" s="7">
        <f>H190 *(1-Parameters!$B$4)-B190*(B190&lt;0)*Parameters!B$65</f>
        <v>0</v>
      </c>
      <c r="I191" s="7">
        <f>I190*(1+Parameters!$B$51)^Parameters!B$65</f>
        <v>14.023848587978513</v>
      </c>
      <c r="J191" s="7">
        <f>J190*(1+Parameters!$B$53)^Parameters!B$65</f>
        <v>366.10730134382442</v>
      </c>
      <c r="K191" s="23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536.12521129350785</v>
      </c>
      <c r="L191" s="8">
        <f>L190+K191*Parameters!B$65</f>
        <v>40860.328278779787</v>
      </c>
      <c r="M191" s="7">
        <f>M190+Parameters!$B$45*K191</f>
        <v>24.516196967267859</v>
      </c>
      <c r="N191" s="7">
        <f>'6states'!O191</f>
        <v>0.96345298772511512</v>
      </c>
      <c r="O191" s="7">
        <f>MAX(O190+(Parameters!B$31-K191)*Parameters!B$65,30)</f>
        <v>30</v>
      </c>
      <c r="P191" s="7">
        <f>Parameters!B$61*EXP(-Parameters!B$60*A191)+(1-Parameters!B$61)*(O191/Parameters!B$62)^-Parameters!B$63</f>
        <v>0.52941276256718162</v>
      </c>
      <c r="Q191" s="9">
        <f>1-P191/Parameters!$B$12</f>
        <v>0.73529361871640919</v>
      </c>
      <c r="R191" s="23">
        <f t="shared" si="49"/>
        <v>3.7777706572500755</v>
      </c>
      <c r="S191" s="7">
        <f>(Parameters!$B$19*(E191+Parameters!$B$20)^Q191+Parameters!$B$18*F191^Q191)^(1/Q191)</f>
        <v>0.53771133558698037</v>
      </c>
      <c r="T191" s="7">
        <f>(Parameters!$B$10*G191^Parameters!$B$9 + Parameters!$B$11*S191^Parameters!$B$9) ^ (Parameters!$B$7/Parameters!$B$9) * N191</f>
        <v>1.4761578015151249</v>
      </c>
      <c r="U191" s="7">
        <f t="shared" si="50"/>
        <v>1.1257322357204789</v>
      </c>
      <c r="V191" s="7">
        <f>EXP(-Parameters!$B$55*A191)</f>
        <v>5.9385808220855908E-2</v>
      </c>
      <c r="W191" s="7">
        <f>IF(U191&gt;0,U191^(1-Parameters!$B$52)/(1-Parameters!$B$52)*V191,-10+U191*1000)</f>
        <v>-0.16278423437607495</v>
      </c>
      <c r="X191" s="7"/>
      <c r="Y191" s="7"/>
      <c r="Z191" s="7"/>
      <c r="AA191" s="7"/>
    </row>
    <row r="192" spans="1:27" x14ac:dyDescent="0.25">
      <c r="A192">
        <f>A191+Parameters!$B$65</f>
        <v>188</v>
      </c>
      <c r="B192" s="9">
        <f t="shared" si="54"/>
        <v>5.5238794691412761E-2</v>
      </c>
      <c r="C192" s="9">
        <f t="shared" si="54"/>
        <v>2.532692781448906E-3</v>
      </c>
      <c r="D192" s="7">
        <f t="shared" si="54"/>
        <v>0.29265407832178425</v>
      </c>
      <c r="E192" s="7">
        <f>MAX((1-Parameters!$B$4)^Parameters!B$65*E191+B191*Parameters!B$65-Parameters!$B$5*B191^2/E191*Parameters!B$65,0.0001)</f>
        <v>0.81895954108784197</v>
      </c>
      <c r="F192" s="9">
        <f>(1-Parameters!$B$4)^Parameters!B$65*F191+C191*Parameters!B$65-Parameters!$B$5*C191^2/F191*Parameters!B$65</f>
        <v>3.7575133613016669E-2</v>
      </c>
      <c r="G192" s="7">
        <f>(1-Parameters!$B$4)^Parameters!B$65*G191+D191*Parameters!B$65-Parameters!$B$5*D191^2/G191*Parameters!B$65</f>
        <v>4.3388812389522764</v>
      </c>
      <c r="H192" s="7">
        <f>H191 *(1-Parameters!$B$4)-B191*(B191&lt;0)*Parameters!B$65</f>
        <v>0</v>
      </c>
      <c r="I192" s="7">
        <f>I191*(1+Parameters!$B$51)^Parameters!B$65</f>
        <v>14.064517748883649</v>
      </c>
      <c r="J192" s="7">
        <f>J191*(1+Parameters!$B$53)^Parameters!B$65</f>
        <v>373.42944737070093</v>
      </c>
      <c r="K192" s="23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543.05571313969131</v>
      </c>
      <c r="L192" s="8">
        <f>L191+K192*Parameters!B$65</f>
        <v>41403.38399191948</v>
      </c>
      <c r="M192" s="7">
        <f>M191+Parameters!$B$45*K192</f>
        <v>24.842030395151674</v>
      </c>
      <c r="N192" s="7">
        <f>'6states'!O192</f>
        <v>0.96345154866107929</v>
      </c>
      <c r="O192" s="7">
        <f>MAX(O191+(Parameters!B$31-K192)*Parameters!B$65,30)</f>
        <v>30</v>
      </c>
      <c r="P192" s="7">
        <f>Parameters!B$61*EXP(-Parameters!B$60*A192)+(1-Parameters!B$61)*(O192/Parameters!B$62)^-Parameters!B$63</f>
        <v>0.52932730881330792</v>
      </c>
      <c r="Q192" s="9">
        <f>1-P192/Parameters!$B$12</f>
        <v>0.73533634559334604</v>
      </c>
      <c r="R192" s="23">
        <f t="shared" si="49"/>
        <v>3.7783805345009958</v>
      </c>
      <c r="S192" s="7">
        <f>(Parameters!$B$19*(E192+Parameters!$B$20)^Q192+Parameters!$B$18*F192^Q192)^(1/Q192)</f>
        <v>0.53771998655853959</v>
      </c>
      <c r="T192" s="7">
        <f>(Parameters!$B$10*G192^Parameters!$B$9 + Parameters!$B$11*S192^Parameters!$B$9) ^ (Parameters!$B$7/Parameters!$B$9) * N192</f>
        <v>1.4761567037809624</v>
      </c>
      <c r="U192" s="7">
        <f t="shared" si="50"/>
        <v>1.1257311379863166</v>
      </c>
      <c r="V192" s="7">
        <f>EXP(-Parameters!$B$55*A192)</f>
        <v>5.8495818846969333E-2</v>
      </c>
      <c r="W192" s="7">
        <f>IF(U192&gt;0,U192^(1-Parameters!$B$52)/(1-Parameters!$B$52)*V192,-10+U192*1000)</f>
        <v>-0.16034471232039585</v>
      </c>
      <c r="X192" s="7"/>
      <c r="Y192" s="7"/>
      <c r="Z192" s="7"/>
      <c r="AA192" s="7"/>
    </row>
    <row r="193" spans="1:27" x14ac:dyDescent="0.25">
      <c r="A193">
        <f>A192+Parameters!$B$65</f>
        <v>189</v>
      </c>
      <c r="B193" s="9">
        <f t="shared" si="54"/>
        <v>5.5238794691412761E-2</v>
      </c>
      <c r="C193" s="9">
        <f t="shared" si="54"/>
        <v>2.532692781448906E-3</v>
      </c>
      <c r="D193" s="7">
        <f t="shared" si="54"/>
        <v>0.29265407832178425</v>
      </c>
      <c r="E193" s="7">
        <f>MAX((1-Parameters!$B$4)^Parameters!B$65*E192+B192*Parameters!B$65-Parameters!$B$5*B192^2/E192*Parameters!B$65,0.0001)</f>
        <v>0.81895992572053511</v>
      </c>
      <c r="F193" s="9">
        <f>(1-Parameters!$B$4)^Parameters!B$65*F192+C192*Parameters!B$65-Parameters!$B$5*C192^2/F192*Parameters!B$65</f>
        <v>3.7573638316798046E-2</v>
      </c>
      <c r="G193" s="7">
        <f>(1-Parameters!$B$4)^Parameters!B$65*G192+D192*Parameters!B$65-Parameters!$B$5*D192^2/G192*Parameters!B$65</f>
        <v>4.3388804032194095</v>
      </c>
      <c r="H193" s="7">
        <f>H192 *(1-Parameters!$B$4)-B192*(B192&lt;0)*Parameters!B$65</f>
        <v>0</v>
      </c>
      <c r="I193" s="7">
        <f>I192*(1+Parameters!$B$51)^Parameters!B$65</f>
        <v>14.105304850355409</v>
      </c>
      <c r="J193" s="7">
        <f>J192*(1+Parameters!$B$53)^Parameters!B$65</f>
        <v>380.89803631811498</v>
      </c>
      <c r="K193" s="23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550.0764894028116</v>
      </c>
      <c r="L193" s="8">
        <f>L192+K193*Parameters!B$65</f>
        <v>41953.46048132229</v>
      </c>
      <c r="M193" s="7">
        <f>M192+Parameters!$B$45*K193</f>
        <v>25.17207628879336</v>
      </c>
      <c r="N193" s="7">
        <f>'6states'!O193</f>
        <v>0.96345009110934843</v>
      </c>
      <c r="O193" s="7">
        <f>MAX(O192+(Parameters!B$31-K193)*Parameters!B$65,30)</f>
        <v>30</v>
      </c>
      <c r="P193" s="7">
        <f>Parameters!B$61*EXP(-Parameters!B$60*A193)+(1-Parameters!B$61)*(O193/Parameters!B$62)^-Parameters!B$63</f>
        <v>0.52924413144134452</v>
      </c>
      <c r="Q193" s="9">
        <f>1-P193/Parameters!$B$12</f>
        <v>0.73537793427932774</v>
      </c>
      <c r="R193" s="23">
        <f t="shared" si="49"/>
        <v>3.7789743545255683</v>
      </c>
      <c r="S193" s="7">
        <f>(Parameters!$B$19*(E193+Parameters!$B$20)^Q193+Parameters!$B$18*F193^Q193)^(1/Q193)</f>
        <v>0.53772842980360103</v>
      </c>
      <c r="T193" s="7">
        <f>(Parameters!$B$10*G193^Parameters!$B$9 + Parameters!$B$11*S193^Parameters!$B$9) ^ (Parameters!$B$7/Parameters!$B$9) * N193</f>
        <v>1.4761555536470314</v>
      </c>
      <c r="U193" s="7">
        <f t="shared" si="50"/>
        <v>1.1257299878523854</v>
      </c>
      <c r="V193" s="7">
        <f>EXP(-Parameters!$B$55*A193)</f>
        <v>5.7619167358166093E-2</v>
      </c>
      <c r="W193" s="7">
        <f>IF(U193&gt;0,U193^(1-Parameters!$B$52)/(1-Parameters!$B$52)*V193,-10+U193*1000)</f>
        <v>-0.15794175207768929</v>
      </c>
      <c r="X193" s="7"/>
      <c r="Y193" s="7"/>
      <c r="Z193" s="7"/>
      <c r="AA193" s="7"/>
    </row>
    <row r="194" spans="1:27" x14ac:dyDescent="0.25">
      <c r="A194">
        <f>A193+Parameters!$B$65</f>
        <v>190</v>
      </c>
      <c r="B194" s="9">
        <f t="shared" si="54"/>
        <v>5.5238794691412761E-2</v>
      </c>
      <c r="C194" s="9">
        <f t="shared" si="54"/>
        <v>2.532692781448906E-3</v>
      </c>
      <c r="D194" s="7">
        <f t="shared" si="54"/>
        <v>0.29265407832178425</v>
      </c>
      <c r="E194" s="7">
        <f>MAX((1-Parameters!$B$4)^Parameters!B$65*E193+B193*Parameters!B$65-Parameters!$B$5*B193^2/E193*Parameters!B$65,0.0001)</f>
        <v>0.81896028790971676</v>
      </c>
      <c r="F194" s="9">
        <f>(1-Parameters!$B$4)^Parameters!B$65*F193+C193*Parameters!B$65-Parameters!$B$5*C193^2/F193*Parameters!B$65</f>
        <v>3.7572230280978551E-2</v>
      </c>
      <c r="G194" s="7">
        <f>(1-Parameters!$B$4)^Parameters!B$65*G193+D193*Parameters!B$65-Parameters!$B$5*D193^2/G193*Parameters!B$65</f>
        <v>4.3388796162520604</v>
      </c>
      <c r="H194" s="7">
        <f>H193 *(1-Parameters!$B$4)-B193*(B193&lt;0)*Parameters!B$65</f>
        <v>0</v>
      </c>
      <c r="I194" s="7">
        <f>I193*(1+Parameters!$B$51)^Parameters!B$65</f>
        <v>14.146210234421439</v>
      </c>
      <c r="J194" s="7">
        <f>J193*(1+Parameters!$B$53)^Parameters!B$65</f>
        <v>388.51599704447727</v>
      </c>
      <c r="K194" s="23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557.18870971747367</v>
      </c>
      <c r="L194" s="8">
        <f>L193+K194*Parameters!B$65</f>
        <v>42510.649191039767</v>
      </c>
      <c r="M194" s="7">
        <f>M193+Parameters!$B$45*K194</f>
        <v>25.506389514623844</v>
      </c>
      <c r="N194" s="7">
        <f>'6states'!O194</f>
        <v>0.96344861483620692</v>
      </c>
      <c r="O194" s="7">
        <f>MAX(O193+(Parameters!B$31-K194)*Parameters!B$65,30)</f>
        <v>30</v>
      </c>
      <c r="P194" s="7">
        <f>Parameters!B$61*EXP(-Parameters!B$60*A194)+(1-Parameters!B$61)*(O194/Parameters!B$62)^-Parameters!B$63</f>
        <v>0.52916316981130362</v>
      </c>
      <c r="Q194" s="9">
        <f>1-P194/Parameters!$B$12</f>
        <v>0.73541841509434813</v>
      </c>
      <c r="R194" s="23">
        <f t="shared" si="49"/>
        <v>3.7795525352098625</v>
      </c>
      <c r="S194" s="7">
        <f>(Parameters!$B$19*(E194+Parameters!$B$20)^Q194+Parameters!$B$18*F194^Q194)^(1/Q194)</f>
        <v>0.53773666951922205</v>
      </c>
      <c r="T194" s="7">
        <f>(Parameters!$B$10*G194^Parameters!$B$9 + Parameters!$B$11*S194^Parameters!$B$9) ^ (Parameters!$B$7/Parameters!$B$9) * N194</f>
        <v>1.4761543510776933</v>
      </c>
      <c r="U194" s="7">
        <f t="shared" si="50"/>
        <v>1.1257287852830475</v>
      </c>
      <c r="V194" s="7">
        <f>EXP(-Parameters!$B$55*A194)</f>
        <v>5.6755653865342197E-2</v>
      </c>
      <c r="W194" s="7">
        <f>IF(U194&gt;0,U194^(1-Parameters!$B$52)/(1-Parameters!$B$52)*V194,-10+U194*1000)</f>
        <v>-0.15557480564880655</v>
      </c>
      <c r="X194" s="7"/>
      <c r="Y194" s="7"/>
      <c r="Z194" s="7"/>
      <c r="AA194" s="7"/>
    </row>
    <row r="195" spans="1:27" x14ac:dyDescent="0.25">
      <c r="A195">
        <f>A194+Parameters!$B$65</f>
        <v>191</v>
      </c>
      <c r="B195" s="9">
        <f t="shared" si="54"/>
        <v>5.5238794691412761E-2</v>
      </c>
      <c r="C195" s="9">
        <f t="shared" si="54"/>
        <v>2.532692781448906E-3</v>
      </c>
      <c r="D195" s="7">
        <f t="shared" si="54"/>
        <v>0.29265407832178425</v>
      </c>
      <c r="E195" s="7">
        <f>MAX((1-Parameters!$B$4)^Parameters!B$65*E194+B194*Parameters!B$65-Parameters!$B$5*B194^2/E194*Parameters!B$65,0.0001)</f>
        <v>0.81896062896497568</v>
      </c>
      <c r="F195" s="9">
        <f>(1-Parameters!$B$4)^Parameters!B$65*F194+C194*Parameters!B$65-Parameters!$B$5*C194^2/F194*Parameters!B$65</f>
        <v>3.7570904412843886E-2</v>
      </c>
      <c r="G195" s="7">
        <f>(1-Parameters!$B$4)^Parameters!B$65*G194+D194*Parameters!B$65-Parameters!$B$5*D194^2/G194*Parameters!B$65</f>
        <v>4.3388788752047303</v>
      </c>
      <c r="H195" s="7">
        <f>H194 *(1-Parameters!$B$4)-B194*(B194&lt;0)*Parameters!B$65</f>
        <v>0</v>
      </c>
      <c r="I195" s="7">
        <f>I194*(1+Parameters!$B$51)^Parameters!B$65</f>
        <v>14.18723424410126</v>
      </c>
      <c r="J195" s="7">
        <f>J194*(1+Parameters!$B$53)^Parameters!B$65</f>
        <v>396.28631698536685</v>
      </c>
      <c r="K195" s="23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564.39355890763852</v>
      </c>
      <c r="L195" s="8">
        <f>L194+K195*Parameters!B$65</f>
        <v>43075.042749947403</v>
      </c>
      <c r="M195" s="7">
        <f>M194+Parameters!$B$45*K195</f>
        <v>25.845025649968427</v>
      </c>
      <c r="N195" s="7">
        <f>'6states'!O195</f>
        <v>0.96344711960480334</v>
      </c>
      <c r="O195" s="7">
        <f>MAX(O194+(Parameters!B$31-K195)*Parameters!B$65,30)</f>
        <v>30</v>
      </c>
      <c r="P195" s="7">
        <f>Parameters!B$61*EXP(-Parameters!B$60*A195)+(1-Parameters!B$61)*(O195/Parameters!B$62)^-Parameters!B$63</f>
        <v>0.52908436489857102</v>
      </c>
      <c r="Q195" s="9">
        <f>1-P195/Parameters!$B$12</f>
        <v>0.73545781755071449</v>
      </c>
      <c r="R195" s="23">
        <f t="shared" si="49"/>
        <v>3.7801154838196989</v>
      </c>
      <c r="S195" s="7">
        <f>(Parameters!$B$19*(E195+Parameters!$B$20)^Q195+Parameters!$B$18*F195^Q195)^(1/Q195)</f>
        <v>0.53774470986944345</v>
      </c>
      <c r="T195" s="7">
        <f>(Parameters!$B$10*G195^Parameters!$B$9 + Parameters!$B$11*S195^Parameters!$B$9) ^ (Parameters!$B$7/Parameters!$B$9) * N195</f>
        <v>1.4761530960426914</v>
      </c>
      <c r="U195" s="7">
        <f t="shared" si="50"/>
        <v>1.1257275302480454</v>
      </c>
      <c r="V195" s="7">
        <f>EXP(-Parameters!$B$55*A195)</f>
        <v>5.5905081475045089E-2</v>
      </c>
      <c r="W195" s="7">
        <f>IF(U195&gt;0,U195^(1-Parameters!$B$52)/(1-Parameters!$B$52)*V195,-10+U195*1000)</f>
        <v>-0.15324333324844033</v>
      </c>
      <c r="X195" s="7"/>
      <c r="Y195" s="7"/>
      <c r="Z195" s="7"/>
      <c r="AA195" s="7"/>
    </row>
    <row r="196" spans="1:27" x14ac:dyDescent="0.25">
      <c r="A196">
        <f>A195+Parameters!$B$65</f>
        <v>192</v>
      </c>
      <c r="B196" s="9">
        <f t="shared" si="54"/>
        <v>5.5238794691412761E-2</v>
      </c>
      <c r="C196" s="9">
        <f t="shared" si="54"/>
        <v>2.532692781448906E-3</v>
      </c>
      <c r="D196" s="7">
        <f t="shared" si="54"/>
        <v>0.29265407832178425</v>
      </c>
      <c r="E196" s="7">
        <f>MAX((1-Parameters!$B$4)^Parameters!B$65*E195+B195*Parameters!B$65-Parameters!$B$5*B195^2/E195*Parameters!B$65,0.0001)</f>
        <v>0.81896095011948555</v>
      </c>
      <c r="F196" s="9">
        <f>(1-Parameters!$B$4)^Parameters!B$65*F195+C195*Parameters!B$65-Parameters!$B$5*C195^2/F195*Parameters!B$65</f>
        <v>3.7569655916958038E-2</v>
      </c>
      <c r="G196" s="7">
        <f>(1-Parameters!$B$4)^Parameters!B$65*G195+D195*Parameters!B$65-Parameters!$B$5*D195^2/G195*Parameters!B$65</f>
        <v>4.338878177397957</v>
      </c>
      <c r="H196" s="7">
        <f>H195 *(1-Parameters!$B$4)-B195*(B195&lt;0)*Parameters!B$65</f>
        <v>0</v>
      </c>
      <c r="I196" s="7">
        <f>I195*(1+Parameters!$B$51)^Parameters!B$65</f>
        <v>14.228377223409153</v>
      </c>
      <c r="J196" s="7">
        <f>J195*(1+Parameters!$B$53)^Parameters!B$65</f>
        <v>404.21204332507421</v>
      </c>
      <c r="K196" s="23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571.69223718477826</v>
      </c>
      <c r="L196" s="8">
        <f>L195+K196*Parameters!B$65</f>
        <v>43646.734987132179</v>
      </c>
      <c r="M196" s="7">
        <f>M195+Parameters!$B$45*K196</f>
        <v>26.188040992279294</v>
      </c>
      <c r="N196" s="7">
        <f>'6states'!O196</f>
        <v>0.96344560517511246</v>
      </c>
      <c r="O196" s="7">
        <f>MAX(O195+(Parameters!B$31-K196)*Parameters!B$65,30)</f>
        <v>30</v>
      </c>
      <c r="P196" s="7">
        <f>Parameters!B$61*EXP(-Parameters!B$60*A196)+(1-Parameters!B$61)*(O196/Parameters!B$62)^-Parameters!B$63</f>
        <v>0.52900765925087545</v>
      </c>
      <c r="Q196" s="9">
        <f>1-P196/Parameters!$B$12</f>
        <v>0.73549617037456227</v>
      </c>
      <c r="R196" s="23">
        <f t="shared" si="49"/>
        <v>3.780663597257151</v>
      </c>
      <c r="S196" s="7">
        <f>(Parameters!$B$19*(E196+Parameters!$B$20)^Q196+Parameters!$B$18*F196^Q196)^(1/Q196)</f>
        <v>0.53775255498150931</v>
      </c>
      <c r="T196" s="7">
        <f>(Parameters!$B$10*G196^Parameters!$B$9 + Parameters!$B$11*S196^Parameters!$B$9) ^ (Parameters!$B$7/Parameters!$B$9) * N196</f>
        <v>1.4761517885157152</v>
      </c>
      <c r="U196" s="7">
        <f t="shared" si="50"/>
        <v>1.1257262227210694</v>
      </c>
      <c r="V196" s="7">
        <f>EXP(-Parameters!$B$55*A196)</f>
        <v>5.5067256244579005E-2</v>
      </c>
      <c r="W196" s="7">
        <f>IF(U196&gt;0,U196^(1-Parameters!$B$52)/(1-Parameters!$B$52)*V196,-10+U196*1000)</f>
        <v>-0.1509468031820807</v>
      </c>
      <c r="X196" s="7"/>
      <c r="Y196" s="7"/>
      <c r="Z196" s="7"/>
      <c r="AA196" s="7"/>
    </row>
    <row r="197" spans="1:27" x14ac:dyDescent="0.25">
      <c r="A197">
        <f>A196+Parameters!$B$65</f>
        <v>193</v>
      </c>
      <c r="B197" s="9">
        <f t="shared" si="54"/>
        <v>5.5238794691412761E-2</v>
      </c>
      <c r="C197" s="9">
        <f t="shared" si="54"/>
        <v>2.532692781448906E-3</v>
      </c>
      <c r="D197" s="7">
        <f t="shared" si="54"/>
        <v>0.29265407832178425</v>
      </c>
      <c r="E197" s="7">
        <f>MAX((1-Parameters!$B$4)^Parameters!B$65*E196+B196*Parameters!B$65-Parameters!$B$5*B196^2/E196*Parameters!B$65,0.0001)</f>
        <v>0.81896125253446417</v>
      </c>
      <c r="F197" s="9">
        <f>(1-Parameters!$B$4)^Parameters!B$65*F196+C196*Parameters!B$65-Parameters!$B$5*C196^2/F196*Parameters!B$65</f>
        <v>3.7568480277803837E-2</v>
      </c>
      <c r="G197" s="7">
        <f>(1-Parameters!$B$4)^Parameters!B$65*G196+D196*Parameters!B$65-Parameters!$B$5*D196^2/G196*Parameters!B$65</f>
        <v>4.3388775203086274</v>
      </c>
      <c r="H197" s="7">
        <f>H196 *(1-Parameters!$B$4)-B196*(B196&lt;0)*Parameters!B$65</f>
        <v>0</v>
      </c>
      <c r="I197" s="7">
        <f>I196*(1+Parameters!$B$51)^Parameters!B$65</f>
        <v>14.269639517357037</v>
      </c>
      <c r="J197" s="7">
        <f>J196*(1+Parameters!$B$53)^Parameters!B$65</f>
        <v>412.29628419157569</v>
      </c>
      <c r="K197" s="23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579.08596034854759</v>
      </c>
      <c r="L197" s="8">
        <f>L196+K197*Parameters!B$65</f>
        <v>44225.820947480723</v>
      </c>
      <c r="M197" s="7">
        <f>M196+Parameters!$B$45*K197</f>
        <v>26.535492568488422</v>
      </c>
      <c r="N197" s="7">
        <f>'6states'!O197</f>
        <v>0.96344407130389798</v>
      </c>
      <c r="O197" s="7">
        <f>MAX(O196+(Parameters!B$31-K197)*Parameters!B$65,30)</f>
        <v>30</v>
      </c>
      <c r="P197" s="7">
        <f>Parameters!B$61*EXP(-Parameters!B$60*A197)+(1-Parameters!B$61)*(O197/Parameters!B$62)^-Parameters!B$63</f>
        <v>0.52893299694640261</v>
      </c>
      <c r="Q197" s="9">
        <f>1-P197/Parameters!$B$12</f>
        <v>0.73553350152679875</v>
      </c>
      <c r="R197" s="23">
        <f t="shared" ref="R197:R204" si="55">1/(1-Q197)</f>
        <v>3.7811972623115868</v>
      </c>
      <c r="S197" s="7">
        <f>(Parameters!$B$19*(E197+Parameters!$B$20)^Q197+Parameters!$B$18*F197^Q197)^(1/Q197)</f>
        <v>0.5377602089424639</v>
      </c>
      <c r="T197" s="7">
        <f>(Parameters!$B$10*G197^Parameters!$B$9 + Parameters!$B$11*S197^Parameters!$B$9) ^ (Parameters!$B$7/Parameters!$B$9) * N197</f>
        <v>1.4761504284730638</v>
      </c>
      <c r="U197" s="7">
        <f t="shared" ref="U197:U204" si="56">T197-B197-C197-D197</f>
        <v>1.125724862678418</v>
      </c>
      <c r="V197" s="7">
        <f>EXP(-Parameters!$B$55*A197)</f>
        <v>5.4241987137783339E-2</v>
      </c>
      <c r="W197" s="7">
        <f>IF(U197&gt;0,U197^(1-Parameters!$B$52)/(1-Parameters!$B$52)*V197,-10+U197*1000)</f>
        <v>-0.14868469172480528</v>
      </c>
      <c r="X197" s="7"/>
      <c r="Y197" s="7"/>
      <c r="Z197" s="7"/>
      <c r="AA197" s="7"/>
    </row>
    <row r="198" spans="1:27" x14ac:dyDescent="0.25">
      <c r="A198">
        <f>A197+Parameters!$B$65</f>
        <v>194</v>
      </c>
      <c r="B198" s="9">
        <f t="shared" si="54"/>
        <v>5.5238794691412761E-2</v>
      </c>
      <c r="C198" s="9">
        <f t="shared" si="54"/>
        <v>2.532692781448906E-3</v>
      </c>
      <c r="D198" s="7">
        <f t="shared" si="54"/>
        <v>0.29265407832178425</v>
      </c>
      <c r="E198" s="7">
        <f>MAX((1-Parameters!$B$4)^Parameters!B$65*E197+B197*Parameters!B$65-Parameters!$B$5*B197^2/E197*Parameters!B$65,0.0001)</f>
        <v>0.81896153730337173</v>
      </c>
      <c r="F198" s="9">
        <f>(1-Parameters!$B$4)^Parameters!B$65*F197+C197*Parameters!B$65-Parameters!$B$5*C197^2/F197*Parameters!B$65</f>
        <v>3.7567373243437972E-2</v>
      </c>
      <c r="G198" s="7">
        <f>(1-Parameters!$B$4)^Parameters!B$65*G197+D197*Parameters!B$65-Parameters!$B$5*D197^2/G197*Parameters!B$65</f>
        <v>4.3388769015608526</v>
      </c>
      <c r="H198" s="7">
        <f>H197 *(1-Parameters!$B$4)-B197*(B197&lt;0)*Parameters!B$65</f>
        <v>0</v>
      </c>
      <c r="I198" s="7">
        <f>I197*(1+Parameters!$B$51)^Parameters!B$65</f>
        <v>14.311021471957371</v>
      </c>
      <c r="J198" s="7">
        <f>J197*(1+Parameters!$B$53)^Parameters!B$65</f>
        <v>420.5422098754072</v>
      </c>
      <c r="K198" s="23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586.57595999001092</v>
      </c>
      <c r="L198" s="8">
        <f>L197+K198*Parameters!B$65</f>
        <v>44812.396907470735</v>
      </c>
      <c r="M198" s="7">
        <f>M197+Parameters!$B$45*K198</f>
        <v>26.887438144482427</v>
      </c>
      <c r="N198" s="7">
        <f>'6states'!O198</f>
        <v>0.96344251774467382</v>
      </c>
      <c r="O198" s="7">
        <f>MAX(O197+(Parameters!B$31-K198)*Parameters!B$65,30)</f>
        <v>30</v>
      </c>
      <c r="P198" s="7">
        <f>Parameters!B$61*EXP(-Parameters!B$60*A198)+(1-Parameters!B$61)*(O198/Parameters!B$62)^-Parameters!B$63</f>
        <v>0.52886032355302581</v>
      </c>
      <c r="Q198" s="9">
        <f>1-P198/Parameters!$B$12</f>
        <v>0.73556983822348709</v>
      </c>
      <c r="R198" s="23">
        <f t="shared" si="55"/>
        <v>3.7817168559052838</v>
      </c>
      <c r="S198" s="7">
        <f>(Parameters!$B$19*(E198+Parameters!$B$20)^Q198+Parameters!$B$18*F198^Q198)^(1/Q198)</f>
        <v>0.53776767579610074</v>
      </c>
      <c r="T198" s="7">
        <f>(Parameters!$B$10*G198^Parameters!$B$9 + Parameters!$B$11*S198^Parameters!$B$9) ^ (Parameters!$B$7/Parameters!$B$9) * N198</f>
        <v>1.4761490158924055</v>
      </c>
      <c r="U198" s="7">
        <f t="shared" si="56"/>
        <v>1.1257234500977598</v>
      </c>
      <c r="V198" s="7">
        <f>EXP(-Parameters!$B$55*A198)</f>
        <v>5.3429085981473647E-2</v>
      </c>
      <c r="W198" s="7">
        <f>IF(U198&gt;0,U198^(1-Parameters!$B$52)/(1-Parameters!$B$52)*V198,-10+U198*1000)</f>
        <v>-0.14645648300187708</v>
      </c>
      <c r="X198" s="7"/>
      <c r="Y198" s="7"/>
      <c r="Z198" s="7"/>
      <c r="AA198" s="7"/>
    </row>
    <row r="199" spans="1:27" x14ac:dyDescent="0.25">
      <c r="A199">
        <f>A198+Parameters!$B$65</f>
        <v>195</v>
      </c>
      <c r="B199" s="9">
        <f t="shared" si="54"/>
        <v>5.5238794691412761E-2</v>
      </c>
      <c r="C199" s="9">
        <f t="shared" si="54"/>
        <v>2.532692781448906E-3</v>
      </c>
      <c r="D199" s="7">
        <f t="shared" si="54"/>
        <v>0.29265407832178425</v>
      </c>
      <c r="E199" s="7">
        <f>MAX((1-Parameters!$B$4)^Parameters!B$65*E198+B198*Parameters!B$65-Parameters!$B$5*B198^2/E198*Parameters!B$65,0.0001)</f>
        <v>0.81896180545586483</v>
      </c>
      <c r="F199" s="9">
        <f>(1-Parameters!$B$4)^Parameters!B$65*F198+C198*Parameters!B$65-Parameters!$B$5*C198^2/F198*Parameters!B$65</f>
        <v>3.7566330810100981E-2</v>
      </c>
      <c r="G199" s="7">
        <f>(1-Parameters!$B$4)^Parameters!B$65*G198+D198*Parameters!B$65-Parameters!$B$5*D198^2/G198*Parameters!B$65</f>
        <v>4.3388763189173805</v>
      </c>
      <c r="H199" s="7">
        <f>H198 *(1-Parameters!$B$4)-B198*(B198&lt;0)*Parameters!B$65</f>
        <v>0</v>
      </c>
      <c r="I199" s="7">
        <f>I198*(1+Parameters!$B$51)^Parameters!B$65</f>
        <v>14.352523434226047</v>
      </c>
      <c r="J199" s="7">
        <f>J198*(1+Parameters!$B$53)^Parameters!B$65</f>
        <v>428.95305407291534</v>
      </c>
      <c r="K199" s="23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594.16348369745651</v>
      </c>
      <c r="L199" s="8">
        <f>L198+K199*Parameters!B$65</f>
        <v>45406.56039116819</v>
      </c>
      <c r="M199" s="7">
        <f>M198+Parameters!$B$45*K199</f>
        <v>27.2439362347009</v>
      </c>
      <c r="N199" s="7">
        <f>'6states'!O199</f>
        <v>0.96344094424766658</v>
      </c>
      <c r="O199" s="7">
        <f>MAX(O198+(Parameters!B$31-K199)*Parameters!B$65,30)</f>
        <v>30</v>
      </c>
      <c r="P199" s="7">
        <f>Parameters!B$61*EXP(-Parameters!B$60*A199)+(1-Parameters!B$61)*(O199/Parameters!B$62)^-Parameters!B$63</f>
        <v>0.52878958608862281</v>
      </c>
      <c r="Q199" s="9">
        <f>1-P199/Parameters!$B$12</f>
        <v>0.73560520695568865</v>
      </c>
      <c r="R199" s="23">
        <f t="shared" si="55"/>
        <v>3.7822227453337351</v>
      </c>
      <c r="S199" s="7">
        <f>(Parameters!$B$19*(E199+Parameters!$B$20)^Q199+Parameters!$B$18*F199^Q199)^(1/Q199)</f>
        <v>0.53777495954023669</v>
      </c>
      <c r="T199" s="7">
        <f>(Parameters!$B$10*G199^Parameters!$B$9 + Parameters!$B$11*S199^Parameters!$B$9) ^ (Parameters!$B$7/Parameters!$B$9) * N199</f>
        <v>1.4761475507516288</v>
      </c>
      <c r="U199" s="7">
        <f t="shared" si="56"/>
        <v>1.1257219849569831</v>
      </c>
      <c r="V199" s="7">
        <f>EXP(-Parameters!$B$55*A199)</f>
        <v>5.2628367422535426E-2</v>
      </c>
      <c r="W199" s="7">
        <f>IF(U199&gt;0,U199^(1-Parameters!$B$52)/(1-Parameters!$B$52)*V199,-10+U199*1000)</f>
        <v>-0.14426166887112399</v>
      </c>
      <c r="X199" s="7"/>
      <c r="Y199" s="7"/>
      <c r="Z199" s="7"/>
      <c r="AA199" s="7"/>
    </row>
    <row r="200" spans="1:27" x14ac:dyDescent="0.25">
      <c r="A200">
        <f>A199+Parameters!$B$65</f>
        <v>196</v>
      </c>
      <c r="B200" s="9">
        <f t="shared" si="54"/>
        <v>5.5238794691412761E-2</v>
      </c>
      <c r="C200" s="9">
        <f t="shared" si="54"/>
        <v>2.532692781448906E-3</v>
      </c>
      <c r="D200" s="7">
        <f t="shared" si="54"/>
        <v>0.29265407832178425</v>
      </c>
      <c r="E200" s="7">
        <f>MAX((1-Parameters!$B$4)^Parameters!B$65*E199+B199*Parameters!B$65-Parameters!$B$5*B199^2/E199*Parameters!B$65,0.0001)</f>
        <v>0.818962057961519</v>
      </c>
      <c r="F200" s="9">
        <f>(1-Parameters!$B$4)^Parameters!B$65*F199+C199*Parameters!B$65-Parameters!$B$5*C199^2/F199*Parameters!B$65</f>
        <v>3.7565349207726501E-2</v>
      </c>
      <c r="G200" s="7">
        <f>(1-Parameters!$B$4)^Parameters!B$65*G199+D199*Parameters!B$65-Parameters!$B$5*D199^2/G199*Parameters!B$65</f>
        <v>4.3388757702715015</v>
      </c>
      <c r="H200" s="7">
        <f>H199 *(1-Parameters!$B$4)-B199*(B199&lt;0)*Parameters!B$65</f>
        <v>0</v>
      </c>
      <c r="I200" s="7">
        <f>I199*(1+Parameters!$B$51)^Parameters!B$65</f>
        <v>14.394145752185301</v>
      </c>
      <c r="J200" s="7">
        <f>J199*(1+Parameters!$B$53)^Parameters!B$65</f>
        <v>437.53211515437363</v>
      </c>
      <c r="K200" s="23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601.84979526483585</v>
      </c>
      <c r="L200" s="8">
        <f>L199+K200*Parameters!B$65</f>
        <v>46008.41018643303</v>
      </c>
      <c r="M200" s="7">
        <f>M199+Parameters!$B$45*K200</f>
        <v>27.605046111859803</v>
      </c>
      <c r="N200" s="7">
        <f>'6states'!O200</f>
        <v>0.96343935055977614</v>
      </c>
      <c r="O200" s="7">
        <f>MAX(O199+(Parameters!B$31-K200)*Parameters!B$65,30)</f>
        <v>30</v>
      </c>
      <c r="P200" s="7">
        <f>Parameters!B$61*EXP(-Parameters!B$60*A200)+(1-Parameters!B$61)*(O200/Parameters!B$62)^-Parameters!B$63</f>
        <v>0.52872073298244926</v>
      </c>
      <c r="Q200" s="9">
        <f>1-P200/Parameters!$B$12</f>
        <v>0.73563963350877537</v>
      </c>
      <c r="R200" s="23">
        <f t="shared" si="55"/>
        <v>3.7827152885006865</v>
      </c>
      <c r="S200" s="7">
        <f>(Parameters!$B$19*(E200+Parameters!$B$20)^Q200+Parameters!$B$18*F200^Q200)^(1/Q200)</f>
        <v>0.53778206412428853</v>
      </c>
      <c r="T200" s="7">
        <f>(Parameters!$B$10*G200^Parameters!$B$9 + Parameters!$B$11*S200^Parameters!$B$9) ^ (Parameters!$B$7/Parameters!$B$9) * N200</f>
        <v>1.4761460330277709</v>
      </c>
      <c r="U200" s="7">
        <f t="shared" si="56"/>
        <v>1.1257204672331249</v>
      </c>
      <c r="V200" s="7">
        <f>EXP(-Parameters!$B$55*A200)</f>
        <v>5.1839648885661067E-2</v>
      </c>
      <c r="W200" s="7">
        <f>IF(U200&gt;0,U200^(1-Parameters!$B$52)/(1-Parameters!$B$52)*V200,-10+U200*1000)</f>
        <v>-0.14209974880707382</v>
      </c>
      <c r="X200" s="7"/>
      <c r="Y200" s="7"/>
      <c r="Z200" s="7"/>
      <c r="AA200" s="7"/>
    </row>
    <row r="201" spans="1:27" x14ac:dyDescent="0.25">
      <c r="A201">
        <f>A200+Parameters!$B$65</f>
        <v>197</v>
      </c>
      <c r="B201" s="9">
        <f t="shared" si="54"/>
        <v>5.5238794691412761E-2</v>
      </c>
      <c r="C201" s="9">
        <f t="shared" si="54"/>
        <v>2.532692781448906E-3</v>
      </c>
      <c r="D201" s="7">
        <f t="shared" si="54"/>
        <v>0.29265407832178425</v>
      </c>
      <c r="E201" s="7">
        <f>MAX((1-Parameters!$B$4)^Parameters!B$65*E200+B200*Parameters!B$65-Parameters!$B$5*B200^2/E200*Parameters!B$65,0.0001)</f>
        <v>0.8189622957333349</v>
      </c>
      <c r="F201" s="9">
        <f>(1-Parameters!$B$4)^Parameters!B$65*F200+C200*Parameters!B$65-Parameters!$B$5*C200^2/F200*Parameters!B$65</f>
        <v>3.7564424886297014E-2</v>
      </c>
      <c r="G201" s="7">
        <f>(1-Parameters!$B$4)^Parameters!B$65*G200+D200*Parameters!B$65-Parameters!$B$5*D200^2/G200*Parameters!B$65</f>
        <v>4.3388752536394355</v>
      </c>
      <c r="H201" s="7">
        <f>H200 *(1-Parameters!$B$4)-B200*(B200&lt;0)*Parameters!B$65</f>
        <v>0</v>
      </c>
      <c r="I201" s="7">
        <f>I200*(1+Parameters!$B$51)^Parameters!B$65</f>
        <v>14.435888774866637</v>
      </c>
      <c r="J201" s="7">
        <f>J200*(1+Parameters!$B$53)^Parameters!B$65</f>
        <v>446.28275745746112</v>
      </c>
      <c r="K201" s="23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609.6361749028664</v>
      </c>
      <c r="L201" s="8">
        <f>L200+K201*Parameters!B$65</f>
        <v>46618.046361335895</v>
      </c>
      <c r="M201" s="7">
        <f>M200+Parameters!$B$45*K201</f>
        <v>27.970827816801524</v>
      </c>
      <c r="N201" s="7">
        <f>'6states'!O201</f>
        <v>0.96343773642453667</v>
      </c>
      <c r="O201" s="7">
        <f>MAX(O200+(Parameters!B$31-K201)*Parameters!B$65,30)</f>
        <v>30</v>
      </c>
      <c r="P201" s="7">
        <f>Parameters!B$61*EXP(-Parameters!B$60*A201)+(1-Parameters!B$61)*(O201/Parameters!B$62)^-Parameters!B$63</f>
        <v>0.52865371403754124</v>
      </c>
      <c r="Q201" s="9">
        <f>1-P201/Parameters!$B$12</f>
        <v>0.73567314298122932</v>
      </c>
      <c r="R201" s="23">
        <f t="shared" si="55"/>
        <v>3.7831948341480368</v>
      </c>
      <c r="S201" s="7">
        <f>(Parameters!$B$19*(E201+Parameters!$B$20)^Q201+Parameters!$B$18*F201^Q201)^(1/Q201)</f>
        <v>0.53778899344713171</v>
      </c>
      <c r="T201" s="7">
        <f>(Parameters!$B$10*G201^Parameters!$B$9 + Parameters!$B$11*S201^Parameters!$B$9) ^ (Parameters!$B$7/Parameters!$B$9) * N201</f>
        <v>1.4761444626960307</v>
      </c>
      <c r="U201" s="7">
        <f t="shared" si="56"/>
        <v>1.1257188969013847</v>
      </c>
      <c r="V201" s="7">
        <f>EXP(-Parameters!$B$55*A201)</f>
        <v>5.1062750531719887E-2</v>
      </c>
      <c r="W201" s="7">
        <f>IF(U201&gt;0,U201^(1-Parameters!$B$52)/(1-Parameters!$B$52)*V201,-10+U201*1000)</f>
        <v>-0.13997022978681872</v>
      </c>
      <c r="X201" s="7"/>
      <c r="Y201" s="7"/>
      <c r="Z201" s="7"/>
      <c r="AA201" s="7"/>
    </row>
    <row r="202" spans="1:27" x14ac:dyDescent="0.25">
      <c r="A202">
        <f>A201+Parameters!$B$65</f>
        <v>198</v>
      </c>
      <c r="B202" s="9">
        <f t="shared" ref="B202:D204" si="57">B201</f>
        <v>5.5238794691412761E-2</v>
      </c>
      <c r="C202" s="9">
        <f t="shared" si="57"/>
        <v>2.532692781448906E-3</v>
      </c>
      <c r="D202" s="7">
        <f t="shared" si="57"/>
        <v>0.29265407832178425</v>
      </c>
      <c r="E202" s="7">
        <f>MAX((1-Parameters!$B$4)^Parameters!B$65*E201+B201*Parameters!B$65-Parameters!$B$5*B201^2/E201*Parameters!B$65,0.0001)</f>
        <v>0.81896251963103905</v>
      </c>
      <c r="F202" s="9">
        <f>(1-Parameters!$B$4)^Parameters!B$65*F201+C201*Parameters!B$65-Parameters!$B$5*C201^2/F201*Parameters!B$65</f>
        <v>3.7563554502996747E-2</v>
      </c>
      <c r="G202" s="7">
        <f>(1-Parameters!$B$4)^Parameters!B$65*G201+D201*Parameters!B$65-Parameters!$B$5*D201^2/G201*Parameters!B$65</f>
        <v>4.3388747671531567</v>
      </c>
      <c r="H202" s="7">
        <f>H201 *(1-Parameters!$B$4)-B201*(B201&lt;0)*Parameters!B$65</f>
        <v>0</v>
      </c>
      <c r="I202" s="7">
        <f>I201*(1+Parameters!$B$51)^Parameters!B$65</f>
        <v>14.477752852313749</v>
      </c>
      <c r="J202" s="7">
        <f>J201*(1+Parameters!$B$53)^Parameters!B$65</f>
        <v>455.20841260661035</v>
      </c>
      <c r="K202" s="23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617.52391945283091</v>
      </c>
      <c r="L202" s="8">
        <f>L201+K202*Parameters!B$65</f>
        <v>47235.570280788728</v>
      </c>
      <c r="M202" s="7">
        <f>M201+Parameters!$B$45*K202</f>
        <v>28.341342168473222</v>
      </c>
      <c r="N202" s="7">
        <f>'6states'!O202</f>
        <v>0.96343610158207671</v>
      </c>
      <c r="O202" s="7">
        <f>MAX(O201+(Parameters!B$31-K202)*Parameters!B$65,30)</f>
        <v>30</v>
      </c>
      <c r="P202" s="7">
        <f>Parameters!B$61*EXP(-Parameters!B$60*A202)+(1-Parameters!B$61)*(O202/Parameters!B$62)^-Parameters!B$63</f>
        <v>0.52858848039411999</v>
      </c>
      <c r="Q202" s="9">
        <f>1-P202/Parameters!$B$12</f>
        <v>0.73570575980293995</v>
      </c>
      <c r="R202" s="23">
        <f t="shared" si="55"/>
        <v>3.7836617220806303</v>
      </c>
      <c r="S202" s="7">
        <f>(Parameters!$B$19*(E202+Parameters!$B$20)^Q202+Parameters!$B$18*F202^Q202)^(1/Q202)</f>
        <v>0.53779575135521795</v>
      </c>
      <c r="T202" s="7">
        <f>(Parameters!$B$10*G202^Parameters!$B$9 + Parameters!$B$11*S202^Parameters!$B$9) ^ (Parameters!$B$7/Parameters!$B$9) * N202</f>
        <v>1.476142839728849</v>
      </c>
      <c r="U202" s="7">
        <f t="shared" si="56"/>
        <v>1.1257172739342032</v>
      </c>
      <c r="V202" s="7">
        <f>EXP(-Parameters!$B$55*A202)</f>
        <v>5.0297495216752343E-2</v>
      </c>
      <c r="W202" s="7">
        <f>IF(U202&gt;0,U202^(1-Parameters!$B$52)/(1-Parameters!$B$52)*V202,-10+U202*1000)</f>
        <v>-0.13787262617758547</v>
      </c>
      <c r="X202" s="7"/>
      <c r="Y202" s="7"/>
      <c r="Z202" s="7"/>
      <c r="AA202" s="7"/>
    </row>
    <row r="203" spans="1:27" x14ac:dyDescent="0.25">
      <c r="A203">
        <f>A202+Parameters!$B$65</f>
        <v>199</v>
      </c>
      <c r="B203" s="9">
        <f t="shared" si="57"/>
        <v>5.5238794691412761E-2</v>
      </c>
      <c r="C203" s="9">
        <f t="shared" si="57"/>
        <v>2.532692781448906E-3</v>
      </c>
      <c r="D203" s="7">
        <f t="shared" si="57"/>
        <v>0.29265407832178425</v>
      </c>
      <c r="E203" s="7">
        <f>MAX((1-Parameters!$B$4)^Parameters!B$65*E202+B202*Parameters!B$65-Parameters!$B$5*B202^2/E202*Parameters!B$65,0.0001)</f>
        <v>0.81896273046419255</v>
      </c>
      <c r="F203" s="9">
        <f>(1-Parameters!$B$4)^Parameters!B$65*F202+C202*Parameters!B$65-Parameters!$B$5*C202^2/F202*Parameters!B$65</f>
        <v>3.7562734910114935E-2</v>
      </c>
      <c r="G203" s="7">
        <f>(1-Parameters!$B$4)^Parameters!B$65*G202+D202*Parameters!B$65-Parameters!$B$5*D202^2/G202*Parameters!B$65</f>
        <v>4.3388743090536401</v>
      </c>
      <c r="H203" s="7">
        <f>H202 *(1-Parameters!$B$4)-B202*(B202&lt;0)*Parameters!B$65</f>
        <v>0</v>
      </c>
      <c r="I203" s="7">
        <f>I202*(1+Parameters!$B$51)^Parameters!B$65</f>
        <v>14.519738335585458</v>
      </c>
      <c r="J203" s="7">
        <f>J202*(1+Parameters!$B$53)^Parameters!B$65</f>
        <v>464.31258085874259</v>
      </c>
      <c r="K203" s="23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625.51434260311169</v>
      </c>
      <c r="L203" s="8">
        <f>L202+K203*Parameters!B$65</f>
        <v>47861.084623391842</v>
      </c>
      <c r="M203" s="7">
        <f>M202+Parameters!$B$45*K203</f>
        <v>28.716650774035088</v>
      </c>
      <c r="N203" s="7">
        <f>'6states'!O203</f>
        <v>0.96343444576907877</v>
      </c>
      <c r="O203" s="7">
        <f>MAX(O202+(Parameters!B$31-K203)*Parameters!B$65,30)</f>
        <v>30</v>
      </c>
      <c r="P203" s="7">
        <f>Parameters!B$61*EXP(-Parameters!B$60*A203)+(1-Parameters!B$61)*(O203/Parameters!B$62)^-Parameters!B$63</f>
        <v>0.52852498449397034</v>
      </c>
      <c r="Q203" s="9">
        <f>1-P203/Parameters!$B$12</f>
        <v>0.73573750775301483</v>
      </c>
      <c r="R203" s="23">
        <f t="shared" si="55"/>
        <v>3.7841162833860635</v>
      </c>
      <c r="S203" s="7">
        <f>(Parameters!$B$19*(E203+Parameters!$B$20)^Q203+Parameters!$B$18*F203^Q203)^(1/Q203)</f>
        <v>0.53780234164093588</v>
      </c>
      <c r="T203" s="7">
        <f>(Parameters!$B$10*G203^Parameters!$B$9 + Parameters!$B$11*S203^Parameters!$B$9) ^ (Parameters!$B$7/Parameters!$B$9) * N203</f>
        <v>1.4761411640950575</v>
      </c>
      <c r="U203" s="7">
        <f t="shared" si="56"/>
        <v>1.1257155983004115</v>
      </c>
      <c r="V203" s="7">
        <f>EXP(-Parameters!$B$55*A203)</f>
        <v>4.9543708451578718E-2</v>
      </c>
      <c r="W203" s="7">
        <f>IF(U203&gt;0,U203^(1-Parameters!$B$52)/(1-Parameters!$B$52)*V203,-10+U203*1000)</f>
        <v>-0.13580645962598503</v>
      </c>
      <c r="X203" s="7"/>
      <c r="Y203" s="7"/>
      <c r="Z203" s="7"/>
      <c r="AA203" s="7"/>
    </row>
    <row r="204" spans="1:27" x14ac:dyDescent="0.25">
      <c r="A204">
        <f>A203+Parameters!$B$65</f>
        <v>200</v>
      </c>
      <c r="B204" s="9">
        <f t="shared" si="57"/>
        <v>5.5238794691412761E-2</v>
      </c>
      <c r="C204" s="9">
        <f t="shared" si="57"/>
        <v>2.532692781448906E-3</v>
      </c>
      <c r="D204" s="7">
        <f t="shared" si="57"/>
        <v>0.29265407832178425</v>
      </c>
      <c r="E204" s="7">
        <f>MAX((1-Parameters!$B$4)^Parameters!B$65*E203+B203*Parameters!B$65-Parameters!$B$5*B203^2/E203*Parameters!B$65,0.0001)</f>
        <v>0.81896292899511858</v>
      </c>
      <c r="F204" s="9">
        <f>(1-Parameters!$B$4)^Parameters!B$65*F203+C203*Parameters!B$65-Parameters!$B$5*C203^2/F203*Parameters!B$65</f>
        <v>3.7561963143655716E-2</v>
      </c>
      <c r="G204" s="7">
        <f>(1-Parameters!$B$4)^Parameters!B$65*G203+D203*Parameters!B$65-Parameters!$B$5*D203^2/G203*Parameters!B$65</f>
        <v>4.3388738776845015</v>
      </c>
      <c r="H204" s="7">
        <f>H203 *(1-Parameters!$B$4)-B203*(B203&lt;0)*Parameters!B$65</f>
        <v>0</v>
      </c>
      <c r="I204" s="7">
        <f>I203*(1+Parameters!$B$51)^Parameters!B$65</f>
        <v>14.561845576758655</v>
      </c>
      <c r="J204" s="7">
        <f>J203*(1+Parameters!$B$53)^Parameters!B$65</f>
        <v>473.59883247591745</v>
      </c>
      <c r="K204" s="23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633.6087751084998</v>
      </c>
      <c r="L204" s="8">
        <f>L203+K204*Parameters!B$65</f>
        <v>48494.693398500342</v>
      </c>
      <c r="M204" s="7">
        <f>M203+Parameters!$B$45*K204</f>
        <v>29.096816039100187</v>
      </c>
      <c r="N204" s="7">
        <f>'6states'!O204</f>
        <v>0.96343276871873862</v>
      </c>
      <c r="O204" s="7">
        <f>MAX(O203+(Parameters!B$31-K204)*Parameters!B$65,30)</f>
        <v>30</v>
      </c>
      <c r="P204" s="7">
        <f>Parameters!B$61*EXP(-Parameters!B$60*A204)+(1-Parameters!B$61)*(O204/Parameters!B$62)^-Parameters!B$63</f>
        <v>0.52846318004576898</v>
      </c>
      <c r="Q204" s="9">
        <f>1-P204/Parameters!$B$12</f>
        <v>0.73576840997711557</v>
      </c>
      <c r="R204" s="23">
        <f t="shared" si="55"/>
        <v>3.78455884064957</v>
      </c>
      <c r="S204" s="7">
        <f>(Parameters!$B$19*(E204+Parameters!$B$20)^Q204+Parameters!$B$18*F204^Q204)^(1/Q204)</f>
        <v>0.5378087680411946</v>
      </c>
      <c r="T204" s="7">
        <f>(Parameters!$B$10*G204^Parameters!$B$9 + Parameters!$B$11*S204^Parameters!$B$9) ^ (Parameters!$B$7/Parameters!$B$9) * N204</f>
        <v>1.4761394357590929</v>
      </c>
      <c r="U204" s="7">
        <f t="shared" si="56"/>
        <v>1.1257138699644469</v>
      </c>
      <c r="V204" s="7">
        <f>EXP(-Parameters!$B$55*A204)</f>
        <v>4.8801218362012941E-2</v>
      </c>
      <c r="W204" s="7">
        <f>IF(U204&gt;0,U204^(1-Parameters!$B$52)/(1-Parameters!$B$52)*V204/Parameters!$B$55,-10+U204*1000)</f>
        <v>-8.859023771451449</v>
      </c>
      <c r="X204" s="7"/>
      <c r="Y204" s="7"/>
      <c r="Z204" s="7"/>
      <c r="AA204" s="7"/>
    </row>
    <row r="205" spans="1:27" x14ac:dyDescent="0.25">
      <c r="B205" s="9"/>
      <c r="C205" s="9"/>
      <c r="D205" s="7"/>
      <c r="E205" s="7"/>
      <c r="F205" s="9"/>
      <c r="G205" s="7"/>
      <c r="I205" s="7"/>
      <c r="J205" s="7"/>
      <c r="K205" s="23"/>
      <c r="L205" s="8"/>
      <c r="M205" s="7"/>
      <c r="N205" s="7"/>
      <c r="O205" s="7"/>
      <c r="P205" s="7"/>
      <c r="Q205" s="9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x14ac:dyDescent="0.25">
      <c r="B206" s="9"/>
      <c r="C206" s="9"/>
      <c r="D206" s="7"/>
      <c r="E206" s="7"/>
      <c r="F206" s="9"/>
      <c r="G206" s="7"/>
      <c r="I206" s="7"/>
      <c r="J206" s="7"/>
      <c r="K206" s="23"/>
      <c r="L206" s="8"/>
      <c r="M206" s="7"/>
      <c r="N206" s="7"/>
      <c r="O206" s="7"/>
      <c r="P206" s="7"/>
      <c r="Q206" s="9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x14ac:dyDescent="0.25">
      <c r="B207" s="9"/>
      <c r="C207" s="9"/>
      <c r="D207" s="7"/>
      <c r="E207" s="7"/>
      <c r="F207" s="9"/>
      <c r="G207" s="7"/>
      <c r="I207" s="7"/>
      <c r="J207" s="7"/>
      <c r="K207" s="23"/>
      <c r="L207" s="8"/>
      <c r="M207" s="7"/>
      <c r="N207" s="7"/>
      <c r="O207" s="7"/>
      <c r="P207" s="7"/>
      <c r="Q207" s="9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x14ac:dyDescent="0.25">
      <c r="B208" s="9"/>
      <c r="C208" s="9"/>
      <c r="D208" s="7"/>
      <c r="E208" s="7"/>
      <c r="F208" s="9"/>
      <c r="G208" s="7"/>
      <c r="I208" s="7"/>
      <c r="J208" s="7"/>
      <c r="K208" s="23"/>
      <c r="L208" s="8"/>
      <c r="M208" s="7"/>
      <c r="N208" s="7"/>
      <c r="O208" s="7"/>
      <c r="P208" s="7"/>
      <c r="Q208" s="9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x14ac:dyDescent="0.25">
      <c r="B209" s="9"/>
      <c r="C209" s="9"/>
      <c r="D209" s="7"/>
      <c r="E209" s="7"/>
      <c r="F209" s="9"/>
      <c r="G209" s="7"/>
      <c r="I209" s="7"/>
      <c r="J209" s="7"/>
      <c r="K209" s="23"/>
      <c r="L209" s="8"/>
      <c r="M209" s="7"/>
      <c r="N209" s="7"/>
      <c r="O209" s="7"/>
      <c r="P209" s="7"/>
      <c r="Q209" s="9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x14ac:dyDescent="0.25">
      <c r="B210" s="9"/>
      <c r="C210" s="9"/>
      <c r="D210" s="7"/>
      <c r="E210" s="7"/>
      <c r="F210" s="9"/>
      <c r="G210" s="7"/>
      <c r="I210" s="7"/>
      <c r="J210" s="7"/>
      <c r="K210" s="23"/>
      <c r="L210" s="8"/>
      <c r="M210" s="7"/>
      <c r="N210" s="7"/>
      <c r="O210" s="7"/>
      <c r="P210" s="7"/>
      <c r="Q210" s="9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x14ac:dyDescent="0.25">
      <c r="B211" s="9"/>
      <c r="C211" s="9"/>
      <c r="D211" s="7"/>
      <c r="E211" s="7"/>
      <c r="F211" s="9"/>
      <c r="G211" s="7"/>
      <c r="I211" s="7"/>
      <c r="J211" s="7"/>
      <c r="K211" s="23"/>
      <c r="L211" s="8"/>
      <c r="M211" s="7"/>
      <c r="N211" s="7"/>
      <c r="O211" s="7"/>
      <c r="P211" s="7"/>
      <c r="Q211" s="9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x14ac:dyDescent="0.25">
      <c r="B212" s="9"/>
      <c r="C212" s="9"/>
      <c r="D212" s="7"/>
      <c r="E212" s="7"/>
      <c r="F212" s="9"/>
      <c r="G212" s="7"/>
      <c r="I212" s="7"/>
      <c r="J212" s="7"/>
      <c r="K212" s="23"/>
      <c r="L212" s="8"/>
      <c r="M212" s="7"/>
      <c r="N212" s="7"/>
      <c r="O212" s="7"/>
      <c r="P212" s="7"/>
      <c r="Q212" s="9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x14ac:dyDescent="0.25">
      <c r="B213" s="9"/>
      <c r="C213" s="9"/>
      <c r="D213" s="7"/>
      <c r="E213" s="7"/>
      <c r="F213" s="9"/>
      <c r="G213" s="7"/>
      <c r="I213" s="7"/>
      <c r="J213" s="7"/>
      <c r="K213" s="23"/>
      <c r="L213" s="8"/>
      <c r="M213" s="7"/>
      <c r="N213" s="7"/>
      <c r="O213" s="7"/>
      <c r="P213" s="7"/>
      <c r="Q213" s="9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x14ac:dyDescent="0.25">
      <c r="B214" s="9"/>
      <c r="C214" s="9"/>
      <c r="D214" s="7"/>
      <c r="E214" s="7"/>
      <c r="F214" s="9"/>
      <c r="G214" s="7"/>
      <c r="I214" s="7"/>
      <c r="J214" s="7"/>
      <c r="K214" s="23"/>
      <c r="L214" s="8"/>
      <c r="M214" s="7"/>
      <c r="N214" s="7"/>
      <c r="O214" s="7"/>
      <c r="P214" s="7"/>
      <c r="Q214" s="9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x14ac:dyDescent="0.25">
      <c r="B215" s="9"/>
      <c r="C215" s="9"/>
      <c r="D215" s="7"/>
      <c r="E215" s="7"/>
      <c r="F215" s="9"/>
      <c r="G215" s="7"/>
      <c r="I215" s="7"/>
      <c r="J215" s="7"/>
      <c r="K215" s="23"/>
      <c r="L215" s="8"/>
      <c r="M215" s="7"/>
      <c r="N215" s="7"/>
      <c r="O215" s="7"/>
      <c r="P215" s="7"/>
      <c r="Q215" s="9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x14ac:dyDescent="0.25">
      <c r="B216" s="9"/>
      <c r="C216" s="9"/>
      <c r="D216" s="7"/>
      <c r="E216" s="7"/>
      <c r="F216" s="9"/>
      <c r="G216" s="7"/>
      <c r="I216" s="7"/>
      <c r="J216" s="7"/>
      <c r="K216" s="23"/>
      <c r="L216" s="8"/>
      <c r="M216" s="7"/>
      <c r="N216" s="7"/>
      <c r="O216" s="7"/>
      <c r="P216" s="7"/>
      <c r="Q216" s="9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x14ac:dyDescent="0.25">
      <c r="B217" s="9"/>
      <c r="C217" s="9"/>
      <c r="D217" s="7"/>
      <c r="E217" s="7"/>
      <c r="F217" s="9"/>
      <c r="G217" s="7"/>
      <c r="I217" s="7"/>
      <c r="J217" s="7"/>
      <c r="K217" s="23"/>
      <c r="L217" s="8"/>
      <c r="M217" s="7"/>
      <c r="N217" s="7"/>
      <c r="O217" s="7"/>
      <c r="P217" s="7"/>
      <c r="Q217" s="9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x14ac:dyDescent="0.25">
      <c r="B218" s="9"/>
      <c r="C218" s="9"/>
      <c r="D218" s="7"/>
      <c r="E218" s="7"/>
      <c r="F218" s="9"/>
      <c r="G218" s="7"/>
      <c r="I218" s="7"/>
      <c r="J218" s="7"/>
      <c r="K218" s="23"/>
      <c r="L218" s="8"/>
      <c r="M218" s="7"/>
      <c r="N218" s="7"/>
      <c r="O218" s="7"/>
      <c r="P218" s="7"/>
      <c r="Q218" s="9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x14ac:dyDescent="0.25">
      <c r="B219" s="9"/>
      <c r="C219" s="9"/>
      <c r="D219" s="7"/>
      <c r="E219" s="7"/>
      <c r="F219" s="9"/>
      <c r="G219" s="7"/>
      <c r="I219" s="7"/>
      <c r="J219" s="7"/>
      <c r="K219" s="23"/>
      <c r="L219" s="8"/>
      <c r="M219" s="7"/>
      <c r="N219" s="7"/>
      <c r="O219" s="7"/>
      <c r="P219" s="7"/>
      <c r="Q219" s="9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x14ac:dyDescent="0.25">
      <c r="B220" s="9"/>
      <c r="C220" s="9"/>
      <c r="D220" s="7"/>
      <c r="E220" s="7"/>
      <c r="F220" s="9"/>
      <c r="G220" s="7"/>
      <c r="I220" s="7"/>
      <c r="J220" s="7"/>
      <c r="K220" s="23"/>
      <c r="L220" s="8"/>
      <c r="M220" s="7"/>
      <c r="N220" s="7"/>
      <c r="O220" s="7"/>
      <c r="P220" s="7"/>
      <c r="Q220" s="9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x14ac:dyDescent="0.25">
      <c r="B221" s="9"/>
      <c r="C221" s="9"/>
      <c r="D221" s="7"/>
      <c r="E221" s="7"/>
      <c r="F221" s="9"/>
      <c r="G221" s="7"/>
      <c r="I221" s="7"/>
      <c r="J221" s="7"/>
      <c r="K221" s="23"/>
      <c r="L221" s="8"/>
      <c r="M221" s="7"/>
      <c r="N221" s="7"/>
      <c r="O221" s="7"/>
      <c r="P221" s="7"/>
      <c r="Q221" s="9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x14ac:dyDescent="0.25">
      <c r="B222" s="9"/>
      <c r="C222" s="9"/>
      <c r="D222" s="7"/>
      <c r="E222" s="7"/>
      <c r="F222" s="9"/>
      <c r="G222" s="7"/>
      <c r="I222" s="7"/>
      <c r="J222" s="7"/>
      <c r="K222" s="23"/>
      <c r="L222" s="8"/>
      <c r="M222" s="7"/>
      <c r="N222" s="7"/>
      <c r="O222" s="7"/>
      <c r="P222" s="7"/>
      <c r="Q222" s="9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x14ac:dyDescent="0.25">
      <c r="B223" s="9"/>
      <c r="C223" s="9"/>
      <c r="D223" s="7"/>
      <c r="E223" s="7"/>
      <c r="F223" s="9"/>
      <c r="G223" s="7"/>
      <c r="I223" s="7"/>
      <c r="J223" s="7"/>
      <c r="K223" s="23"/>
      <c r="L223" s="8"/>
      <c r="M223" s="7"/>
      <c r="N223" s="7"/>
      <c r="O223" s="7"/>
      <c r="P223" s="7"/>
      <c r="Q223" s="9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x14ac:dyDescent="0.25">
      <c r="B224" s="9"/>
      <c r="C224" s="9"/>
      <c r="D224" s="7"/>
      <c r="E224" s="7"/>
      <c r="F224" s="9"/>
      <c r="G224" s="7"/>
      <c r="I224" s="7"/>
      <c r="J224" s="7"/>
      <c r="K224" s="23"/>
      <c r="L224" s="8"/>
      <c r="M224" s="7"/>
      <c r="N224" s="7"/>
      <c r="O224" s="7"/>
      <c r="P224" s="7"/>
      <c r="Q224" s="9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x14ac:dyDescent="0.25">
      <c r="B225" s="9"/>
      <c r="C225" s="9"/>
      <c r="D225" s="7"/>
      <c r="E225" s="7"/>
      <c r="F225" s="9"/>
      <c r="G225" s="7"/>
      <c r="I225" s="7"/>
      <c r="J225" s="7"/>
      <c r="K225" s="23"/>
      <c r="L225" s="8"/>
      <c r="M225" s="7"/>
      <c r="N225" s="7"/>
      <c r="O225" s="7"/>
      <c r="P225" s="7"/>
      <c r="Q225" s="9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x14ac:dyDescent="0.25">
      <c r="B226" s="9"/>
      <c r="C226" s="9"/>
      <c r="D226" s="7"/>
      <c r="E226" s="7"/>
      <c r="F226" s="9"/>
      <c r="G226" s="7"/>
      <c r="I226" s="7"/>
      <c r="J226" s="7"/>
      <c r="K226" s="23"/>
      <c r="L226" s="8"/>
      <c r="M226" s="7"/>
      <c r="N226" s="7"/>
      <c r="O226" s="7"/>
      <c r="P226" s="7"/>
      <c r="Q226" s="9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x14ac:dyDescent="0.25">
      <c r="B227" s="9"/>
      <c r="C227" s="9"/>
      <c r="D227" s="7"/>
      <c r="E227" s="7"/>
      <c r="F227" s="9"/>
      <c r="G227" s="7"/>
      <c r="I227" s="7"/>
      <c r="J227" s="7"/>
      <c r="K227" s="23"/>
      <c r="L227" s="8"/>
      <c r="M227" s="7"/>
      <c r="N227" s="7"/>
      <c r="O227" s="7"/>
      <c r="P227" s="7"/>
      <c r="Q227" s="9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x14ac:dyDescent="0.25">
      <c r="B228" s="9"/>
      <c r="C228" s="9"/>
      <c r="D228" s="7"/>
      <c r="E228" s="7"/>
      <c r="F228" s="9"/>
      <c r="G228" s="7"/>
      <c r="I228" s="7"/>
      <c r="J228" s="7"/>
      <c r="K228" s="23"/>
      <c r="L228" s="8"/>
      <c r="M228" s="7"/>
      <c r="N228" s="7"/>
      <c r="O228" s="7"/>
      <c r="P228" s="7"/>
      <c r="Q228" s="9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x14ac:dyDescent="0.25">
      <c r="B229" s="9"/>
      <c r="C229" s="9"/>
      <c r="D229" s="7"/>
      <c r="E229" s="7"/>
      <c r="F229" s="9"/>
      <c r="G229" s="7"/>
      <c r="I229" s="7"/>
      <c r="J229" s="7"/>
      <c r="K229" s="23"/>
      <c r="L229" s="8"/>
      <c r="M229" s="7"/>
      <c r="N229" s="7"/>
      <c r="O229" s="7"/>
      <c r="P229" s="7"/>
      <c r="Q229" s="9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x14ac:dyDescent="0.25">
      <c r="B230" s="9"/>
      <c r="C230" s="9"/>
      <c r="D230" s="7"/>
      <c r="E230" s="7"/>
      <c r="F230" s="9"/>
      <c r="G230" s="7"/>
      <c r="I230" s="7"/>
      <c r="J230" s="7"/>
      <c r="K230" s="23"/>
      <c r="L230" s="8"/>
      <c r="M230" s="7"/>
      <c r="N230" s="7"/>
      <c r="O230" s="7"/>
      <c r="P230" s="7"/>
      <c r="Q230" s="9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x14ac:dyDescent="0.25">
      <c r="B231" s="9"/>
      <c r="C231" s="9"/>
      <c r="D231" s="7"/>
      <c r="E231" s="7"/>
      <c r="F231" s="9"/>
      <c r="G231" s="7"/>
      <c r="I231" s="7"/>
      <c r="J231" s="7"/>
      <c r="K231" s="23"/>
      <c r="L231" s="8"/>
      <c r="M231" s="7"/>
      <c r="N231" s="7"/>
      <c r="O231" s="7"/>
      <c r="P231" s="7"/>
      <c r="Q231" s="9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x14ac:dyDescent="0.25">
      <c r="B232" s="9"/>
      <c r="C232" s="9"/>
      <c r="D232" s="7"/>
      <c r="E232" s="7"/>
      <c r="F232" s="9"/>
      <c r="G232" s="7"/>
      <c r="I232" s="7"/>
      <c r="J232" s="7"/>
      <c r="K232" s="23"/>
      <c r="L232" s="8"/>
      <c r="M232" s="7"/>
      <c r="N232" s="7"/>
      <c r="O232" s="7"/>
      <c r="P232" s="7"/>
      <c r="Q232" s="9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x14ac:dyDescent="0.25">
      <c r="B233" s="9"/>
      <c r="C233" s="9"/>
      <c r="D233" s="7"/>
      <c r="E233" s="7"/>
      <c r="F233" s="9"/>
      <c r="G233" s="7"/>
      <c r="I233" s="7"/>
      <c r="J233" s="7"/>
      <c r="K233" s="23"/>
      <c r="L233" s="8"/>
      <c r="M233" s="7"/>
      <c r="N233" s="7"/>
      <c r="O233" s="7"/>
      <c r="P233" s="7"/>
      <c r="Q233" s="9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x14ac:dyDescent="0.25">
      <c r="B234" s="9"/>
      <c r="C234" s="9"/>
      <c r="D234" s="7"/>
      <c r="E234" s="7"/>
      <c r="F234" s="9"/>
      <c r="G234" s="7"/>
      <c r="I234" s="7"/>
      <c r="J234" s="7"/>
      <c r="K234" s="23"/>
      <c r="L234" s="8"/>
      <c r="M234" s="7"/>
      <c r="N234" s="7"/>
      <c r="O234" s="7"/>
      <c r="P234" s="7"/>
      <c r="Q234" s="9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x14ac:dyDescent="0.25">
      <c r="B235" s="9"/>
      <c r="C235" s="9"/>
      <c r="D235" s="7"/>
      <c r="E235" s="7"/>
      <c r="F235" s="9"/>
      <c r="G235" s="7"/>
      <c r="I235" s="7"/>
      <c r="J235" s="7"/>
      <c r="K235" s="23"/>
      <c r="L235" s="8"/>
      <c r="M235" s="7"/>
      <c r="N235" s="7"/>
      <c r="O235" s="7"/>
      <c r="P235" s="7"/>
      <c r="Q235" s="9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x14ac:dyDescent="0.25">
      <c r="B236" s="9"/>
      <c r="C236" s="9"/>
      <c r="D236" s="7"/>
      <c r="E236" s="7"/>
      <c r="F236" s="9"/>
      <c r="G236" s="7"/>
      <c r="I236" s="7"/>
      <c r="J236" s="7"/>
      <c r="K236" s="23"/>
      <c r="L236" s="8"/>
      <c r="M236" s="7"/>
      <c r="N236" s="7"/>
      <c r="O236" s="7"/>
      <c r="P236" s="7"/>
      <c r="Q236" s="9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x14ac:dyDescent="0.25">
      <c r="B237" s="9"/>
      <c r="C237" s="9"/>
      <c r="D237" s="7"/>
      <c r="E237" s="7"/>
      <c r="F237" s="9"/>
      <c r="G237" s="7"/>
      <c r="I237" s="7"/>
      <c r="J237" s="7"/>
      <c r="K237" s="23"/>
      <c r="L237" s="8"/>
      <c r="M237" s="7"/>
      <c r="N237" s="7"/>
      <c r="O237" s="7"/>
      <c r="P237" s="7"/>
      <c r="Q237" s="9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x14ac:dyDescent="0.25">
      <c r="B238" s="9"/>
      <c r="C238" s="9"/>
      <c r="D238" s="7"/>
      <c r="E238" s="7"/>
      <c r="F238" s="9"/>
      <c r="G238" s="7"/>
      <c r="I238" s="7"/>
      <c r="J238" s="7"/>
      <c r="K238" s="23"/>
      <c r="L238" s="8"/>
      <c r="M238" s="7"/>
      <c r="N238" s="7"/>
      <c r="O238" s="7"/>
      <c r="P238" s="7"/>
      <c r="Q238" s="9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x14ac:dyDescent="0.25">
      <c r="B239" s="9"/>
      <c r="C239" s="9"/>
      <c r="D239" s="7"/>
      <c r="E239" s="7"/>
      <c r="F239" s="9"/>
      <c r="G239" s="7"/>
      <c r="I239" s="7"/>
      <c r="J239" s="7"/>
      <c r="K239" s="23"/>
      <c r="L239" s="8"/>
      <c r="M239" s="7"/>
      <c r="N239" s="7"/>
      <c r="O239" s="7"/>
      <c r="P239" s="7"/>
      <c r="Q239" s="9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x14ac:dyDescent="0.25">
      <c r="B240" s="9"/>
      <c r="C240" s="9"/>
      <c r="D240" s="7"/>
      <c r="E240" s="7"/>
      <c r="F240" s="9"/>
      <c r="G240" s="7"/>
      <c r="I240" s="7"/>
      <c r="J240" s="7"/>
      <c r="K240" s="23"/>
      <c r="L240" s="8"/>
      <c r="M240" s="7"/>
      <c r="N240" s="7"/>
      <c r="O240" s="7"/>
      <c r="P240" s="7"/>
      <c r="Q240" s="9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x14ac:dyDescent="0.25">
      <c r="B241" s="9"/>
      <c r="C241" s="9"/>
      <c r="D241" s="7"/>
      <c r="E241" s="7"/>
      <c r="F241" s="9"/>
      <c r="G241" s="7"/>
      <c r="I241" s="7"/>
      <c r="J241" s="7"/>
      <c r="K241" s="23"/>
      <c r="L241" s="8"/>
      <c r="M241" s="7"/>
      <c r="N241" s="7"/>
      <c r="O241" s="7"/>
      <c r="P241" s="7"/>
      <c r="Q241" s="9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x14ac:dyDescent="0.25">
      <c r="B242" s="9"/>
      <c r="C242" s="9"/>
      <c r="D242" s="7"/>
      <c r="E242" s="7"/>
      <c r="F242" s="9"/>
      <c r="G242" s="7"/>
      <c r="I242" s="7"/>
      <c r="J242" s="7"/>
      <c r="K242" s="23"/>
      <c r="L242" s="8"/>
      <c r="M242" s="7"/>
      <c r="N242" s="7"/>
      <c r="O242" s="7"/>
      <c r="P242" s="7"/>
      <c r="Q242" s="9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x14ac:dyDescent="0.25">
      <c r="B243" s="9"/>
      <c r="C243" s="9"/>
      <c r="D243" s="7"/>
      <c r="E243" s="7"/>
      <c r="F243" s="9"/>
      <c r="G243" s="7"/>
      <c r="I243" s="7"/>
      <c r="J243" s="7"/>
      <c r="K243" s="23"/>
      <c r="L243" s="8"/>
      <c r="M243" s="7"/>
      <c r="N243" s="7"/>
      <c r="O243" s="7"/>
      <c r="P243" s="7"/>
      <c r="Q243" s="9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x14ac:dyDescent="0.25">
      <c r="B244" s="9"/>
      <c r="C244" s="9"/>
      <c r="D244" s="7"/>
      <c r="E244" s="7"/>
      <c r="F244" s="9"/>
      <c r="G244" s="7"/>
      <c r="I244" s="7"/>
      <c r="J244" s="7"/>
      <c r="K244" s="23"/>
      <c r="L244" s="8"/>
      <c r="M244" s="7"/>
      <c r="N244" s="7"/>
      <c r="O244" s="7"/>
      <c r="P244" s="7"/>
      <c r="Q244" s="9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x14ac:dyDescent="0.25">
      <c r="B245" s="9"/>
      <c r="C245" s="9"/>
      <c r="D245" s="7"/>
      <c r="E245" s="7"/>
      <c r="F245" s="9"/>
      <c r="G245" s="7"/>
      <c r="I245" s="7"/>
      <c r="J245" s="7"/>
      <c r="K245" s="23"/>
      <c r="L245" s="8"/>
      <c r="M245" s="7"/>
      <c r="N245" s="7"/>
      <c r="O245" s="7"/>
      <c r="P245" s="7"/>
      <c r="Q245" s="9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x14ac:dyDescent="0.25">
      <c r="B246" s="9"/>
      <c r="C246" s="9"/>
      <c r="D246" s="7"/>
      <c r="E246" s="7"/>
      <c r="F246" s="9"/>
      <c r="G246" s="7"/>
      <c r="I246" s="7"/>
      <c r="J246" s="7"/>
      <c r="K246" s="23"/>
      <c r="L246" s="8"/>
      <c r="M246" s="7"/>
      <c r="N246" s="7"/>
      <c r="O246" s="7"/>
      <c r="P246" s="7"/>
      <c r="Q246" s="9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x14ac:dyDescent="0.25">
      <c r="B247" s="9"/>
      <c r="C247" s="9"/>
      <c r="D247" s="7"/>
      <c r="E247" s="7"/>
      <c r="F247" s="9"/>
      <c r="G247" s="7"/>
      <c r="I247" s="7"/>
      <c r="J247" s="7"/>
      <c r="K247" s="23"/>
      <c r="L247" s="8"/>
      <c r="M247" s="7"/>
      <c r="N247" s="7"/>
      <c r="O247" s="7"/>
      <c r="P247" s="7"/>
      <c r="Q247" s="9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x14ac:dyDescent="0.25">
      <c r="B248" s="9"/>
      <c r="C248" s="9"/>
      <c r="D248" s="7"/>
      <c r="E248" s="7"/>
      <c r="F248" s="9"/>
      <c r="G248" s="7"/>
      <c r="I248" s="7"/>
      <c r="J248" s="7"/>
      <c r="K248" s="23"/>
      <c r="L248" s="8"/>
      <c r="M248" s="7"/>
      <c r="N248" s="7"/>
      <c r="O248" s="7"/>
      <c r="P248" s="7"/>
      <c r="Q248" s="9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x14ac:dyDescent="0.25">
      <c r="B249" s="9"/>
      <c r="C249" s="9"/>
      <c r="D249" s="7"/>
      <c r="E249" s="7"/>
      <c r="F249" s="9"/>
      <c r="G249" s="7"/>
      <c r="I249" s="7"/>
      <c r="J249" s="7"/>
      <c r="K249" s="23"/>
      <c r="L249" s="8"/>
      <c r="M249" s="7"/>
      <c r="N249" s="7"/>
      <c r="O249" s="7"/>
      <c r="P249" s="7"/>
      <c r="Q249" s="9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x14ac:dyDescent="0.25">
      <c r="B250" s="9"/>
      <c r="C250" s="9"/>
      <c r="D250" s="7"/>
      <c r="E250" s="7"/>
      <c r="F250" s="9"/>
      <c r="G250" s="7"/>
      <c r="I250" s="7"/>
      <c r="J250" s="7"/>
      <c r="K250" s="23"/>
      <c r="L250" s="8"/>
      <c r="M250" s="7"/>
      <c r="N250" s="7"/>
      <c r="O250" s="7"/>
      <c r="P250" s="7"/>
      <c r="Q250" s="9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x14ac:dyDescent="0.25">
      <c r="B251" s="9"/>
      <c r="C251" s="9"/>
      <c r="D251" s="7"/>
      <c r="E251" s="7"/>
      <c r="F251" s="9"/>
      <c r="G251" s="7"/>
      <c r="I251" s="7"/>
      <c r="J251" s="7"/>
      <c r="K251" s="23"/>
      <c r="L251" s="8"/>
      <c r="M251" s="7"/>
      <c r="N251" s="7"/>
      <c r="O251" s="7"/>
      <c r="P251" s="7"/>
      <c r="Q251" s="9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x14ac:dyDescent="0.25">
      <c r="B252" s="9"/>
      <c r="C252" s="9"/>
      <c r="D252" s="7"/>
      <c r="E252" s="7"/>
      <c r="F252" s="9"/>
      <c r="G252" s="7"/>
      <c r="I252" s="7"/>
      <c r="J252" s="7"/>
      <c r="K252" s="23"/>
      <c r="L252" s="8"/>
      <c r="M252" s="7"/>
      <c r="N252" s="7"/>
      <c r="O252" s="7"/>
      <c r="P252" s="7"/>
      <c r="Q252" s="9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x14ac:dyDescent="0.25">
      <c r="B253" s="9"/>
      <c r="C253" s="9"/>
      <c r="D253" s="7"/>
      <c r="E253" s="7"/>
      <c r="F253" s="9"/>
      <c r="G253" s="7"/>
      <c r="I253" s="7"/>
      <c r="J253" s="7"/>
      <c r="K253" s="23"/>
      <c r="L253" s="8"/>
      <c r="M253" s="7"/>
      <c r="N253" s="7"/>
      <c r="O253" s="7"/>
      <c r="P253" s="7"/>
      <c r="Q253" s="9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x14ac:dyDescent="0.25">
      <c r="B254" s="9"/>
      <c r="C254" s="9"/>
      <c r="D254" s="7"/>
      <c r="E254" s="7"/>
      <c r="F254" s="9"/>
      <c r="G254" s="7"/>
      <c r="I254" s="7"/>
      <c r="J254" s="7"/>
      <c r="K254" s="23"/>
      <c r="L254" s="8"/>
      <c r="M254" s="7"/>
      <c r="N254" s="7"/>
      <c r="O254" s="7"/>
      <c r="P254" s="7"/>
      <c r="Q254" s="9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x14ac:dyDescent="0.25">
      <c r="B255" s="9"/>
      <c r="C255" s="9"/>
      <c r="D255" s="7"/>
      <c r="E255" s="7"/>
      <c r="F255" s="9"/>
      <c r="G255" s="7"/>
      <c r="I255" s="7"/>
      <c r="J255" s="7"/>
      <c r="K255" s="23"/>
      <c r="L255" s="8"/>
      <c r="M255" s="7"/>
      <c r="N255" s="7"/>
      <c r="O255" s="7"/>
      <c r="P255" s="7"/>
      <c r="Q255" s="9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x14ac:dyDescent="0.25">
      <c r="B256" s="9"/>
      <c r="C256" s="9"/>
      <c r="D256" s="7"/>
      <c r="E256" s="7"/>
      <c r="F256" s="9"/>
      <c r="G256" s="7"/>
      <c r="I256" s="7"/>
      <c r="J256" s="7"/>
      <c r="K256" s="23"/>
      <c r="L256" s="8"/>
      <c r="M256" s="7"/>
      <c r="N256" s="7"/>
      <c r="O256" s="7"/>
      <c r="P256" s="7"/>
      <c r="Q256" s="9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x14ac:dyDescent="0.25">
      <c r="B257" s="9"/>
      <c r="C257" s="9"/>
      <c r="D257" s="7"/>
      <c r="E257" s="7"/>
      <c r="F257" s="9"/>
      <c r="G257" s="7"/>
      <c r="I257" s="7"/>
      <c r="J257" s="7"/>
      <c r="K257" s="23"/>
      <c r="L257" s="8"/>
      <c r="M257" s="7"/>
      <c r="N257" s="7"/>
      <c r="O257" s="7"/>
      <c r="P257" s="7"/>
      <c r="Q257" s="9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x14ac:dyDescent="0.25">
      <c r="B258" s="9"/>
      <c r="C258" s="9"/>
      <c r="D258" s="7"/>
      <c r="E258" s="7"/>
      <c r="F258" s="9"/>
      <c r="G258" s="7"/>
      <c r="I258" s="7"/>
      <c r="J258" s="7"/>
      <c r="K258" s="23"/>
      <c r="L258" s="8"/>
      <c r="M258" s="7"/>
      <c r="N258" s="7"/>
      <c r="O258" s="7"/>
      <c r="P258" s="7"/>
      <c r="Q258" s="9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x14ac:dyDescent="0.25">
      <c r="B259" s="9"/>
      <c r="C259" s="9"/>
      <c r="D259" s="7"/>
      <c r="E259" s="7"/>
      <c r="F259" s="9"/>
      <c r="G259" s="7"/>
      <c r="I259" s="7"/>
      <c r="J259" s="7"/>
      <c r="K259" s="23"/>
      <c r="L259" s="8"/>
      <c r="M259" s="7"/>
      <c r="N259" s="7"/>
      <c r="O259" s="7"/>
      <c r="P259" s="7"/>
      <c r="Q259" s="9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x14ac:dyDescent="0.25">
      <c r="B260" s="9"/>
      <c r="C260" s="9"/>
      <c r="D260" s="7"/>
      <c r="E260" s="7"/>
      <c r="F260" s="9"/>
      <c r="G260" s="7"/>
      <c r="I260" s="7"/>
      <c r="J260" s="7"/>
      <c r="K260" s="23"/>
      <c r="L260" s="8"/>
      <c r="M260" s="7"/>
      <c r="N260" s="7"/>
      <c r="O260" s="7"/>
      <c r="P260" s="7"/>
      <c r="Q260" s="9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x14ac:dyDescent="0.25">
      <c r="B261" s="9"/>
      <c r="C261" s="9"/>
      <c r="D261" s="7"/>
      <c r="E261" s="7"/>
      <c r="F261" s="9"/>
      <c r="G261" s="7"/>
      <c r="I261" s="7"/>
      <c r="J261" s="7"/>
      <c r="K261" s="23"/>
      <c r="L261" s="8"/>
      <c r="M261" s="7"/>
      <c r="N261" s="7"/>
      <c r="O261" s="7"/>
      <c r="P261" s="7"/>
      <c r="Q261" s="9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x14ac:dyDescent="0.25">
      <c r="B262" s="9"/>
      <c r="C262" s="9"/>
      <c r="D262" s="7"/>
      <c r="E262" s="7"/>
      <c r="F262" s="9"/>
      <c r="G262" s="7"/>
      <c r="I262" s="7"/>
      <c r="J262" s="7"/>
      <c r="K262" s="23"/>
      <c r="L262" s="8"/>
      <c r="M262" s="7"/>
      <c r="N262" s="7"/>
      <c r="O262" s="7"/>
      <c r="P262" s="7"/>
      <c r="Q262" s="9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x14ac:dyDescent="0.25">
      <c r="B263" s="9"/>
      <c r="C263" s="9"/>
      <c r="D263" s="7"/>
      <c r="E263" s="7"/>
      <c r="F263" s="9"/>
      <c r="G263" s="7"/>
      <c r="I263" s="7"/>
      <c r="J263" s="7"/>
      <c r="K263" s="23"/>
      <c r="L263" s="8"/>
      <c r="M263" s="7"/>
      <c r="N263" s="7"/>
      <c r="O263" s="7"/>
      <c r="P263" s="7"/>
      <c r="Q263" s="9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x14ac:dyDescent="0.25">
      <c r="B264" s="9"/>
      <c r="C264" s="9"/>
      <c r="D264" s="7"/>
      <c r="E264" s="7"/>
      <c r="F264" s="9"/>
      <c r="G264" s="7"/>
      <c r="I264" s="7"/>
      <c r="J264" s="7"/>
      <c r="K264" s="23"/>
      <c r="L264" s="8"/>
      <c r="M264" s="7"/>
      <c r="N264" s="7"/>
      <c r="O264" s="7"/>
      <c r="P264" s="7"/>
      <c r="Q264" s="9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x14ac:dyDescent="0.25">
      <c r="B265" s="9"/>
      <c r="C265" s="9"/>
      <c r="D265" s="7"/>
      <c r="E265" s="7"/>
      <c r="F265" s="9"/>
      <c r="G265" s="7"/>
      <c r="I265" s="7"/>
      <c r="J265" s="7"/>
      <c r="K265" s="23"/>
      <c r="L265" s="8"/>
      <c r="M265" s="7"/>
      <c r="N265" s="7"/>
      <c r="O265" s="7"/>
      <c r="P265" s="7"/>
      <c r="Q265" s="9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x14ac:dyDescent="0.25">
      <c r="B266" s="9"/>
      <c r="C266" s="9"/>
      <c r="D266" s="7"/>
      <c r="E266" s="7"/>
      <c r="F266" s="9"/>
      <c r="G266" s="7"/>
      <c r="I266" s="7"/>
      <c r="J266" s="7"/>
      <c r="K266" s="23"/>
      <c r="L266" s="8"/>
      <c r="M266" s="7"/>
      <c r="N266" s="7"/>
      <c r="O266" s="7"/>
      <c r="P266" s="7"/>
      <c r="Q266" s="9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x14ac:dyDescent="0.25">
      <c r="B267" s="9"/>
      <c r="C267" s="9"/>
      <c r="D267" s="7"/>
      <c r="E267" s="7"/>
      <c r="F267" s="9"/>
      <c r="G267" s="7"/>
      <c r="I267" s="7"/>
      <c r="J267" s="7"/>
      <c r="K267" s="23"/>
      <c r="L267" s="8"/>
      <c r="M267" s="7"/>
      <c r="N267" s="7"/>
      <c r="O267" s="7"/>
      <c r="P267" s="7"/>
      <c r="Q267" s="9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x14ac:dyDescent="0.25">
      <c r="B268" s="9"/>
      <c r="C268" s="9"/>
      <c r="D268" s="7"/>
      <c r="E268" s="7"/>
      <c r="F268" s="9"/>
      <c r="G268" s="7"/>
      <c r="I268" s="7"/>
      <c r="J268" s="7"/>
      <c r="K268" s="23"/>
      <c r="L268" s="8"/>
      <c r="M268" s="7"/>
      <c r="N268" s="7"/>
      <c r="O268" s="7"/>
      <c r="P268" s="7"/>
      <c r="Q268" s="9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x14ac:dyDescent="0.25">
      <c r="B269" s="9"/>
      <c r="C269" s="9"/>
      <c r="D269" s="7"/>
      <c r="E269" s="7"/>
      <c r="F269" s="9"/>
      <c r="G269" s="7"/>
      <c r="I269" s="7"/>
      <c r="J269" s="7"/>
      <c r="K269" s="23"/>
      <c r="L269" s="8"/>
      <c r="M269" s="7"/>
      <c r="N269" s="7"/>
      <c r="O269" s="7"/>
      <c r="P269" s="7"/>
      <c r="Q269" s="9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x14ac:dyDescent="0.25">
      <c r="B270" s="9"/>
      <c r="C270" s="9"/>
      <c r="D270" s="7"/>
      <c r="E270" s="7"/>
      <c r="F270" s="9"/>
      <c r="G270" s="7"/>
      <c r="I270" s="7"/>
      <c r="J270" s="7"/>
      <c r="K270" s="23"/>
      <c r="L270" s="8"/>
      <c r="M270" s="7"/>
      <c r="N270" s="7"/>
      <c r="O270" s="7"/>
      <c r="P270" s="7"/>
      <c r="Q270" s="9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x14ac:dyDescent="0.25">
      <c r="B271" s="9"/>
      <c r="C271" s="9"/>
      <c r="D271" s="7"/>
      <c r="E271" s="7"/>
      <c r="F271" s="9"/>
      <c r="G271" s="7"/>
      <c r="I271" s="7"/>
      <c r="J271" s="7"/>
      <c r="K271" s="23"/>
      <c r="L271" s="8"/>
      <c r="M271" s="7"/>
      <c r="N271" s="7"/>
      <c r="O271" s="7"/>
      <c r="P271" s="7"/>
      <c r="Q271" s="9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x14ac:dyDescent="0.25">
      <c r="B272" s="9"/>
      <c r="C272" s="9"/>
      <c r="D272" s="7"/>
      <c r="E272" s="7"/>
      <c r="F272" s="9"/>
      <c r="G272" s="7"/>
      <c r="I272" s="7"/>
      <c r="J272" s="7"/>
      <c r="K272" s="23"/>
      <c r="L272" s="8"/>
      <c r="M272" s="7"/>
      <c r="N272" s="7"/>
      <c r="O272" s="7"/>
      <c r="P272" s="7"/>
      <c r="Q272" s="9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x14ac:dyDescent="0.25">
      <c r="B273" s="9"/>
      <c r="C273" s="9"/>
      <c r="D273" s="7"/>
      <c r="E273" s="7"/>
      <c r="F273" s="9"/>
      <c r="G273" s="7"/>
      <c r="I273" s="7"/>
      <c r="J273" s="7"/>
      <c r="K273" s="23"/>
      <c r="L273" s="8"/>
      <c r="M273" s="7"/>
      <c r="N273" s="7"/>
      <c r="O273" s="7"/>
      <c r="P273" s="7"/>
      <c r="Q273" s="9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x14ac:dyDescent="0.25">
      <c r="B274" s="9"/>
      <c r="C274" s="9"/>
      <c r="D274" s="7"/>
      <c r="E274" s="7"/>
      <c r="F274" s="9"/>
      <c r="G274" s="7"/>
      <c r="I274" s="7"/>
      <c r="J274" s="7"/>
      <c r="K274" s="23"/>
      <c r="L274" s="8"/>
      <c r="M274" s="7"/>
      <c r="N274" s="7"/>
      <c r="O274" s="7"/>
      <c r="P274" s="7"/>
      <c r="Q274" s="9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x14ac:dyDescent="0.25">
      <c r="B275" s="9"/>
      <c r="C275" s="9"/>
      <c r="D275" s="7"/>
      <c r="E275" s="7"/>
      <c r="F275" s="9"/>
      <c r="G275" s="7"/>
      <c r="I275" s="7"/>
      <c r="J275" s="7"/>
      <c r="K275" s="23"/>
      <c r="L275" s="8"/>
      <c r="M275" s="7"/>
      <c r="N275" s="7"/>
      <c r="O275" s="7"/>
      <c r="P275" s="7"/>
      <c r="Q275" s="9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x14ac:dyDescent="0.25">
      <c r="B276" s="9"/>
      <c r="C276" s="9"/>
      <c r="D276" s="7"/>
      <c r="E276" s="7"/>
      <c r="F276" s="9"/>
      <c r="G276" s="7"/>
      <c r="I276" s="7"/>
      <c r="J276" s="7"/>
      <c r="K276" s="23"/>
      <c r="L276" s="8"/>
      <c r="M276" s="7"/>
      <c r="N276" s="7"/>
      <c r="O276" s="7"/>
      <c r="P276" s="7"/>
      <c r="Q276" s="9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x14ac:dyDescent="0.25">
      <c r="B277" s="9"/>
      <c r="C277" s="9"/>
      <c r="D277" s="7"/>
      <c r="E277" s="7"/>
      <c r="F277" s="9"/>
      <c r="G277" s="7"/>
      <c r="I277" s="7"/>
      <c r="J277" s="7"/>
      <c r="K277" s="23"/>
      <c r="L277" s="8"/>
      <c r="M277" s="7"/>
      <c r="N277" s="7"/>
      <c r="O277" s="7"/>
      <c r="P277" s="7"/>
      <c r="Q277" s="9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x14ac:dyDescent="0.25">
      <c r="B278" s="9"/>
      <c r="C278" s="9"/>
      <c r="D278" s="7"/>
      <c r="E278" s="7"/>
      <c r="F278" s="9"/>
      <c r="G278" s="7"/>
      <c r="I278" s="7"/>
      <c r="J278" s="7"/>
      <c r="K278" s="23"/>
      <c r="L278" s="8"/>
      <c r="M278" s="7"/>
      <c r="N278" s="7"/>
      <c r="O278" s="7"/>
      <c r="P278" s="7"/>
      <c r="Q278" s="9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x14ac:dyDescent="0.25">
      <c r="B279" s="9"/>
      <c r="C279" s="9"/>
      <c r="D279" s="7"/>
      <c r="E279" s="7"/>
      <c r="F279" s="9"/>
      <c r="G279" s="7"/>
      <c r="I279" s="7"/>
      <c r="J279" s="7"/>
      <c r="K279" s="23"/>
      <c r="L279" s="8"/>
      <c r="M279" s="7"/>
      <c r="N279" s="7"/>
      <c r="O279" s="7"/>
      <c r="P279" s="7"/>
      <c r="Q279" s="9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x14ac:dyDescent="0.25">
      <c r="B280" s="9"/>
      <c r="C280" s="9"/>
      <c r="D280" s="7"/>
      <c r="E280" s="7"/>
      <c r="F280" s="9"/>
      <c r="G280" s="7"/>
      <c r="I280" s="7"/>
      <c r="J280" s="7"/>
      <c r="K280" s="23"/>
      <c r="L280" s="8"/>
      <c r="M280" s="7"/>
      <c r="N280" s="7"/>
      <c r="O280" s="7"/>
      <c r="P280" s="7"/>
      <c r="Q280" s="9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x14ac:dyDescent="0.25">
      <c r="B281" s="9"/>
      <c r="C281" s="9"/>
      <c r="D281" s="7"/>
      <c r="E281" s="7"/>
      <c r="F281" s="9"/>
      <c r="G281" s="7"/>
      <c r="I281" s="7"/>
      <c r="J281" s="7"/>
      <c r="K281" s="23"/>
      <c r="L281" s="8"/>
      <c r="M281" s="7"/>
      <c r="N281" s="7"/>
      <c r="O281" s="7"/>
      <c r="P281" s="7"/>
      <c r="Q281" s="9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x14ac:dyDescent="0.25">
      <c r="B282" s="9"/>
      <c r="C282" s="9"/>
      <c r="D282" s="7"/>
      <c r="E282" s="7"/>
      <c r="F282" s="9"/>
      <c r="G282" s="7"/>
      <c r="I282" s="7"/>
      <c r="J282" s="7"/>
      <c r="K282" s="23"/>
      <c r="L282" s="8"/>
      <c r="M282" s="7"/>
      <c r="N282" s="7"/>
      <c r="O282" s="7"/>
      <c r="P282" s="7"/>
      <c r="Q282" s="9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x14ac:dyDescent="0.25">
      <c r="B283" s="9"/>
      <c r="C283" s="9"/>
      <c r="D283" s="7"/>
      <c r="E283" s="7"/>
      <c r="F283" s="9"/>
      <c r="G283" s="7"/>
      <c r="I283" s="7"/>
      <c r="J283" s="7"/>
      <c r="K283" s="23"/>
      <c r="L283" s="8"/>
      <c r="M283" s="7"/>
      <c r="N283" s="7"/>
      <c r="O283" s="7"/>
      <c r="P283" s="7"/>
      <c r="Q283" s="9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x14ac:dyDescent="0.25">
      <c r="B284" s="9"/>
      <c r="C284" s="9"/>
      <c r="D284" s="7"/>
      <c r="E284" s="7"/>
      <c r="F284" s="9"/>
      <c r="G284" s="7"/>
      <c r="I284" s="7"/>
      <c r="J284" s="7"/>
      <c r="K284" s="23"/>
      <c r="L284" s="8"/>
      <c r="M284" s="7"/>
      <c r="N284" s="7"/>
      <c r="O284" s="7"/>
      <c r="P284" s="7"/>
      <c r="Q284" s="9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x14ac:dyDescent="0.25">
      <c r="B285" s="9"/>
      <c r="C285" s="9"/>
      <c r="D285" s="7"/>
      <c r="E285" s="7"/>
      <c r="F285" s="9"/>
      <c r="G285" s="7"/>
      <c r="I285" s="7"/>
      <c r="J285" s="7"/>
      <c r="K285" s="23"/>
      <c r="L285" s="8"/>
      <c r="M285" s="7"/>
      <c r="N285" s="7"/>
      <c r="O285" s="7"/>
      <c r="P285" s="7"/>
      <c r="Q285" s="9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x14ac:dyDescent="0.25">
      <c r="B286" s="9"/>
      <c r="C286" s="9"/>
      <c r="D286" s="7"/>
      <c r="E286" s="7"/>
      <c r="F286" s="9"/>
      <c r="G286" s="7"/>
      <c r="I286" s="7"/>
      <c r="J286" s="7"/>
      <c r="K286" s="23"/>
      <c r="L286" s="8"/>
      <c r="M286" s="7"/>
      <c r="N286" s="7"/>
      <c r="O286" s="7"/>
      <c r="P286" s="7"/>
      <c r="Q286" s="9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x14ac:dyDescent="0.25">
      <c r="B287" s="9"/>
      <c r="C287" s="9"/>
      <c r="D287" s="7"/>
      <c r="E287" s="7"/>
      <c r="F287" s="9"/>
      <c r="G287" s="7"/>
      <c r="I287" s="7"/>
      <c r="J287" s="7"/>
      <c r="K287" s="23"/>
      <c r="L287" s="8"/>
      <c r="M287" s="7"/>
      <c r="N287" s="7"/>
      <c r="O287" s="7"/>
      <c r="P287" s="7"/>
      <c r="Q287" s="9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x14ac:dyDescent="0.25">
      <c r="B288" s="9"/>
      <c r="C288" s="9"/>
      <c r="D288" s="7"/>
      <c r="E288" s="7"/>
      <c r="F288" s="9"/>
      <c r="G288" s="7"/>
      <c r="I288" s="7"/>
      <c r="J288" s="7"/>
      <c r="K288" s="23"/>
      <c r="L288" s="8"/>
      <c r="M288" s="7"/>
      <c r="N288" s="7"/>
      <c r="O288" s="7"/>
      <c r="P288" s="7"/>
      <c r="Q288" s="9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x14ac:dyDescent="0.25">
      <c r="B289" s="9"/>
      <c r="C289" s="9"/>
      <c r="D289" s="7"/>
      <c r="E289" s="7"/>
      <c r="F289" s="9"/>
      <c r="G289" s="7"/>
      <c r="I289" s="7"/>
      <c r="J289" s="7"/>
      <c r="K289" s="23"/>
      <c r="L289" s="8"/>
      <c r="M289" s="7"/>
      <c r="N289" s="7"/>
      <c r="O289" s="7"/>
      <c r="P289" s="7"/>
      <c r="Q289" s="9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x14ac:dyDescent="0.25">
      <c r="B290" s="9"/>
      <c r="C290" s="9"/>
      <c r="D290" s="7"/>
      <c r="E290" s="7"/>
      <c r="F290" s="9"/>
      <c r="G290" s="7"/>
      <c r="I290" s="7"/>
      <c r="J290" s="7"/>
      <c r="K290" s="23"/>
      <c r="L290" s="8"/>
      <c r="M290" s="7"/>
      <c r="N290" s="7"/>
      <c r="O290" s="7"/>
      <c r="P290" s="7"/>
      <c r="Q290" s="9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x14ac:dyDescent="0.25">
      <c r="B291" s="9"/>
      <c r="C291" s="9"/>
      <c r="D291" s="7"/>
      <c r="E291" s="7"/>
      <c r="F291" s="9"/>
      <c r="G291" s="7"/>
      <c r="I291" s="7"/>
      <c r="J291" s="7"/>
      <c r="K291" s="23"/>
      <c r="L291" s="8"/>
      <c r="M291" s="7"/>
      <c r="N291" s="7"/>
      <c r="O291" s="7"/>
      <c r="P291" s="7"/>
      <c r="Q291" s="9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x14ac:dyDescent="0.25">
      <c r="B292" s="9"/>
      <c r="C292" s="9"/>
      <c r="D292" s="7"/>
      <c r="E292" s="7"/>
      <c r="F292" s="9"/>
      <c r="G292" s="7"/>
      <c r="I292" s="7"/>
      <c r="J292" s="7"/>
      <c r="K292" s="23"/>
      <c r="L292" s="8"/>
      <c r="M292" s="7"/>
      <c r="N292" s="7"/>
      <c r="O292" s="7"/>
      <c r="P292" s="7"/>
      <c r="Q292" s="9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x14ac:dyDescent="0.25">
      <c r="B293" s="9"/>
      <c r="C293" s="9"/>
      <c r="D293" s="7"/>
      <c r="E293" s="7"/>
      <c r="F293" s="9"/>
      <c r="G293" s="7"/>
      <c r="I293" s="7"/>
      <c r="J293" s="7"/>
      <c r="K293" s="23"/>
      <c r="L293" s="8"/>
      <c r="M293" s="7"/>
      <c r="N293" s="7"/>
      <c r="O293" s="7"/>
      <c r="P293" s="7"/>
      <c r="Q293" s="9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x14ac:dyDescent="0.25">
      <c r="B294" s="9"/>
      <c r="C294" s="9"/>
      <c r="D294" s="7"/>
      <c r="E294" s="7"/>
      <c r="F294" s="9"/>
      <c r="G294" s="7"/>
      <c r="I294" s="7"/>
      <c r="J294" s="7"/>
      <c r="K294" s="23"/>
      <c r="L294" s="8"/>
      <c r="M294" s="7"/>
      <c r="N294" s="7"/>
      <c r="O294" s="7"/>
      <c r="P294" s="7"/>
      <c r="Q294" s="9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x14ac:dyDescent="0.25">
      <c r="B295" s="9"/>
      <c r="C295" s="9"/>
      <c r="D295" s="7"/>
      <c r="E295" s="7"/>
      <c r="F295" s="9"/>
      <c r="G295" s="7"/>
      <c r="I295" s="7"/>
      <c r="J295" s="7"/>
      <c r="K295" s="23"/>
      <c r="L295" s="8"/>
      <c r="M295" s="7"/>
      <c r="N295" s="7"/>
      <c r="O295" s="7"/>
      <c r="P295" s="7"/>
      <c r="Q295" s="9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x14ac:dyDescent="0.25">
      <c r="B296" s="9"/>
      <c r="C296" s="9"/>
      <c r="D296" s="7"/>
      <c r="E296" s="7"/>
      <c r="F296" s="9"/>
      <c r="G296" s="7"/>
      <c r="I296" s="7"/>
      <c r="J296" s="7"/>
      <c r="K296" s="23"/>
      <c r="L296" s="8"/>
      <c r="M296" s="7"/>
      <c r="N296" s="7"/>
      <c r="O296" s="7"/>
      <c r="P296" s="7"/>
      <c r="Q296" s="9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x14ac:dyDescent="0.25">
      <c r="B297" s="9"/>
      <c r="C297" s="9"/>
      <c r="D297" s="7"/>
      <c r="E297" s="7"/>
      <c r="F297" s="9"/>
      <c r="G297" s="7"/>
      <c r="I297" s="7"/>
      <c r="J297" s="7"/>
      <c r="K297" s="23"/>
      <c r="L297" s="8"/>
      <c r="M297" s="7"/>
      <c r="N297" s="7"/>
      <c r="O297" s="7"/>
      <c r="P297" s="7"/>
      <c r="Q297" s="9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x14ac:dyDescent="0.25">
      <c r="B298" s="9"/>
      <c r="C298" s="9"/>
      <c r="D298" s="7"/>
      <c r="E298" s="7"/>
      <c r="F298" s="9"/>
      <c r="G298" s="7"/>
      <c r="I298" s="7"/>
      <c r="J298" s="7"/>
      <c r="K298" s="23"/>
      <c r="L298" s="8"/>
      <c r="M298" s="7"/>
      <c r="N298" s="7"/>
      <c r="O298" s="7"/>
      <c r="P298" s="7"/>
      <c r="Q298" s="9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x14ac:dyDescent="0.25">
      <c r="B299" s="9"/>
      <c r="C299" s="9"/>
      <c r="D299" s="7"/>
      <c r="E299" s="7"/>
      <c r="F299" s="9"/>
      <c r="G299" s="7"/>
      <c r="I299" s="7"/>
      <c r="J299" s="7"/>
      <c r="K299" s="23"/>
      <c r="L299" s="8"/>
      <c r="M299" s="7"/>
      <c r="N299" s="7"/>
      <c r="O299" s="7"/>
      <c r="P299" s="7"/>
      <c r="Q299" s="9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x14ac:dyDescent="0.25">
      <c r="B300" s="9"/>
      <c r="C300" s="9"/>
      <c r="D300" s="7"/>
      <c r="E300" s="7"/>
      <c r="F300" s="9"/>
      <c r="G300" s="7"/>
      <c r="I300" s="7"/>
      <c r="J300" s="7"/>
      <c r="K300" s="23"/>
      <c r="L300" s="8"/>
      <c r="M300" s="7"/>
      <c r="N300" s="7"/>
      <c r="O300" s="7"/>
      <c r="P300" s="7"/>
      <c r="Q300" s="9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x14ac:dyDescent="0.25">
      <c r="B301" s="9"/>
      <c r="C301" s="9"/>
      <c r="D301" s="7"/>
      <c r="E301" s="7"/>
      <c r="F301" s="9"/>
      <c r="G301" s="7"/>
      <c r="I301" s="7"/>
      <c r="J301" s="7"/>
      <c r="K301" s="23"/>
      <c r="L301" s="8"/>
      <c r="M301" s="7"/>
      <c r="N301" s="7"/>
      <c r="O301" s="7"/>
      <c r="P301" s="7"/>
      <c r="Q301" s="9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x14ac:dyDescent="0.25">
      <c r="B302" s="9"/>
      <c r="C302" s="9"/>
      <c r="D302" s="7"/>
      <c r="E302" s="7"/>
      <c r="F302" s="9"/>
      <c r="G302" s="7"/>
      <c r="I302" s="7"/>
      <c r="J302" s="7"/>
      <c r="K302" s="23"/>
      <c r="L302" s="8"/>
      <c r="M302" s="7"/>
      <c r="N302" s="7"/>
      <c r="O302" s="7"/>
      <c r="P302" s="7"/>
      <c r="Q302" s="9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x14ac:dyDescent="0.25">
      <c r="B303" s="9"/>
      <c r="C303" s="9"/>
      <c r="D303" s="7"/>
      <c r="E303" s="7"/>
      <c r="F303" s="9"/>
      <c r="G303" s="7"/>
      <c r="I303" s="7"/>
      <c r="J303" s="7"/>
      <c r="K303" s="23"/>
      <c r="L303" s="8"/>
      <c r="M303" s="7"/>
      <c r="N303" s="7"/>
      <c r="O303" s="7"/>
      <c r="P303" s="7"/>
      <c r="Q303" s="9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x14ac:dyDescent="0.25">
      <c r="B304" s="9"/>
      <c r="C304" s="9"/>
      <c r="D304" s="7"/>
      <c r="E304" s="7"/>
      <c r="F304" s="9"/>
      <c r="G304" s="7"/>
      <c r="I304" s="7"/>
      <c r="J304" s="7"/>
      <c r="K304" s="23"/>
      <c r="L304" s="8"/>
      <c r="M304" s="7"/>
      <c r="N304" s="7"/>
      <c r="O304" s="7"/>
      <c r="P304" s="7"/>
      <c r="Q304" s="9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x14ac:dyDescent="0.25">
      <c r="B305" s="9"/>
      <c r="C305" s="9"/>
      <c r="D305" s="7"/>
      <c r="E305" s="7"/>
      <c r="F305" s="9"/>
      <c r="G305" s="7"/>
      <c r="I305" s="7"/>
      <c r="J305" s="7"/>
      <c r="K305" s="23"/>
      <c r="L305" s="8"/>
      <c r="M305" s="7"/>
      <c r="N305" s="7"/>
      <c r="O305" s="7"/>
      <c r="P305" s="7"/>
      <c r="Q305" s="9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x14ac:dyDescent="0.25">
      <c r="B306" s="9"/>
      <c r="C306" s="9"/>
      <c r="D306" s="7"/>
      <c r="E306" s="7"/>
      <c r="F306" s="9"/>
      <c r="G306" s="7"/>
      <c r="I306" s="7"/>
      <c r="J306" s="7"/>
      <c r="K306" s="23"/>
      <c r="L306" s="8"/>
      <c r="M306" s="7"/>
      <c r="N306" s="7"/>
      <c r="O306" s="7"/>
      <c r="P306" s="7"/>
      <c r="Q306" s="9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x14ac:dyDescent="0.25">
      <c r="B307" s="9"/>
      <c r="C307" s="9"/>
      <c r="D307" s="7"/>
      <c r="E307" s="7"/>
      <c r="F307" s="9"/>
      <c r="G307" s="7"/>
      <c r="I307" s="7"/>
      <c r="J307" s="7"/>
      <c r="K307" s="23"/>
      <c r="L307" s="8"/>
      <c r="M307" s="7"/>
      <c r="N307" s="7"/>
      <c r="O307" s="7"/>
      <c r="P307" s="7"/>
      <c r="Q307" s="9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x14ac:dyDescent="0.25">
      <c r="B308" s="9"/>
      <c r="C308" s="9"/>
      <c r="D308" s="7"/>
      <c r="E308" s="7"/>
      <c r="F308" s="9"/>
      <c r="G308" s="7"/>
      <c r="I308" s="7"/>
      <c r="J308" s="7"/>
      <c r="K308" s="23"/>
      <c r="L308" s="8"/>
      <c r="M308" s="7"/>
      <c r="N308" s="7"/>
      <c r="O308" s="7"/>
      <c r="P308" s="7"/>
      <c r="Q308" s="9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x14ac:dyDescent="0.25">
      <c r="B309" s="9"/>
      <c r="C309" s="9"/>
      <c r="D309" s="7"/>
      <c r="E309" s="7"/>
      <c r="F309" s="9"/>
      <c r="G309" s="7"/>
      <c r="I309" s="7"/>
      <c r="J309" s="7"/>
      <c r="K309" s="23"/>
      <c r="L309" s="8"/>
      <c r="M309" s="7"/>
      <c r="N309" s="7"/>
      <c r="O309" s="7"/>
      <c r="P309" s="7"/>
      <c r="Q309" s="9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x14ac:dyDescent="0.25">
      <c r="B310" s="9"/>
      <c r="C310" s="9"/>
      <c r="D310" s="7"/>
      <c r="E310" s="7"/>
      <c r="F310" s="9"/>
      <c r="G310" s="7"/>
      <c r="I310" s="7"/>
      <c r="J310" s="7"/>
      <c r="K310" s="23"/>
      <c r="L310" s="8"/>
      <c r="M310" s="7"/>
      <c r="N310" s="7"/>
      <c r="O310" s="7"/>
      <c r="P310" s="7"/>
      <c r="Q310" s="9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x14ac:dyDescent="0.25">
      <c r="B311" s="9"/>
      <c r="C311" s="9"/>
      <c r="D311" s="7"/>
      <c r="E311" s="7"/>
      <c r="F311" s="9"/>
      <c r="G311" s="7"/>
      <c r="I311" s="7"/>
      <c r="J311" s="7"/>
      <c r="K311" s="23"/>
      <c r="L311" s="8"/>
      <c r="M311" s="7"/>
      <c r="N311" s="7"/>
      <c r="O311" s="7"/>
      <c r="P311" s="7"/>
      <c r="Q311" s="9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x14ac:dyDescent="0.25">
      <c r="B312" s="9"/>
      <c r="C312" s="9"/>
      <c r="D312" s="7"/>
      <c r="E312" s="7"/>
      <c r="F312" s="9"/>
      <c r="G312" s="7"/>
      <c r="I312" s="7"/>
      <c r="J312" s="7"/>
      <c r="K312" s="23"/>
      <c r="L312" s="8"/>
      <c r="M312" s="7"/>
      <c r="N312" s="7"/>
      <c r="O312" s="7"/>
      <c r="P312" s="7"/>
      <c r="Q312" s="9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x14ac:dyDescent="0.25">
      <c r="B313" s="9"/>
      <c r="C313" s="9"/>
      <c r="D313" s="7"/>
      <c r="E313" s="7"/>
      <c r="F313" s="9"/>
      <c r="G313" s="7"/>
      <c r="I313" s="7"/>
      <c r="J313" s="7"/>
      <c r="K313" s="23"/>
      <c r="L313" s="8"/>
      <c r="M313" s="7"/>
      <c r="N313" s="7"/>
      <c r="O313" s="7"/>
      <c r="P313" s="7"/>
      <c r="Q313" s="9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x14ac:dyDescent="0.25">
      <c r="B314" s="9"/>
      <c r="C314" s="9"/>
      <c r="D314" s="7"/>
      <c r="E314" s="7"/>
      <c r="F314" s="9"/>
      <c r="G314" s="7"/>
      <c r="I314" s="7"/>
      <c r="J314" s="7"/>
      <c r="K314" s="23"/>
      <c r="L314" s="8"/>
      <c r="M314" s="7"/>
      <c r="N314" s="7"/>
      <c r="O314" s="7"/>
      <c r="P314" s="7"/>
      <c r="Q314" s="9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x14ac:dyDescent="0.25">
      <c r="B315" s="9"/>
      <c r="C315" s="9"/>
      <c r="D315" s="7"/>
      <c r="E315" s="7"/>
      <c r="F315" s="9"/>
      <c r="G315" s="7"/>
      <c r="I315" s="7"/>
      <c r="J315" s="7"/>
      <c r="K315" s="23"/>
      <c r="L315" s="8"/>
      <c r="M315" s="7"/>
      <c r="N315" s="7"/>
      <c r="O315" s="7"/>
      <c r="P315" s="7"/>
      <c r="Q315" s="9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x14ac:dyDescent="0.25">
      <c r="B316" s="9"/>
      <c r="C316" s="9"/>
      <c r="D316" s="7"/>
      <c r="E316" s="7"/>
      <c r="F316" s="9"/>
      <c r="G316" s="7"/>
      <c r="I316" s="7"/>
      <c r="J316" s="7"/>
      <c r="K316" s="23"/>
      <c r="L316" s="8"/>
      <c r="M316" s="7"/>
      <c r="N316" s="7"/>
      <c r="O316" s="7"/>
      <c r="P316" s="7"/>
      <c r="Q316" s="9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x14ac:dyDescent="0.25">
      <c r="B317" s="9"/>
      <c r="C317" s="9"/>
      <c r="D317" s="7"/>
      <c r="E317" s="7"/>
      <c r="F317" s="9"/>
      <c r="G317" s="7"/>
      <c r="I317" s="7"/>
      <c r="J317" s="7"/>
      <c r="K317" s="23"/>
      <c r="L317" s="8"/>
      <c r="M317" s="7"/>
      <c r="N317" s="7"/>
      <c r="O317" s="7"/>
      <c r="P317" s="7"/>
      <c r="Q317" s="9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x14ac:dyDescent="0.25">
      <c r="B318" s="9"/>
      <c r="C318" s="9"/>
      <c r="D318" s="7"/>
      <c r="E318" s="7"/>
      <c r="F318" s="9"/>
      <c r="G318" s="7"/>
      <c r="I318" s="7"/>
      <c r="J318" s="7"/>
      <c r="K318" s="23"/>
      <c r="L318" s="8"/>
      <c r="M318" s="7"/>
      <c r="N318" s="7"/>
      <c r="O318" s="7"/>
      <c r="P318" s="7"/>
      <c r="Q318" s="9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x14ac:dyDescent="0.25">
      <c r="B319" s="9"/>
      <c r="C319" s="9"/>
      <c r="D319" s="7"/>
      <c r="E319" s="7"/>
      <c r="F319" s="9"/>
      <c r="G319" s="7"/>
      <c r="I319" s="7"/>
      <c r="J319" s="7"/>
      <c r="K319" s="23"/>
      <c r="L319" s="8"/>
      <c r="M319" s="7"/>
      <c r="N319" s="7"/>
      <c r="O319" s="7"/>
      <c r="P319" s="7"/>
      <c r="Q319" s="9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x14ac:dyDescent="0.25">
      <c r="B320" s="9"/>
      <c r="C320" s="9"/>
      <c r="D320" s="7"/>
      <c r="E320" s="7"/>
      <c r="F320" s="9"/>
      <c r="G320" s="7"/>
      <c r="I320" s="7"/>
      <c r="J320" s="7"/>
      <c r="K320" s="23"/>
      <c r="L320" s="8"/>
      <c r="M320" s="7"/>
      <c r="N320" s="7"/>
      <c r="O320" s="7"/>
      <c r="P320" s="7"/>
      <c r="Q320" s="9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x14ac:dyDescent="0.25">
      <c r="B321" s="9"/>
      <c r="C321" s="9"/>
      <c r="D321" s="7"/>
      <c r="E321" s="7"/>
      <c r="F321" s="9"/>
      <c r="G321" s="7"/>
      <c r="I321" s="7"/>
      <c r="J321" s="7"/>
      <c r="K321" s="23"/>
      <c r="L321" s="8"/>
      <c r="M321" s="7"/>
      <c r="N321" s="7"/>
      <c r="O321" s="7"/>
      <c r="P321" s="7"/>
      <c r="Q321" s="9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x14ac:dyDescent="0.25">
      <c r="B322" s="9"/>
      <c r="C322" s="9"/>
      <c r="D322" s="7"/>
      <c r="E322" s="7"/>
      <c r="F322" s="9"/>
      <c r="G322" s="7"/>
      <c r="I322" s="7"/>
      <c r="J322" s="7"/>
      <c r="K322" s="23"/>
      <c r="L322" s="8"/>
      <c r="M322" s="7"/>
      <c r="N322" s="7"/>
      <c r="O322" s="7"/>
      <c r="P322" s="7"/>
      <c r="Q322" s="9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x14ac:dyDescent="0.25">
      <c r="B323" s="9"/>
      <c r="C323" s="9"/>
      <c r="D323" s="7"/>
      <c r="E323" s="7"/>
      <c r="F323" s="9"/>
      <c r="G323" s="7"/>
      <c r="I323" s="7"/>
      <c r="J323" s="7"/>
      <c r="K323" s="23"/>
      <c r="L323" s="8"/>
      <c r="M323" s="7"/>
      <c r="N323" s="7"/>
      <c r="O323" s="7"/>
      <c r="P323" s="7"/>
      <c r="Q323" s="9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x14ac:dyDescent="0.25">
      <c r="B324" s="9"/>
      <c r="C324" s="9"/>
      <c r="D324" s="7"/>
      <c r="E324" s="7"/>
      <c r="F324" s="9"/>
      <c r="G324" s="7"/>
      <c r="I324" s="7"/>
      <c r="J324" s="7"/>
      <c r="K324" s="23"/>
      <c r="L324" s="8"/>
      <c r="M324" s="7"/>
      <c r="N324" s="7"/>
      <c r="O324" s="7"/>
      <c r="P324" s="7"/>
      <c r="Q324" s="9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x14ac:dyDescent="0.25">
      <c r="B325" s="9"/>
      <c r="C325" s="9"/>
      <c r="D325" s="7"/>
      <c r="E325" s="7"/>
      <c r="F325" s="9"/>
      <c r="G325" s="7"/>
      <c r="I325" s="7"/>
      <c r="J325" s="7"/>
      <c r="K325" s="23"/>
      <c r="L325" s="8"/>
      <c r="M325" s="7"/>
      <c r="N325" s="7"/>
      <c r="O325" s="7"/>
      <c r="P325" s="7"/>
      <c r="Q325" s="9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x14ac:dyDescent="0.25">
      <c r="B326" s="9"/>
      <c r="C326" s="9"/>
      <c r="D326" s="7"/>
      <c r="E326" s="7"/>
      <c r="F326" s="9"/>
      <c r="G326" s="7"/>
      <c r="I326" s="7"/>
      <c r="J326" s="7"/>
      <c r="K326" s="23"/>
      <c r="L326" s="8"/>
      <c r="M326" s="7"/>
      <c r="N326" s="7"/>
      <c r="O326" s="7"/>
      <c r="P326" s="7"/>
      <c r="Q326" s="9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x14ac:dyDescent="0.25">
      <c r="B327" s="9"/>
      <c r="C327" s="9"/>
      <c r="D327" s="7"/>
      <c r="E327" s="7"/>
      <c r="F327" s="9"/>
      <c r="G327" s="7"/>
      <c r="I327" s="7"/>
      <c r="J327" s="7"/>
      <c r="K327" s="23"/>
      <c r="L327" s="8"/>
      <c r="M327" s="7"/>
      <c r="N327" s="7"/>
      <c r="O327" s="7"/>
      <c r="P327" s="7"/>
      <c r="Q327" s="9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x14ac:dyDescent="0.25">
      <c r="B328" s="9"/>
      <c r="C328" s="9"/>
      <c r="D328" s="7"/>
      <c r="E328" s="7"/>
      <c r="F328" s="9"/>
      <c r="G328" s="7"/>
      <c r="I328" s="7"/>
      <c r="J328" s="7"/>
      <c r="K328" s="23"/>
      <c r="L328" s="8"/>
      <c r="M328" s="7"/>
      <c r="N328" s="7"/>
      <c r="O328" s="7"/>
      <c r="P328" s="7"/>
      <c r="Q328" s="9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x14ac:dyDescent="0.25">
      <c r="B329" s="9"/>
      <c r="C329" s="9"/>
      <c r="D329" s="7"/>
      <c r="E329" s="7"/>
      <c r="F329" s="9"/>
      <c r="G329" s="7"/>
      <c r="I329" s="7"/>
      <c r="J329" s="7"/>
      <c r="K329" s="23"/>
      <c r="L329" s="8"/>
      <c r="M329" s="7"/>
      <c r="N329" s="7"/>
      <c r="O329" s="7"/>
      <c r="P329" s="7"/>
      <c r="Q329" s="9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x14ac:dyDescent="0.25">
      <c r="B330" s="9"/>
      <c r="C330" s="9"/>
      <c r="D330" s="7"/>
      <c r="E330" s="7"/>
      <c r="F330" s="9"/>
      <c r="G330" s="7"/>
      <c r="I330" s="7"/>
      <c r="J330" s="7"/>
      <c r="K330" s="23"/>
      <c r="L330" s="8"/>
      <c r="M330" s="7"/>
      <c r="N330" s="7"/>
      <c r="O330" s="7"/>
      <c r="P330" s="7"/>
      <c r="Q330" s="9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x14ac:dyDescent="0.25">
      <c r="B331" s="9"/>
      <c r="C331" s="9"/>
      <c r="D331" s="7"/>
      <c r="E331" s="7"/>
      <c r="F331" s="9"/>
      <c r="G331" s="7"/>
      <c r="I331" s="7"/>
      <c r="J331" s="7"/>
      <c r="K331" s="23"/>
      <c r="L331" s="8"/>
      <c r="M331" s="7"/>
      <c r="N331" s="7"/>
      <c r="O331" s="7"/>
      <c r="P331" s="7"/>
      <c r="Q331" s="9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x14ac:dyDescent="0.25">
      <c r="B332" s="9"/>
      <c r="C332" s="9"/>
      <c r="D332" s="7"/>
      <c r="E332" s="7"/>
      <c r="F332" s="9"/>
      <c r="G332" s="7"/>
      <c r="I332" s="7"/>
      <c r="J332" s="7"/>
      <c r="K332" s="23"/>
      <c r="L332" s="8"/>
      <c r="M332" s="7"/>
      <c r="N332" s="7"/>
      <c r="O332" s="7"/>
      <c r="P332" s="7"/>
      <c r="Q332" s="9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x14ac:dyDescent="0.25">
      <c r="B333" s="9"/>
      <c r="C333" s="9"/>
      <c r="D333" s="7"/>
      <c r="E333" s="7"/>
      <c r="F333" s="9"/>
      <c r="G333" s="7"/>
      <c r="I333" s="7"/>
      <c r="J333" s="7"/>
      <c r="K333" s="23"/>
      <c r="L333" s="8"/>
      <c r="M333" s="7"/>
      <c r="N333" s="7"/>
      <c r="O333" s="7"/>
      <c r="P333" s="7"/>
      <c r="Q333" s="9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x14ac:dyDescent="0.25">
      <c r="B334" s="9"/>
      <c r="C334" s="9"/>
      <c r="D334" s="7"/>
      <c r="E334" s="7"/>
      <c r="F334" s="9"/>
      <c r="G334" s="7"/>
      <c r="I334" s="7"/>
      <c r="J334" s="7"/>
      <c r="K334" s="23"/>
      <c r="L334" s="8"/>
      <c r="M334" s="7"/>
      <c r="N334" s="7"/>
      <c r="O334" s="7"/>
      <c r="P334" s="7"/>
      <c r="Q334" s="9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x14ac:dyDescent="0.25">
      <c r="B335" s="9"/>
      <c r="C335" s="9"/>
      <c r="D335" s="7"/>
      <c r="E335" s="7"/>
      <c r="F335" s="9"/>
      <c r="G335" s="7"/>
      <c r="I335" s="7"/>
      <c r="J335" s="7"/>
      <c r="K335" s="23"/>
      <c r="L335" s="8"/>
      <c r="M335" s="7"/>
      <c r="N335" s="7"/>
      <c r="O335" s="7"/>
      <c r="P335" s="7"/>
      <c r="Q335" s="9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x14ac:dyDescent="0.25">
      <c r="B336" s="9"/>
      <c r="C336" s="9"/>
      <c r="D336" s="7"/>
      <c r="E336" s="7"/>
      <c r="F336" s="9"/>
      <c r="G336" s="7"/>
      <c r="I336" s="7"/>
      <c r="J336" s="7"/>
      <c r="K336" s="23"/>
      <c r="L336" s="8"/>
      <c r="M336" s="7"/>
      <c r="N336" s="7"/>
      <c r="O336" s="7"/>
      <c r="P336" s="7"/>
      <c r="Q336" s="9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x14ac:dyDescent="0.25">
      <c r="B337" s="9"/>
      <c r="C337" s="9"/>
      <c r="D337" s="7"/>
      <c r="E337" s="7"/>
      <c r="F337" s="9"/>
      <c r="G337" s="7"/>
      <c r="I337" s="7"/>
      <c r="J337" s="7"/>
      <c r="K337" s="23"/>
      <c r="L337" s="8"/>
      <c r="M337" s="7"/>
      <c r="N337" s="7"/>
      <c r="O337" s="7"/>
      <c r="P337" s="7"/>
      <c r="Q337" s="9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x14ac:dyDescent="0.25">
      <c r="B338" s="9"/>
      <c r="C338" s="9"/>
      <c r="D338" s="7"/>
      <c r="E338" s="7"/>
      <c r="F338" s="9"/>
      <c r="G338" s="7"/>
      <c r="I338" s="7"/>
      <c r="J338" s="7"/>
      <c r="K338" s="23"/>
      <c r="L338" s="8"/>
      <c r="M338" s="7"/>
      <c r="N338" s="7"/>
      <c r="O338" s="7"/>
      <c r="P338" s="7"/>
      <c r="Q338" s="9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x14ac:dyDescent="0.25">
      <c r="B339" s="9"/>
      <c r="C339" s="9"/>
      <c r="D339" s="7"/>
      <c r="E339" s="7"/>
      <c r="F339" s="9"/>
      <c r="G339" s="7"/>
      <c r="I339" s="7"/>
      <c r="J339" s="7"/>
      <c r="K339" s="23"/>
      <c r="L339" s="8"/>
      <c r="M339" s="7"/>
      <c r="N339" s="7"/>
      <c r="O339" s="7"/>
      <c r="P339" s="7"/>
      <c r="Q339" s="9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x14ac:dyDescent="0.25">
      <c r="B340" s="9"/>
      <c r="C340" s="9"/>
      <c r="D340" s="7"/>
      <c r="E340" s="7"/>
      <c r="F340" s="9"/>
      <c r="G340" s="7"/>
      <c r="I340" s="7"/>
      <c r="J340" s="7"/>
      <c r="K340" s="23"/>
      <c r="L340" s="8"/>
      <c r="M340" s="7"/>
      <c r="N340" s="7"/>
      <c r="O340" s="7"/>
      <c r="P340" s="7"/>
      <c r="Q340" s="9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x14ac:dyDescent="0.25">
      <c r="B341" s="9"/>
      <c r="C341" s="9"/>
      <c r="D341" s="7"/>
      <c r="E341" s="7"/>
      <c r="F341" s="9"/>
      <c r="G341" s="7"/>
      <c r="I341" s="7"/>
      <c r="J341" s="7"/>
      <c r="K341" s="23"/>
      <c r="L341" s="8"/>
      <c r="M341" s="7"/>
      <c r="N341" s="7"/>
      <c r="O341" s="7"/>
      <c r="P341" s="7"/>
      <c r="Q341" s="9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x14ac:dyDescent="0.25">
      <c r="B342" s="9"/>
      <c r="C342" s="9"/>
      <c r="D342" s="7"/>
      <c r="E342" s="7"/>
      <c r="F342" s="9"/>
      <c r="G342" s="7"/>
      <c r="I342" s="7"/>
      <c r="J342" s="7"/>
      <c r="K342" s="23"/>
      <c r="L342" s="8"/>
      <c r="M342" s="7"/>
      <c r="N342" s="7"/>
      <c r="O342" s="7"/>
      <c r="P342" s="7"/>
      <c r="Q342" s="9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x14ac:dyDescent="0.25">
      <c r="B343" s="9"/>
      <c r="C343" s="9"/>
      <c r="D343" s="7"/>
      <c r="E343" s="7"/>
      <c r="F343" s="9"/>
      <c r="G343" s="7"/>
      <c r="I343" s="7"/>
      <c r="J343" s="7"/>
      <c r="K343" s="23"/>
      <c r="L343" s="8"/>
      <c r="M343" s="7"/>
      <c r="N343" s="7"/>
      <c r="O343" s="7"/>
      <c r="P343" s="7"/>
      <c r="Q343" s="9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x14ac:dyDescent="0.25">
      <c r="B344" s="9"/>
      <c r="C344" s="9"/>
      <c r="D344" s="7"/>
      <c r="E344" s="7"/>
      <c r="F344" s="9"/>
      <c r="G344" s="7"/>
      <c r="I344" s="7"/>
      <c r="J344" s="7"/>
      <c r="K344" s="23"/>
      <c r="L344" s="8"/>
      <c r="M344" s="7"/>
      <c r="N344" s="7"/>
      <c r="O344" s="7"/>
      <c r="P344" s="7"/>
      <c r="Q344" s="9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x14ac:dyDescent="0.25">
      <c r="B345" s="9"/>
      <c r="C345" s="9"/>
      <c r="D345" s="7"/>
      <c r="E345" s="7"/>
      <c r="F345" s="9"/>
      <c r="G345" s="7"/>
      <c r="I345" s="7"/>
      <c r="J345" s="7"/>
      <c r="K345" s="23"/>
      <c r="L345" s="8"/>
      <c r="M345" s="7"/>
      <c r="N345" s="7"/>
      <c r="O345" s="7"/>
      <c r="P345" s="7"/>
      <c r="Q345" s="9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x14ac:dyDescent="0.25">
      <c r="B346" s="9"/>
      <c r="C346" s="9"/>
      <c r="D346" s="7"/>
      <c r="E346" s="7"/>
      <c r="F346" s="9"/>
      <c r="G346" s="7"/>
      <c r="I346" s="7"/>
      <c r="J346" s="7"/>
      <c r="K346" s="23"/>
      <c r="L346" s="8"/>
      <c r="M346" s="7"/>
      <c r="N346" s="7"/>
      <c r="O346" s="7"/>
      <c r="P346" s="7"/>
      <c r="Q346" s="9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x14ac:dyDescent="0.25">
      <c r="B347" s="9"/>
      <c r="C347" s="9"/>
      <c r="D347" s="7"/>
      <c r="E347" s="7"/>
      <c r="F347" s="9"/>
      <c r="G347" s="7"/>
      <c r="I347" s="7"/>
      <c r="J347" s="7"/>
      <c r="K347" s="23"/>
      <c r="L347" s="8"/>
      <c r="M347" s="7"/>
      <c r="N347" s="7"/>
      <c r="O347" s="7"/>
      <c r="P347" s="7"/>
      <c r="Q347" s="9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x14ac:dyDescent="0.25">
      <c r="B348" s="9"/>
      <c r="C348" s="9"/>
      <c r="D348" s="7"/>
      <c r="E348" s="7"/>
      <c r="F348" s="9"/>
      <c r="G348" s="7"/>
      <c r="I348" s="7"/>
      <c r="J348" s="7"/>
      <c r="K348" s="23"/>
      <c r="L348" s="8"/>
      <c r="M348" s="7"/>
      <c r="N348" s="7"/>
      <c r="O348" s="7"/>
      <c r="P348" s="7"/>
      <c r="Q348" s="9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x14ac:dyDescent="0.25">
      <c r="B349" s="9"/>
      <c r="C349" s="9"/>
      <c r="D349" s="7"/>
      <c r="E349" s="7"/>
      <c r="F349" s="9"/>
      <c r="G349" s="7"/>
      <c r="I349" s="7"/>
      <c r="J349" s="7"/>
      <c r="K349" s="23"/>
      <c r="L349" s="8"/>
      <c r="M349" s="7"/>
      <c r="N349" s="7"/>
      <c r="O349" s="7"/>
      <c r="P349" s="7"/>
      <c r="Q349" s="9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x14ac:dyDescent="0.25">
      <c r="B350" s="9"/>
      <c r="C350" s="9"/>
      <c r="D350" s="7"/>
      <c r="E350" s="7"/>
      <c r="F350" s="9"/>
      <c r="G350" s="7"/>
      <c r="I350" s="7"/>
      <c r="J350" s="7"/>
      <c r="K350" s="23"/>
      <c r="L350" s="8"/>
      <c r="M350" s="7"/>
      <c r="N350" s="7"/>
      <c r="O350" s="7"/>
      <c r="P350" s="7"/>
      <c r="Q350" s="9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x14ac:dyDescent="0.25">
      <c r="B351" s="9"/>
      <c r="C351" s="9"/>
      <c r="D351" s="7"/>
      <c r="E351" s="7"/>
      <c r="F351" s="9"/>
      <c r="G351" s="7"/>
      <c r="I351" s="7"/>
      <c r="J351" s="7"/>
      <c r="K351" s="23"/>
      <c r="L351" s="8"/>
      <c r="M351" s="7"/>
      <c r="N351" s="7"/>
      <c r="O351" s="7"/>
      <c r="P351" s="7"/>
      <c r="Q351" s="9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x14ac:dyDescent="0.25">
      <c r="B352" s="9"/>
      <c r="C352" s="9"/>
      <c r="D352" s="7"/>
      <c r="E352" s="7"/>
      <c r="F352" s="9"/>
      <c r="G352" s="7"/>
      <c r="I352" s="7"/>
      <c r="J352" s="7"/>
      <c r="K352" s="23"/>
      <c r="L352" s="8"/>
      <c r="M352" s="7"/>
      <c r="N352" s="7"/>
      <c r="O352" s="7"/>
      <c r="P352" s="7"/>
      <c r="Q352" s="9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x14ac:dyDescent="0.25">
      <c r="B353" s="9"/>
      <c r="C353" s="9"/>
      <c r="D353" s="7"/>
      <c r="E353" s="7"/>
      <c r="F353" s="9"/>
      <c r="G353" s="7"/>
      <c r="I353" s="7"/>
      <c r="J353" s="7"/>
      <c r="K353" s="23"/>
      <c r="L353" s="8"/>
      <c r="M353" s="7"/>
      <c r="N353" s="7"/>
      <c r="O353" s="7"/>
      <c r="P353" s="7"/>
      <c r="Q353" s="9"/>
      <c r="S353" s="7"/>
      <c r="T353" s="7"/>
      <c r="U353" s="7"/>
      <c r="V353" s="7"/>
      <c r="W353" s="7"/>
      <c r="X353" s="7"/>
      <c r="Y353" s="7"/>
      <c r="Z353" s="7"/>
      <c r="AA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9.28515625" bestFit="1" customWidth="1"/>
    <col min="12" max="12" width="9.28515625" customWidth="1"/>
    <col min="13" max="13" width="9.28515625" style="23" customWidth="1"/>
    <col min="14" max="15" width="9.28515625" bestFit="1" customWidth="1"/>
    <col min="16" max="16" width="10.140625" bestFit="1" customWidth="1"/>
    <col min="17" max="17" width="9.28515625" bestFit="1" customWidth="1"/>
    <col min="18" max="18" width="10" bestFit="1" customWidth="1"/>
    <col min="19" max="19" width="13.28515625" customWidth="1"/>
    <col min="20" max="20" width="9.28515625" bestFit="1" customWidth="1"/>
    <col min="21" max="21" width="11.140625" bestFit="1" customWidth="1"/>
    <col min="22" max="22" width="9.28515625" bestFit="1" customWidth="1"/>
  </cols>
  <sheetData>
    <row r="1" spans="1:23" x14ac:dyDescent="0.25">
      <c r="A1" s="1" t="s">
        <v>202</v>
      </c>
      <c r="M1"/>
    </row>
    <row r="2" spans="1:23" s="2" customFormat="1" x14ac:dyDescent="0.25">
      <c r="B2" s="14"/>
      <c r="C2" s="14"/>
      <c r="D2" s="14"/>
      <c r="E2" s="27">
        <f>0.065*E4</f>
        <v>5.0056694999999991E-2</v>
      </c>
      <c r="F2" s="27">
        <f t="shared" ref="F2:G2" si="0">0.065*F4</f>
        <v>9.6584180952380954E-3</v>
      </c>
      <c r="G2" s="27">
        <f t="shared" si="0"/>
        <v>0.28534999999999999</v>
      </c>
      <c r="H2" s="15"/>
    </row>
    <row r="3" spans="1:23" x14ac:dyDescent="0.25">
      <c r="A3" t="s">
        <v>6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s="67" t="s">
        <v>176</v>
      </c>
      <c r="L3" s="67" t="s">
        <v>181</v>
      </c>
      <c r="M3" s="67" t="s">
        <v>182</v>
      </c>
      <c r="N3" t="s">
        <v>183</v>
      </c>
      <c r="O3" t="s">
        <v>184</v>
      </c>
      <c r="P3" t="s">
        <v>185</v>
      </c>
      <c r="Q3" s="67" t="s">
        <v>186</v>
      </c>
      <c r="R3" t="s">
        <v>187</v>
      </c>
      <c r="S3" t="s">
        <v>188</v>
      </c>
      <c r="T3" t="s">
        <v>20</v>
      </c>
      <c r="U3" t="s">
        <v>21</v>
      </c>
      <c r="V3" t="s">
        <v>24</v>
      </c>
      <c r="W3" t="s">
        <v>196</v>
      </c>
    </row>
    <row r="4" spans="1:23" x14ac:dyDescent="0.25">
      <c r="A4">
        <v>0</v>
      </c>
      <c r="B4" s="19">
        <v>5.1922619820570996E-2</v>
      </c>
      <c r="C4" s="45">
        <v>1.0018486720692412E-2</v>
      </c>
      <c r="D4" s="18">
        <v>0.29598808476524485</v>
      </c>
      <c r="E4" s="7">
        <f>Parameters!B25</f>
        <v>0.77010299999999987</v>
      </c>
      <c r="F4" s="9">
        <f>Parameters!B26</f>
        <v>0.14859104761904762</v>
      </c>
      <c r="G4" s="29">
        <f>Parameters!B27</f>
        <v>4.3899999999999997</v>
      </c>
      <c r="H4" s="7">
        <v>0</v>
      </c>
      <c r="I4" s="7">
        <f>Parameters!B28</f>
        <v>8.16</v>
      </c>
      <c r="J4" s="7">
        <f>Parameters!B29</f>
        <v>9.0235259308716671</v>
      </c>
      <c r="K4" s="7">
        <f>'6states'!$O$4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0.53582250067468473</v>
      </c>
      <c r="O4" s="7">
        <f>(Parameters!$B$10*G4^Parameters!$B$9 + Parameters!$B$11*N4^Parameters!$B$9) ^ (Parameters!$B$7/Parameters!$B$9) * K4</f>
        <v>1.5072257009366883</v>
      </c>
      <c r="P4" s="7">
        <f t="shared" ref="P4:P67" si="1">O4-B4-C4-D4</f>
        <v>1.1492965096301799</v>
      </c>
      <c r="Q4" s="7">
        <f>EXP(-Parameters!$B$55*A4)</f>
        <v>1</v>
      </c>
      <c r="R4" s="7">
        <f>IF(P4&gt;0,P4^(1-Parameters!$B$52)/(1-Parameters!$B$52)*Q4,-10+P4*1000)</f>
        <v>-2.7213269645142315</v>
      </c>
      <c r="S4" s="28">
        <f>SUM(R4:R353)*Parameters!$B$65</f>
        <v>-181.57740556175088</v>
      </c>
      <c r="T4" s="7"/>
      <c r="U4" s="7"/>
      <c r="V4" s="7"/>
      <c r="W4" s="13">
        <f t="shared" ref="W4:W35" si="2">(B4+C4+D4)/O4</f>
        <v>0.23747550952990498</v>
      </c>
    </row>
    <row r="5" spans="1:23" x14ac:dyDescent="0.25">
      <c r="A5">
        <f>A4+Parameters!$B$65</f>
        <v>1</v>
      </c>
      <c r="B5" s="19">
        <v>5.192267232746807E-2</v>
      </c>
      <c r="C5" s="45">
        <v>1.0018479514771424E-2</v>
      </c>
      <c r="D5" s="18">
        <v>0.29598863091971178</v>
      </c>
      <c r="E5" s="7">
        <f>MAX((1-Parameters!$B$4)^Parameters!B$65*E4+B4*Parameters!B$65-Parameters!$B$5*B4^2/E4*Parameters!B$65,0.0001)</f>
        <v>0.77008536466725031</v>
      </c>
      <c r="F5" s="9">
        <f>MAX((1-Parameters!$B$4)^Parameters!B$65*F4+C4*Parameters!B$65-Parameters!$B$5*C4^2/F4*Parameters!B$65,0.0001)</f>
        <v>0.14858767882192694</v>
      </c>
      <c r="G5" s="7">
        <f>MAX((1-Parameters!$B$4)^Parameters!B$65*G4+D4*Parameters!B$65-Parameters!$B$5*D4^2/G4*Parameters!B$65,0.0001)</f>
        <v>4.3899006049650175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9.2039964494891002</v>
      </c>
      <c r="K5" s="7">
        <f>'6states'!$O$4</f>
        <v>0.98104277196026479</v>
      </c>
      <c r="L5" s="9">
        <f>L4</f>
        <v>0.5</v>
      </c>
      <c r="M5" s="23">
        <f t="shared" ref="M5:M65" si="3">1/(1-L5)</f>
        <v>2</v>
      </c>
      <c r="N5" s="7">
        <f>(Parameters!$B$19*(E5+Parameters!$B$20)^L5+Parameters!$B$18*F5^L5)^(1/L5)</f>
        <v>0.53581038205992615</v>
      </c>
      <c r="O5" s="7">
        <f>(Parameters!$B$10*G5^Parameters!$B$9 + Parameters!$B$11*N5^Parameters!$B$9) ^ (Parameters!$B$7/Parameters!$B$9) * K5</f>
        <v>1.5072154651446801</v>
      </c>
      <c r="P5" s="7">
        <f t="shared" si="1"/>
        <v>1.1492856823827287</v>
      </c>
      <c r="Q5" s="7">
        <f>EXP(-Parameters!$B$55*A5)</f>
        <v>0.98501343333449787</v>
      </c>
      <c r="R5" s="7">
        <f>IF(P5&gt;0,P5^(1-Parameters!$B$52)/(1-Parameters!$B$52)*Q5,-10+P5*1000)</f>
        <v>-2.6805524550641495</v>
      </c>
      <c r="S5" s="7"/>
      <c r="T5" s="9">
        <f t="shared" ref="T5:T18" si="4">SUM(B4:B6)/3</f>
        <v>5.1922665876039491E-2</v>
      </c>
      <c r="U5" s="9">
        <f t="shared" ref="U5:U18" si="5">SUM(C4:C6)/3</f>
        <v>1.0018491950855409E-2</v>
      </c>
      <c r="V5" s="7">
        <f t="shared" ref="V5:V18" si="6">SUM(D4:D6)/3</f>
        <v>0.29598860718670766</v>
      </c>
      <c r="W5" s="13">
        <f t="shared" si="2"/>
        <v>0.23747751468804959</v>
      </c>
    </row>
    <row r="6" spans="1:23" x14ac:dyDescent="0.25">
      <c r="A6">
        <f>A5+Parameters!$B$65</f>
        <v>2</v>
      </c>
      <c r="B6" s="19">
        <v>5.1922705480079406E-2</v>
      </c>
      <c r="C6" s="45">
        <v>1.0018509617102392E-2</v>
      </c>
      <c r="D6" s="18">
        <v>0.29598910587516619</v>
      </c>
      <c r="E6" s="7">
        <f>MAX((1-Parameters!$B$4)^Parameters!B$65*E5+B5*Parameters!B$65-Parameters!$B$5*B5^2/E5*Parameters!B$65,0.0001)</f>
        <v>0.77006880385382304</v>
      </c>
      <c r="F6" s="9">
        <f>MAX((1-Parameters!$B$4)^Parameters!B$65*F5+C5*Parameters!B$65-Parameters!$B$5*C5^2/F5*Parameters!B$65,0.0001)</f>
        <v>0.14858450037340878</v>
      </c>
      <c r="G6" s="7">
        <f>MAX((1-Parameters!$B$4)^Parameters!B$65*G5+D5*Parameters!B$65-Parameters!$B$5*D5^2/G5*Parameters!B$65,0.0001)</f>
        <v>4.3898074825338043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9.3880763784788819</v>
      </c>
      <c r="K6" s="7">
        <f>'6states'!$O$4</f>
        <v>0.98104277196026479</v>
      </c>
      <c r="L6" s="9">
        <f t="shared" ref="L6:L69" si="7">L5</f>
        <v>0.5</v>
      </c>
      <c r="M6" s="23">
        <f t="shared" si="3"/>
        <v>2</v>
      </c>
      <c r="N6" s="7">
        <f>(Parameters!$B$19*(E6+Parameters!$B$20)^L6+Parameters!$B$18*F6^L6)^(1/L6)</f>
        <v>0.53579899322769975</v>
      </c>
      <c r="O6" s="7">
        <f>(Parameters!$B$10*G6^Parameters!$B$9 + Parameters!$B$11*N6^Parameters!$B$9) ^ (Parameters!$B$7/Parameters!$B$9) * K6</f>
        <v>1.5072058700071105</v>
      </c>
      <c r="P6" s="7">
        <f t="shared" si="1"/>
        <v>1.1492755490347624</v>
      </c>
      <c r="Q6" s="7">
        <f>EXP(-Parameters!$B$55*A6)</f>
        <v>0.9702514638494153</v>
      </c>
      <c r="R6" s="7">
        <f>IF(P6&gt;0,P6^(1-Parameters!$B$52)/(1-Parameters!$B$52)*Q6,-10+P6*1000)</f>
        <v>-2.6403883252029341</v>
      </c>
      <c r="S6" s="7"/>
      <c r="T6" s="9">
        <f t="shared" si="4"/>
        <v>5.1922716939889098E-2</v>
      </c>
      <c r="U6" s="9">
        <f t="shared" si="5"/>
        <v>1.0018498905945554E-2</v>
      </c>
      <c r="V6" s="7">
        <f t="shared" si="6"/>
        <v>0.29598908931960893</v>
      </c>
      <c r="W6" s="13">
        <f t="shared" si="2"/>
        <v>0.23747938360315662</v>
      </c>
    </row>
    <row r="7" spans="1:23" x14ac:dyDescent="0.25">
      <c r="A7">
        <f>A6+Parameters!$B$65</f>
        <v>3</v>
      </c>
      <c r="B7" s="19">
        <v>5.1922773012119831E-2</v>
      </c>
      <c r="C7" s="45">
        <v>1.0018507585962845E-2</v>
      </c>
      <c r="D7" s="18">
        <v>0.29598953116394894</v>
      </c>
      <c r="E7" s="7">
        <f>MAX((1-Parameters!$B$4)^Parameters!B$65*E6+B6*Parameters!B$65-Parameters!$B$5*B6^2/E6*Parameters!B$65,0.0001)</f>
        <v>0.77005323810919979</v>
      </c>
      <c r="F7" s="9">
        <f>MAX((1-Parameters!$B$4)^Parameters!B$65*F6+C6*Parameters!B$65-Parameters!$B$5*C6^2/F6*Parameters!B$65,0.0001)</f>
        <v>0.14858153344243707</v>
      </c>
      <c r="G7" s="7">
        <f>MAX((1-Parameters!$B$4)^Parameters!B$65*G6+D6*Parameters!B$65-Parameters!$B$5*D6^2/G6*Parameters!B$65,0.0001)</f>
        <v>4.389720205055383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9.5758379060484593</v>
      </c>
      <c r="K7" s="7">
        <f>'6states'!$O$4</f>
        <v>0.98104277196026479</v>
      </c>
      <c r="L7" s="9">
        <f t="shared" si="7"/>
        <v>0.5</v>
      </c>
      <c r="M7" s="23">
        <f t="shared" si="3"/>
        <v>2</v>
      </c>
      <c r="N7" s="7">
        <f>(Parameters!$B$19*(E7+Parameters!$B$20)^L7+Parameters!$B$18*F7^L7)^(1/L7)</f>
        <v>0.53578830055167048</v>
      </c>
      <c r="O7" s="7">
        <f>(Parameters!$B$10*G7^Parameters!$B$9 + Parameters!$B$11*N7^Parameters!$B$9) ^ (Parameters!$B$7/Parameters!$B$9) * K7</f>
        <v>1.507196874239229</v>
      </c>
      <c r="P7" s="7">
        <f t="shared" si="1"/>
        <v>1.1492660624771973</v>
      </c>
      <c r="Q7" s="7">
        <f>EXP(-Parameters!$B$55*A7)</f>
        <v>0.95571072560413495</v>
      </c>
      <c r="R7" s="7">
        <f>IF(P7&gt;0,P7^(1-Parameters!$B$52)/(1-Parameters!$B$52)*Q7,-10+P7*1000)</f>
        <v>-2.6008254834356359</v>
      </c>
      <c r="S7" s="7"/>
      <c r="T7" s="9">
        <f t="shared" si="4"/>
        <v>5.1922764764223667E-2</v>
      </c>
      <c r="U7" s="9">
        <f t="shared" si="5"/>
        <v>1.0018508686028526E-2</v>
      </c>
      <c r="V7" s="7">
        <f t="shared" si="6"/>
        <v>0.29598951332597273</v>
      </c>
      <c r="W7" s="13">
        <f t="shared" si="2"/>
        <v>0.23748112663961063</v>
      </c>
    </row>
    <row r="8" spans="1:23" x14ac:dyDescent="0.25">
      <c r="A8">
        <f>A7+Parameters!$B$65</f>
        <v>4</v>
      </c>
      <c r="B8" s="19">
        <v>5.1922815800471755E-2</v>
      </c>
      <c r="C8" s="45">
        <v>1.001850885502034E-2</v>
      </c>
      <c r="D8" s="18">
        <v>0.29598990293880317</v>
      </c>
      <c r="E8" s="7">
        <f>MAX((1-Parameters!$B$4)^Parameters!B$65*E7+B7*Parameters!B$65-Parameters!$B$5*B7^2/E7*Parameters!B$65,0.0001)</f>
        <v>0.77003863910736081</v>
      </c>
      <c r="F8" s="9">
        <f>MAX((1-Parameters!$B$4)^Parameters!B$65*F7+C7*Parameters!B$65-Parameters!$B$5*C7^2/F7*Parameters!B$65,0.0001)</f>
        <v>0.14857873788533119</v>
      </c>
      <c r="G8" s="7">
        <f>MAX((1-Parameters!$B$4)^Parameters!B$65*G7+D7*Parameters!B$65-Parameters!$B$5*D7^2/G7*Parameters!B$65,0.0001)</f>
        <v>4.3896383884668406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9.767354664169428</v>
      </c>
      <c r="K8" s="7">
        <f>'6states'!$O$4</f>
        <v>0.98104277196026479</v>
      </c>
      <c r="L8" s="9">
        <f t="shared" si="7"/>
        <v>0.5</v>
      </c>
      <c r="M8" s="23">
        <f t="shared" si="3"/>
        <v>2</v>
      </c>
      <c r="N8" s="7">
        <f>(Parameters!$B$19*(E8+Parameters!$B$20)^L8+Parameters!$B$18*F8^L8)^(1/L8)</f>
        <v>0.53577826452732336</v>
      </c>
      <c r="O8" s="7">
        <f>(Parameters!$B$10*G8^Parameters!$B$9 + Parameters!$B$11*N8^Parameters!$B$9) ^ (Parameters!$B$7/Parameters!$B$9) * K8</f>
        <v>1.5071884393918882</v>
      </c>
      <c r="P8" s="7">
        <f t="shared" si="1"/>
        <v>1.149257211797593</v>
      </c>
      <c r="Q8" s="7">
        <f>EXP(-Parameters!$B$55*A8)</f>
        <v>0.94138790310193321</v>
      </c>
      <c r="R8" s="7">
        <f>IF(P8&gt;0,P8^(1-Parameters!$B$52)/(1-Parameters!$B$52)*Q8,-10+P8*1000)</f>
        <v>-2.5618549441975254</v>
      </c>
      <c r="S8" s="7"/>
      <c r="T8" s="9">
        <f t="shared" si="4"/>
        <v>5.1922814930043602E-2</v>
      </c>
      <c r="U8" s="9">
        <f t="shared" si="5"/>
        <v>1.0018513497741389E-2</v>
      </c>
      <c r="V8" s="7">
        <f t="shared" si="6"/>
        <v>0.29598988215108857</v>
      </c>
      <c r="W8" s="13">
        <f t="shared" si="2"/>
        <v>0.23748273158113617</v>
      </c>
    </row>
    <row r="9" spans="1:23" x14ac:dyDescent="0.25">
      <c r="A9">
        <f>A8+Parameters!$B$65</f>
        <v>5</v>
      </c>
      <c r="B9" s="19">
        <v>5.192285597753922E-2</v>
      </c>
      <c r="C9" s="45">
        <v>1.0018524052240982E-2</v>
      </c>
      <c r="D9" s="18">
        <v>0.29599021235051359</v>
      </c>
      <c r="E9" s="7">
        <f>MAX((1-Parameters!$B$4)^Parameters!B$65*E8+B8*Parameters!B$65-Parameters!$B$5*B8^2/E8*Parameters!B$65,0.0001)</f>
        <v>0.77002492902558284</v>
      </c>
      <c r="F9" s="9">
        <f>MAX((1-Parameters!$B$4)^Parameters!B$65*F8+C8*Parameters!B$65-Parameters!$B$5*C8^2/F8*Parameters!B$65,0.0001)</f>
        <v>0.14857610655646636</v>
      </c>
      <c r="G9" s="7">
        <f>MAX((1-Parameters!$B$4)^Parameters!B$65*G8+D8*Parameters!B$65-Parameters!$B$5*D8^2/G8*Parameters!B$65,0.0001)</f>
        <v>4.389561667792008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9.9627017574528161</v>
      </c>
      <c r="K9" s="7">
        <f>'6states'!$O$4</f>
        <v>0.98104277196026479</v>
      </c>
      <c r="L9" s="9">
        <f t="shared" si="7"/>
        <v>0.5</v>
      </c>
      <c r="M9" s="23">
        <f t="shared" si="3"/>
        <v>2</v>
      </c>
      <c r="N9" s="7">
        <f>(Parameters!$B$19*(E9+Parameters!$B$20)^L9+Parameters!$B$18*F9^L9)^(1/L9)</f>
        <v>0.5357688361310291</v>
      </c>
      <c r="O9" s="7">
        <f>(Parameters!$B$10*G9^Parameters!$B$9 + Parameters!$B$11*N9^Parameters!$B$9) ^ (Parameters!$B$7/Parameters!$B$9) * K9</f>
        <v>1.5071805272324448</v>
      </c>
      <c r="P9" s="7">
        <f t="shared" si="1"/>
        <v>1.1492489348521508</v>
      </c>
      <c r="Q9" s="7">
        <f>EXP(-Parameters!$B$55*A9)</f>
        <v>0.92727973053399881</v>
      </c>
      <c r="R9" s="7">
        <f>IF(P9&gt;0,P9^(1-Parameters!$B$52)/(1-Parameters!$B$52)*Q9,-10+P9*1000)</f>
        <v>-2.5234678952055343</v>
      </c>
      <c r="S9" s="7"/>
      <c r="T9" s="9">
        <f t="shared" si="4"/>
        <v>5.192285790896764E-2</v>
      </c>
      <c r="U9" s="9">
        <f t="shared" si="5"/>
        <v>1.0018525541646757E-2</v>
      </c>
      <c r="V9" s="7">
        <f t="shared" si="6"/>
        <v>0.29599020354506272</v>
      </c>
      <c r="W9" s="13">
        <f t="shared" si="2"/>
        <v>0.23748422031270833</v>
      </c>
    </row>
    <row r="10" spans="1:23" x14ac:dyDescent="0.25">
      <c r="A10">
        <f>A9+Parameters!$B$65</f>
        <v>6</v>
      </c>
      <c r="B10" s="19">
        <v>5.1922901948891945E-2</v>
      </c>
      <c r="C10" s="45">
        <v>1.0018543717678952E-2</v>
      </c>
      <c r="D10" s="18">
        <v>0.29599049534587141</v>
      </c>
      <c r="E10" s="7">
        <f>MAX((1-Parameters!$B$4)^Parameters!B$65*E9+B9*Parameters!B$65-Parameters!$B$5*B9^2/E9*Parameters!B$65,0.0001)</f>
        <v>0.77001205373069037</v>
      </c>
      <c r="F10" s="9">
        <f>MAX((1-Parameters!$B$4)^Parameters!B$65*F9+C9*Parameters!B$65-Parameters!$B$5*C9^2/F9*Parameters!B$65,0.0001)</f>
        <v>0.14857364192192496</v>
      </c>
      <c r="G10" s="7">
        <f>MAX((1-Parameters!$B$4)^Parameters!B$65*G9+D9*Parameters!B$65-Parameters!$B$5*D9^2/G9*Parameters!B$65,0.0001)</f>
        <v>4.3894896916998078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10.161955792601873</v>
      </c>
      <c r="K10" s="7">
        <f>'6states'!$O$4</f>
        <v>0.98104277196026479</v>
      </c>
      <c r="L10" s="9">
        <f t="shared" si="7"/>
        <v>0.5</v>
      </c>
      <c r="M10" s="23">
        <f t="shared" si="3"/>
        <v>2</v>
      </c>
      <c r="N10" s="7">
        <f>(Parameters!$B$19*(E10+Parameters!$B$20)^L10+Parameters!$B$18*F10^L10)^(1/L10)</f>
        <v>0.53575998555276616</v>
      </c>
      <c r="O10" s="7">
        <f>(Parameters!$B$10*G10^Parameters!$B$9 + Parameters!$B$11*N10^Parameters!$B$9) ^ (Parameters!$B$7/Parameters!$B$9) * K10</f>
        <v>1.5071731035165088</v>
      </c>
      <c r="P10" s="7">
        <f t="shared" si="1"/>
        <v>1.1492411625040664</v>
      </c>
      <c r="Q10" s="7">
        <f>EXP(-Parameters!$B$55*A10)</f>
        <v>0.91338299103478215</v>
      </c>
      <c r="R10" s="7">
        <f>IF(P10&gt;0,P10^(1-Parameters!$B$52)/(1-Parameters!$B$52)*Q10,-10+P10*1000)</f>
        <v>-2.4856556590329388</v>
      </c>
      <c r="S10" s="7"/>
      <c r="T10" s="9">
        <f t="shared" si="4"/>
        <v>5.1922910086219437E-2</v>
      </c>
      <c r="U10" s="9">
        <f t="shared" si="5"/>
        <v>1.0018539180782871E-2</v>
      </c>
      <c r="V10" s="7">
        <f t="shared" si="6"/>
        <v>0.29599046945368518</v>
      </c>
      <c r="W10" s="13">
        <f t="shared" si="2"/>
        <v>0.23748562137774487</v>
      </c>
    </row>
    <row r="11" spans="1:23" x14ac:dyDescent="0.25">
      <c r="A11">
        <f>A10+Parameters!$B$65</f>
        <v>7</v>
      </c>
      <c r="B11" s="19">
        <v>5.1922972332227153E-2</v>
      </c>
      <c r="C11" s="45">
        <v>1.0018549772428682E-2</v>
      </c>
      <c r="D11" s="18">
        <v>0.29599070066467048</v>
      </c>
      <c r="E11" s="7">
        <f>MAX((1-Parameters!$B$4)^Parameters!B$65*E10+B10*Parameters!B$65-Parameters!$B$5*B10^2/E10*Parameters!B$65,0.0001)</f>
        <v>0.76999996952078542</v>
      </c>
      <c r="F11" s="9">
        <f>MAX((1-Parameters!$B$4)^Parameters!B$65*F10+C10*Parameters!B$65-Parameters!$B$5*C10^2/F10*Parameters!B$65,0.0001)</f>
        <v>0.14857133811971529</v>
      </c>
      <c r="G11" s="7">
        <f>MAX((1-Parameters!$B$4)^Parameters!B$65*G10+D10*Parameters!B$65-Parameters!$B$5*D10^2/G10*Parameters!B$65,0.0001)</f>
        <v>4.3894221604623098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10.36519490845391</v>
      </c>
      <c r="K11" s="7">
        <f>'6states'!$O$4</f>
        <v>0.98104277196026479</v>
      </c>
      <c r="L11" s="9">
        <f t="shared" si="7"/>
        <v>0.5</v>
      </c>
      <c r="M11" s="23">
        <f t="shared" si="3"/>
        <v>2</v>
      </c>
      <c r="N11" s="7">
        <f>(Parameters!$B$19*(E11+Parameters!$B$20)^L11+Parameters!$B$18*F11^L11)^(1/L11)</f>
        <v>0.5357516841959834</v>
      </c>
      <c r="O11" s="7">
        <f>(Parameters!$B$10*G11^Parameters!$B$9 + Parameters!$B$11*N11^Parameters!$B$9) ^ (Parameters!$B$7/Parameters!$B$9) * K11</f>
        <v>1.5071661385632138</v>
      </c>
      <c r="P11" s="7">
        <f t="shared" si="1"/>
        <v>1.1492339157938873</v>
      </c>
      <c r="Q11" s="7">
        <f>EXP(-Parameters!$B$55*A11)</f>
        <v>0.89969451594850369</v>
      </c>
      <c r="R11" s="7">
        <f>IF(P11&gt;0,P11^(1-Parameters!$B$52)/(1-Parameters!$B$52)*Q11,-10+P11*1000)</f>
        <v>-2.4484096183856137</v>
      </c>
      <c r="S11" s="7"/>
      <c r="T11" s="9">
        <f t="shared" si="4"/>
        <v>5.1922968290484019E-2</v>
      </c>
      <c r="U11" s="9">
        <f t="shared" si="5"/>
        <v>1.0018554695269537E-2</v>
      </c>
      <c r="V11" s="7">
        <f t="shared" si="6"/>
        <v>0.29599069390941629</v>
      </c>
      <c r="W11" s="13">
        <f t="shared" si="2"/>
        <v>0.23748690579695764</v>
      </c>
    </row>
    <row r="12" spans="1:23" x14ac:dyDescent="0.25">
      <c r="A12">
        <f>A11+Parameters!$B$65</f>
        <v>8</v>
      </c>
      <c r="B12" s="19">
        <v>5.1923030590332944E-2</v>
      </c>
      <c r="C12" s="45">
        <v>1.0018570595700976E-2</v>
      </c>
      <c r="D12" s="18">
        <v>0.29599088571770693</v>
      </c>
      <c r="E12" s="7">
        <f>MAX((1-Parameters!$B$4)^Parameters!B$65*E11+B11*Parameters!B$65-Parameters!$B$5*B11^2/E11*Parameters!B$65,0.0001)</f>
        <v>0.76998865135128525</v>
      </c>
      <c r="F12" s="9">
        <f>MAX((1-Parameters!$B$4)^Parameters!B$65*F11+C11*Parameters!B$65-Parameters!$B$5*C11^2/F11*Parameters!B$65,0.0001)</f>
        <v>0.14856917398927166</v>
      </c>
      <c r="G12" s="7">
        <f>MAX((1-Parameters!$B$4)^Parameters!B$65*G11+D11*Parameters!B$65-Parameters!$B$5*D11^2/G11*Parameters!B$65,0.0001)</f>
        <v>4.3893587474970115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10.572498806622988</v>
      </c>
      <c r="K12" s="7">
        <f>'6states'!$O$4</f>
        <v>0.98104277196026479</v>
      </c>
      <c r="L12" s="9">
        <f t="shared" si="7"/>
        <v>0.5</v>
      </c>
      <c r="M12" s="23">
        <f t="shared" si="3"/>
        <v>2</v>
      </c>
      <c r="N12" s="7">
        <f>(Parameters!$B$19*(E12+Parameters!$B$20)^L12+Parameters!$B$18*F12^L12)^(1/L12)</f>
        <v>0.53574390540199801</v>
      </c>
      <c r="O12" s="7">
        <f>(Parameters!$B$10*G12^Parameters!$B$9 + Parameters!$B$11*N12^Parameters!$B$9) ^ (Parameters!$B$7/Parameters!$B$9) * K12</f>
        <v>1.5071596006916961</v>
      </c>
      <c r="P12" s="7">
        <f t="shared" si="1"/>
        <v>1.1492271137879553</v>
      </c>
      <c r="Q12" s="7">
        <f>EXP(-Parameters!$B$55*A12)</f>
        <v>0.88621118410665478</v>
      </c>
      <c r="R12" s="7">
        <f>IF(P12&gt;0,P12^(1-Parameters!$B$52)/(1-Parameters!$B$52)*Q12,-10+P12*1000)</f>
        <v>-2.4117213604399779</v>
      </c>
      <c r="S12" s="7"/>
      <c r="T12" s="9">
        <f t="shared" si="4"/>
        <v>5.1923037563555631E-2</v>
      </c>
      <c r="U12" s="9">
        <f t="shared" si="5"/>
        <v>1.001856890811194E-2</v>
      </c>
      <c r="V12" s="7">
        <f t="shared" si="6"/>
        <v>0.29599084510869716</v>
      </c>
      <c r="W12" s="13">
        <f t="shared" si="2"/>
        <v>0.23748811123883048</v>
      </c>
    </row>
    <row r="13" spans="1:23" x14ac:dyDescent="0.25">
      <c r="A13">
        <f>A12+Parameters!$B$65</f>
        <v>9</v>
      </c>
      <c r="B13" s="19">
        <v>5.1923109768106809E-2</v>
      </c>
      <c r="C13" s="45">
        <v>1.0018586356206166E-2</v>
      </c>
      <c r="D13" s="18">
        <v>0.29599094894371408</v>
      </c>
      <c r="E13" s="7">
        <f>MAX((1-Parameters!$B$4)^Parameters!B$65*E12+B12*Parameters!B$65-Parameters!$B$5*B12^2/E12*Parameters!B$65,0.0001)</f>
        <v>0.76997804402968006</v>
      </c>
      <c r="F13" s="9">
        <f>MAX((1-Parameters!$B$4)^Parameters!B$65*F12+C12*Parameters!B$65-Parameters!$B$5*C12^2/F12*Parameters!B$65,0.0001)</f>
        <v>0.14856715415674965</v>
      </c>
      <c r="G13" s="7">
        <f>MAX((1-Parameters!$B$4)^Parameters!B$65*G12+D12*Parameters!B$65-Parameters!$B$5*D12^2/G12*Parameters!B$65,0.0001)</f>
        <v>4.3892991949487783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10.783948782755449</v>
      </c>
      <c r="K13" s="7">
        <f>'6states'!$O$4</f>
        <v>0.98104277196026479</v>
      </c>
      <c r="L13" s="9">
        <f t="shared" si="7"/>
        <v>0.5</v>
      </c>
      <c r="M13" s="23">
        <f t="shared" si="3"/>
        <v>2</v>
      </c>
      <c r="N13" s="7">
        <f>(Parameters!$B$19*(E13+Parameters!$B$20)^L13+Parameters!$B$18*F13^L13)^(1/L13)</f>
        <v>0.53573661999587519</v>
      </c>
      <c r="O13" s="7">
        <f>(Parameters!$B$10*G13^Parameters!$B$9 + Parameters!$B$11*N13^Parameters!$B$9) ^ (Parameters!$B$7/Parameters!$B$9) * K13</f>
        <v>1.5071534636916057</v>
      </c>
      <c r="P13" s="7">
        <f t="shared" si="1"/>
        <v>1.1492208186235788</v>
      </c>
      <c r="Q13" s="7">
        <f>EXP(-Parameters!$B$55*A13)</f>
        <v>0.87292992111632683</v>
      </c>
      <c r="R13" s="7">
        <f>IF(P13&gt;0,P13^(1-Parameters!$B$52)/(1-Parameters!$B$52)*Q13,-10+P13*1000)</f>
        <v>-2.3755824919872333</v>
      </c>
      <c r="S13" s="7"/>
      <c r="T13" s="9">
        <f t="shared" si="4"/>
        <v>5.1923116893603884E-2</v>
      </c>
      <c r="U13" s="9">
        <f t="shared" si="5"/>
        <v>1.0018594092327958E-2</v>
      </c>
      <c r="V13" s="7">
        <f t="shared" si="6"/>
        <v>0.29599094486307914</v>
      </c>
      <c r="W13" s="13">
        <f t="shared" si="2"/>
        <v>0.2374891832125115</v>
      </c>
    </row>
    <row r="14" spans="1:23" x14ac:dyDescent="0.25">
      <c r="A14">
        <f>A13+Parameters!$B$65</f>
        <v>10</v>
      </c>
      <c r="B14" s="19">
        <v>5.1923210322371904E-2</v>
      </c>
      <c r="C14" s="45">
        <v>1.0018625325076729E-2</v>
      </c>
      <c r="D14" s="18">
        <v>0.29599099992781658</v>
      </c>
      <c r="E14" s="7">
        <f>MAX((1-Parameters!$B$4)^Parameters!B$65*E13+B13*Parameters!B$65-Parameters!$B$5*B13^2/E13*Parameters!B$65,0.0001)</f>
        <v>0.76996812417265859</v>
      </c>
      <c r="F14" s="9">
        <f>MAX((1-Parameters!$B$4)^Parameters!B$65*F13+C13*Parameters!B$65-Parameters!$B$5*C13^2/F13*Parameters!B$65,0.0001)</f>
        <v>0.14856526582166932</v>
      </c>
      <c r="G14" s="7">
        <f>MAX((1-Parameters!$B$4)^Parameters!B$65*G13+D13*Parameters!B$65-Parameters!$B$5*D13^2/G13*Parameters!B$65,0.0001)</f>
        <v>4.3892431721470411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10.999627758410558</v>
      </c>
      <c r="K14" s="7">
        <f>'6states'!$O$4</f>
        <v>0.98104277196026479</v>
      </c>
      <c r="L14" s="9">
        <f t="shared" si="7"/>
        <v>0.5</v>
      </c>
      <c r="M14" s="23">
        <f t="shared" si="3"/>
        <v>2</v>
      </c>
      <c r="N14" s="7">
        <f>(Parameters!$B$19*(E14+Parameters!$B$20)^L14+Parameters!$B$18*F14^L14)^(1/L14)</f>
        <v>0.53572980710088947</v>
      </c>
      <c r="O14" s="7">
        <f>(Parameters!$B$10*G14^Parameters!$B$9 + Parameters!$B$11*N14^Parameters!$B$9) ^ (Parameters!$B$7/Parameters!$B$9) * K14</f>
        <v>1.5071476963825614</v>
      </c>
      <c r="P14" s="7">
        <f t="shared" si="1"/>
        <v>1.1492148608072963</v>
      </c>
      <c r="Q14" s="7">
        <f>EXP(-Parameters!$B$55*A14)</f>
        <v>0.85984769865920552</v>
      </c>
      <c r="R14" s="7">
        <f>IF(P14&gt;0,P14^(1-Parameters!$B$52)/(1-Parameters!$B$52)*Q14,-10+P14*1000)</f>
        <v>-2.3399849124595709</v>
      </c>
      <c r="S14" s="7"/>
      <c r="T14" s="9">
        <f t="shared" si="4"/>
        <v>5.1923228314208147E-2</v>
      </c>
      <c r="U14" s="9">
        <f t="shared" si="5"/>
        <v>1.0018613676421304E-2</v>
      </c>
      <c r="V14" s="7">
        <f t="shared" si="6"/>
        <v>0.29599096752138288</v>
      </c>
      <c r="W14" s="13">
        <f t="shared" si="2"/>
        <v>0.23749021840020823</v>
      </c>
    </row>
    <row r="15" spans="1:23" x14ac:dyDescent="0.25">
      <c r="A15">
        <f>A14+Parameters!$B$65</f>
        <v>11</v>
      </c>
      <c r="B15" s="19">
        <v>5.1923364852145715E-2</v>
      </c>
      <c r="C15" s="45">
        <v>1.0018629347981015E-2</v>
      </c>
      <c r="D15" s="18">
        <v>0.29599095369261796</v>
      </c>
      <c r="E15" s="7">
        <f>MAX((1-Parameters!$B$4)^Parameters!B$65*E14+B14*Parameters!B$65-Parameters!$B$5*B14^2/E14*Parameters!B$65,0.0001)</f>
        <v>0.76995887015676112</v>
      </c>
      <c r="F15" s="9">
        <f>MAX((1-Parameters!$B$4)^Parameters!B$65*F14+C14*Parameters!B$65-Parameters!$B$5*C14^2/F14*Parameters!B$65,0.0001)</f>
        <v>0.14856352138874265</v>
      </c>
      <c r="G15" s="7">
        <f>MAX((1-Parameters!$B$4)^Parameters!B$65*G14+D14*Parameters!B$65-Parameters!$B$5*D14^2/G14*Parameters!B$65,0.0001)</f>
        <v>4.3891904625240592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11.219620313578769</v>
      </c>
      <c r="K15" s="7">
        <f>'6states'!$O$4</f>
        <v>0.98104277196026479</v>
      </c>
      <c r="L15" s="9">
        <f t="shared" si="7"/>
        <v>0.5</v>
      </c>
      <c r="M15" s="23">
        <f t="shared" si="3"/>
        <v>2</v>
      </c>
      <c r="N15" s="7">
        <f>(Parameters!$B$19*(E15+Parameters!$B$20)^L15+Parameters!$B$18*F15^L15)^(1/L15)</f>
        <v>0.53572346139816274</v>
      </c>
      <c r="O15" s="7">
        <f>(Parameters!$B$10*G15^Parameters!$B$9 + Parameters!$B$11*N15^Parameters!$B$9) ^ (Parameters!$B$7/Parameters!$B$9) * K15</f>
        <v>1.5071422795767973</v>
      </c>
      <c r="P15" s="7">
        <f t="shared" si="1"/>
        <v>1.1492093316840526</v>
      </c>
      <c r="Q15" s="7">
        <f>EXP(-Parameters!$B$55*A15)</f>
        <v>0.84696153380107075</v>
      </c>
      <c r="R15" s="7">
        <f>IF(P15&gt;0,P15^(1-Parameters!$B$52)/(1-Parameters!$B$52)*Q15,-10+P15*1000)</f>
        <v>-2.3049204538949808</v>
      </c>
      <c r="S15" s="7"/>
      <c r="T15" s="9">
        <f t="shared" si="4"/>
        <v>5.1923364179741159E-2</v>
      </c>
      <c r="U15" s="9">
        <f t="shared" si="5"/>
        <v>1.0018638017698625E-2</v>
      </c>
      <c r="V15" s="7">
        <f t="shared" si="6"/>
        <v>0.29599097212338649</v>
      </c>
      <c r="W15" s="13">
        <f t="shared" si="2"/>
        <v>0.23749114648502304</v>
      </c>
    </row>
    <row r="16" spans="1:23" x14ac:dyDescent="0.25">
      <c r="A16">
        <f>A15+Parameters!$B$65</f>
        <v>12</v>
      </c>
      <c r="B16" s="19">
        <v>5.1923517364705844E-2</v>
      </c>
      <c r="C16" s="45">
        <v>1.0018659380038134E-2</v>
      </c>
      <c r="D16" s="18">
        <v>0.29599096274972492</v>
      </c>
      <c r="E16" s="7">
        <f>MAX((1-Parameters!$B$4)^Parameters!B$65*E15+B15*Parameters!B$65-Parameters!$B$5*B15^2/E15*Parameters!B$65,0.0001)</f>
        <v>0.76995028982274571</v>
      </c>
      <c r="F16" s="9">
        <f>MAX((1-Parameters!$B$4)^Parameters!B$65*F15+C15*Parameters!B$65-Parameters!$B$5*C15^2/F15*Parameters!B$65,0.0001)</f>
        <v>0.14856188222790276</v>
      </c>
      <c r="G16" s="7">
        <f>MAX((1-Parameters!$B$4)^Parameters!B$65*G15+D15*Parameters!B$65-Parameters!$B$5*D15^2/G15*Parameters!B$65,0.0001)</f>
        <v>4.3891407886343705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11.444012719850345</v>
      </c>
      <c r="K16" s="7">
        <f>'6states'!$O$4</f>
        <v>0.98104277196026479</v>
      </c>
      <c r="L16" s="9">
        <f t="shared" si="7"/>
        <v>0.5</v>
      </c>
      <c r="M16" s="23">
        <f t="shared" si="3"/>
        <v>2</v>
      </c>
      <c r="N16" s="7">
        <f>(Parameters!$B$19*(E16+Parameters!$B$20)^L16+Parameters!$B$18*F16^L16)^(1/L16)</f>
        <v>0.53571756512338475</v>
      </c>
      <c r="O16" s="7">
        <f>(Parameters!$B$10*G16^Parameters!$B$9 + Parameters!$B$11*N16^Parameters!$B$9) ^ (Parameters!$B$7/Parameters!$B$9) * K16</f>
        <v>1.5071371870750052</v>
      </c>
      <c r="P16" s="7">
        <f t="shared" si="1"/>
        <v>1.1492040475805361</v>
      </c>
      <c r="Q16" s="7">
        <f>EXP(-Parameters!$B$55*A16)</f>
        <v>0.83426848831164502</v>
      </c>
      <c r="R16" s="7">
        <f>IF(P16&gt;0,P16^(1-Parameters!$B$52)/(1-Parameters!$B$52)*Q16,-10+P16*1000)</f>
        <v>-2.2703812636110046</v>
      </c>
      <c r="S16" s="7"/>
      <c r="T16" s="9">
        <f t="shared" si="4"/>
        <v>5.1923518010124792E-2</v>
      </c>
      <c r="U16" s="9">
        <f t="shared" si="5"/>
        <v>1.0018656618360643E-2</v>
      </c>
      <c r="V16" s="7">
        <f t="shared" si="6"/>
        <v>0.29599099394883854</v>
      </c>
      <c r="W16" s="13">
        <f t="shared" si="2"/>
        <v>0.2374920760791073</v>
      </c>
    </row>
    <row r="17" spans="1:23" x14ac:dyDescent="0.25">
      <c r="A17">
        <f>A16+Parameters!$B$65</f>
        <v>13</v>
      </c>
      <c r="B17" s="19">
        <v>5.1923671813522823E-2</v>
      </c>
      <c r="C17" s="45">
        <v>1.0018681127062778E-2</v>
      </c>
      <c r="D17" s="18">
        <v>0.29599106540417269</v>
      </c>
      <c r="E17" s="7">
        <f>MAX((1-Parameters!$B$4)^Parameters!B$65*E16+B16*Parameters!B$65-Parameters!$B$5*B16^2/E16*Parameters!B$65,0.0001)</f>
        <v>0.76994234211308887</v>
      </c>
      <c r="F17" s="9">
        <f>MAX((1-Parameters!$B$4)^Parameters!B$65*F16+C16*Parameters!B$65-Parameters!$B$5*C16^2/F16*Parameters!B$65,0.0001)</f>
        <v>0.14856036469726056</v>
      </c>
      <c r="G17" s="7">
        <f>MAX((1-Parameters!$B$4)^Parameters!B$65*G16+D16*Parameters!B$65-Parameters!$B$5*D16^2/G16*Parameters!B$65,0.0001)</f>
        <v>4.3890940211653442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11.672892974247352</v>
      </c>
      <c r="K17" s="7">
        <f>'6states'!$O$4</f>
        <v>0.98104277196026479</v>
      </c>
      <c r="L17" s="9">
        <f t="shared" si="7"/>
        <v>0.5</v>
      </c>
      <c r="M17" s="23">
        <f t="shared" si="3"/>
        <v>2</v>
      </c>
      <c r="N17" s="7">
        <f>(Parameters!$B$19*(E17+Parameters!$B$20)^L17+Parameters!$B$18*F17^L17)^(1/L17)</f>
        <v>0.53571210402590075</v>
      </c>
      <c r="O17" s="7">
        <f>(Parameters!$B$10*G17^Parameters!$B$9 + Parameters!$B$11*N17^Parameters!$B$9) ^ (Parameters!$B$7/Parameters!$B$9) * K17</f>
        <v>1.5071324057896174</v>
      </c>
      <c r="P17" s="7">
        <f t="shared" si="1"/>
        <v>1.1491989874448592</v>
      </c>
      <c r="Q17" s="7">
        <f>EXP(-Parameters!$B$55*A17)</f>
        <v>0.82176566799463491</v>
      </c>
      <c r="R17" s="7">
        <f>IF(P17&gt;0,P17^(1-Parameters!$B$52)/(1-Parameters!$B$52)*Q17,-10+P17*1000)</f>
        <v>-2.2363594899240993</v>
      </c>
      <c r="S17" s="7"/>
      <c r="T17" s="9">
        <f t="shared" si="4"/>
        <v>5.1923451809196358E-2</v>
      </c>
      <c r="U17" s="9">
        <f t="shared" si="5"/>
        <v>1.0018634582096009E-2</v>
      </c>
      <c r="V17" s="7">
        <f t="shared" si="6"/>
        <v>0.29599144578102971</v>
      </c>
      <c r="W17" s="13">
        <f t="shared" si="2"/>
        <v>0.23749301452862709</v>
      </c>
    </row>
    <row r="18" spans="1:23" x14ac:dyDescent="0.25">
      <c r="A18">
        <f>A17+Parameters!$B$65</f>
        <v>14</v>
      </c>
      <c r="B18" s="19">
        <v>5.1923166249360414E-2</v>
      </c>
      <c r="C18" s="45">
        <v>1.0018563239187114E-2</v>
      </c>
      <c r="D18" s="18">
        <v>0.29599230918919134</v>
      </c>
      <c r="E18" s="7">
        <f>MAX((1-Parameters!$B$4)^Parameters!B$65*E17+B17*Parameters!B$65-Parameters!$B$5*B17^2/E17*Parameters!B$65,0.0001)</f>
        <v>0.76993499178656843</v>
      </c>
      <c r="F18" s="9">
        <f>MAX((1-Parameters!$B$4)^Parameters!B$65*F17+C17*Parameters!B$65-Parameters!$B$5*C17^2/F17*Parameters!B$65,0.0001)</f>
        <v>0.14855895453160689</v>
      </c>
      <c r="G18" s="7">
        <f>MAX((1-Parameters!$B$4)^Parameters!B$65*G17+D17*Parameters!B$65-Parameters!$B$5*D17^2/G17*Parameters!B$65,0.0001)</f>
        <v>4.3890500714893204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11.906350833732299</v>
      </c>
      <c r="K18" s="7">
        <f>'6states'!$O$4</f>
        <v>0.98104277196026479</v>
      </c>
      <c r="L18" s="9">
        <f t="shared" si="7"/>
        <v>0.5</v>
      </c>
      <c r="M18" s="23">
        <f t="shared" si="3"/>
        <v>2</v>
      </c>
      <c r="N18" s="7">
        <f>(Parameters!$B$19*(E18+Parameters!$B$20)^L18+Parameters!$B$18*F18^L18)^(1/L18)</f>
        <v>0.53570704954230908</v>
      </c>
      <c r="O18" s="7">
        <f>(Parameters!$B$10*G18^Parameters!$B$9 + Parameters!$B$11*N18^Parameters!$B$9) ^ (Parameters!$B$7/Parameters!$B$9) * K18</f>
        <v>1.5071279239822681</v>
      </c>
      <c r="P18" s="7">
        <f t="shared" si="1"/>
        <v>1.1491938853045292</v>
      </c>
      <c r="Q18" s="7">
        <f>EXP(-Parameters!$B$55*A18)</f>
        <v>0.80945022202781236</v>
      </c>
      <c r="R18" s="7">
        <f>IF(P18&gt;0,P18^(1-Parameters!$B$52)/(1-Parameters!$B$52)*Q18,-10+P18*1000)</f>
        <v>-2.202847562366975</v>
      </c>
      <c r="S18" s="7"/>
      <c r="T18" s="9">
        <f t="shared" si="4"/>
        <v>5.1923334770747877E-2</v>
      </c>
      <c r="U18" s="9">
        <f t="shared" si="5"/>
        <v>1.0018602535145671E-2</v>
      </c>
      <c r="V18" s="7">
        <f t="shared" si="6"/>
        <v>0.29599189459418512</v>
      </c>
      <c r="W18" s="13">
        <f t="shared" si="2"/>
        <v>0.23749413237064412</v>
      </c>
    </row>
    <row r="19" spans="1:23" x14ac:dyDescent="0.25">
      <c r="A19">
        <f>A18+Parameters!$B$65</f>
        <v>15</v>
      </c>
      <c r="B19" s="46">
        <f>B18</f>
        <v>5.1923166249360414E-2</v>
      </c>
      <c r="C19" s="46">
        <f t="shared" ref="C19:D19" si="8">C18</f>
        <v>1.0018563239187114E-2</v>
      </c>
      <c r="D19" s="46">
        <f t="shared" si="8"/>
        <v>0.29599230918919134</v>
      </c>
      <c r="E19" s="7">
        <f>MAX((1-Parameters!$B$4)^Parameters!B$65*E18+B18*Parameters!B$65-Parameters!$B$5*B18^2/E18*Parameters!B$65,0.0001)</f>
        <v>0.76992763299147204</v>
      </c>
      <c r="F19" s="9">
        <f>MAX((1-Parameters!$B$4)^Parameters!B$65*F18+C18*Parameters!B$65-Parameters!$B$5*C18^2/F18*Parameters!B$65,0.0001)</f>
        <v>0.14855752466448985</v>
      </c>
      <c r="G19" s="7">
        <f>MAX((1-Parameters!$B$4)^Parameters!B$65*G18+D18*Parameters!B$65-Parameters!$B$5*D18^2/G18*Parameters!B$65,0.0001)</f>
        <v>4.3890097623953936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12.144477850406945</v>
      </c>
      <c r="K19" s="7">
        <f>'6states'!$O$4</f>
        <v>0.98104277196026479</v>
      </c>
      <c r="L19" s="9">
        <f t="shared" si="7"/>
        <v>0.5</v>
      </c>
      <c r="M19" s="23">
        <f t="shared" si="3"/>
        <v>2</v>
      </c>
      <c r="N19" s="7">
        <f>(Parameters!$B$19*(E19+Parameters!$B$20)^L19+Parameters!$B$18*F19^L19)^(1/L19)</f>
        <v>0.53570197880563186</v>
      </c>
      <c r="O19" s="7">
        <f>(Parameters!$B$10*G19^Parameters!$B$9 + Parameters!$B$11*N19^Parameters!$B$9) ^ (Parameters!$B$7/Parameters!$B$9) * K19</f>
        <v>1.5071237493010481</v>
      </c>
      <c r="P19" s="7">
        <f t="shared" si="1"/>
        <v>1.1491897106233091</v>
      </c>
      <c r="Q19" s="7">
        <f>EXP(-Parameters!$B$55*A19)</f>
        <v>0.79731934231298707</v>
      </c>
      <c r="R19" s="7">
        <f>IF(P19&gt;0,P19^(1-Parameters!$B$52)/(1-Parameters!$B$52)*Q19,-10+P19*1000)</f>
        <v>-2.169837199354574</v>
      </c>
      <c r="S19" s="7"/>
      <c r="T19" s="9"/>
      <c r="U19" s="9"/>
      <c r="V19" s="7"/>
      <c r="W19" s="13">
        <f t="shared" si="2"/>
        <v>0.23749479022126505</v>
      </c>
    </row>
    <row r="20" spans="1:23" x14ac:dyDescent="0.25">
      <c r="A20">
        <f>A19+Parameters!$B$65</f>
        <v>16</v>
      </c>
      <c r="B20" s="19">
        <v>5.1923367561679458E-2</v>
      </c>
      <c r="C20" s="45">
        <v>1.0018606122652445E-2</v>
      </c>
      <c r="D20" s="18">
        <v>0.29599242145708876</v>
      </c>
      <c r="E20" s="7">
        <f>MAX((1-Parameters!$B$4)^Parameters!B$65*E19+B19*Parameters!B$65-Parameters!$B$5*B19^2/E19*Parameters!B$65,0.0001)</f>
        <v>0.76992070359694775</v>
      </c>
      <c r="F20" s="9">
        <f>MAX((1-Parameters!$B$4)^Parameters!B$65*F19+C19*Parameters!B$65-Parameters!$B$5*C19^2/F19*Parameters!B$65,0.0001)</f>
        <v>0.14855617823302461</v>
      </c>
      <c r="G20" s="7">
        <f>MAX((1-Parameters!$B$4)^Parameters!B$65*G19+D19*Parameters!B$65-Parameters!$B$5*D19^2/G19*Parameters!B$65,0.0001)</f>
        <v>4.3889718054163165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12.387367407415084</v>
      </c>
      <c r="K20" s="7">
        <f>'6states'!$O$4</f>
        <v>0.98104277196026479</v>
      </c>
      <c r="L20" s="9">
        <f t="shared" si="7"/>
        <v>0.5</v>
      </c>
      <c r="M20" s="23">
        <f t="shared" si="3"/>
        <v>2</v>
      </c>
      <c r="N20" s="7">
        <f>(Parameters!$B$19*(E20+Parameters!$B$20)^L20+Parameters!$B$18*F20^L20)^(1/L20)</f>
        <v>0.53569720395669895</v>
      </c>
      <c r="O20" s="7">
        <f>(Parameters!$B$10*G20^Parameters!$B$9 + Parameters!$B$11*N20^Parameters!$B$9) ^ (Parameters!$B$7/Parameters!$B$9) * K20</f>
        <v>1.5071198181960348</v>
      </c>
      <c r="P20" s="7">
        <f t="shared" si="1"/>
        <v>1.1491854230546141</v>
      </c>
      <c r="Q20" s="7">
        <f>EXP(-Parameters!$B$55*A20)</f>
        <v>0.7853702628357192</v>
      </c>
      <c r="R20" s="7">
        <f>IF(P20&gt;0,P20^(1-Parameters!$B$52)/(1-Parameters!$B$52)*Q20,-10+P20*1000)</f>
        <v>-2.1373215805001</v>
      </c>
      <c r="S20" s="7"/>
      <c r="T20" s="9"/>
      <c r="U20" s="9"/>
      <c r="V20" s="7"/>
      <c r="W20" s="13">
        <f t="shared" si="2"/>
        <v>0.23749564621202748</v>
      </c>
    </row>
    <row r="21" spans="1:23" x14ac:dyDescent="0.25">
      <c r="A21">
        <f>A20+Parameters!$B$65</f>
        <v>17</v>
      </c>
      <c r="B21" s="46">
        <f>B20</f>
        <v>5.1923367561679458E-2</v>
      </c>
      <c r="C21" s="46">
        <f t="shared" ref="C21:D21" si="9">C20</f>
        <v>1.0018606122652445E-2</v>
      </c>
      <c r="D21" s="46">
        <f t="shared" si="9"/>
        <v>0.29599242145708876</v>
      </c>
      <c r="E21" s="7">
        <f>MAX((1-Parameters!$B$4)^Parameters!B$65*E20+B20*Parameters!B$65-Parameters!$B$5*B20^2/E20*Parameters!B$65,0.0001)</f>
        <v>0.76991435270542963</v>
      </c>
      <c r="F21" s="9">
        <f>MAX((1-Parameters!$B$4)^Parameters!B$65*F20+C20*Parameters!B$65-Parameters!$B$5*C20^2/F20*Parameters!B$65,0.0001)</f>
        <v>0.14855494746782583</v>
      </c>
      <c r="G21" s="7">
        <f>MAX((1-Parameters!$B$4)^Parameters!B$65*G20+D20*Parameters!B$65-Parameters!$B$5*D20^2/G20*Parameters!B$65,0.0001)</f>
        <v>4.3889361604236834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12.635114755563386</v>
      </c>
      <c r="K21" s="7">
        <f>'6states'!$O$4</f>
        <v>0.98104277196026479</v>
      </c>
      <c r="L21" s="9">
        <f t="shared" si="7"/>
        <v>0.5</v>
      </c>
      <c r="M21" s="23">
        <f t="shared" si="3"/>
        <v>2</v>
      </c>
      <c r="N21" s="7">
        <f>(Parameters!$B$19*(E21+Parameters!$B$20)^L21+Parameters!$B$18*F21^L21)^(1/L21)</f>
        <v>0.5356928296180492</v>
      </c>
      <c r="O21" s="7">
        <f>(Parameters!$B$10*G21^Parameters!$B$9 + Parameters!$B$11*N21^Parameters!$B$9) ^ (Parameters!$B$7/Parameters!$B$9) * K21</f>
        <v>1.5071161426781861</v>
      </c>
      <c r="P21" s="7">
        <f t="shared" si="1"/>
        <v>1.1491817475367654</v>
      </c>
      <c r="Q21" s="7">
        <f>EXP(-Parameters!$B$55*A21)</f>
        <v>0.7736002590346287</v>
      </c>
      <c r="R21" s="7">
        <f>IF(P21&gt;0,P21^(1-Parameters!$B$52)/(1-Parameters!$B$52)*Q21,-10+P21*1000)</f>
        <v>-2.1052928248761673</v>
      </c>
      <c r="S21" s="7"/>
      <c r="T21" s="9"/>
      <c r="U21" s="9"/>
      <c r="V21" s="7"/>
      <c r="W21" s="13">
        <f t="shared" si="2"/>
        <v>0.23749622541057891</v>
      </c>
    </row>
    <row r="22" spans="1:23" x14ac:dyDescent="0.25">
      <c r="A22">
        <f>A21+Parameters!$B$65</f>
        <v>18</v>
      </c>
      <c r="B22" s="19">
        <v>5.1923434333508496E-2</v>
      </c>
      <c r="C22" s="45">
        <v>1.0018768133109802E-2</v>
      </c>
      <c r="D22" s="18">
        <v>0.2959927970315957</v>
      </c>
      <c r="E22" s="7">
        <f>MAX((1-Parameters!$B$4)^Parameters!B$65*E21+B21*Parameters!B$65-Parameters!$B$5*B21^2/E21*Parameters!B$65,0.0001)</f>
        <v>0.76990837240001375</v>
      </c>
      <c r="F22" s="9">
        <f>MAX((1-Parameters!$B$4)^Parameters!B$65*F21+C21*Parameters!B$65-Parameters!$B$5*C21^2/F21*Parameters!B$65,0.0001)</f>
        <v>0.14855378852002768</v>
      </c>
      <c r="G22" s="7">
        <f>MAX((1-Parameters!$B$4)^Parameters!B$65*G21+D21*Parameters!B$65-Parameters!$B$5*D21^2/G21*Parameters!B$65,0.0001)</f>
        <v>4.3889025953806904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12.887817050674654</v>
      </c>
      <c r="K22" s="7">
        <f>'6states'!$O$4</f>
        <v>0.98104277196026479</v>
      </c>
      <c r="L22" s="9">
        <f t="shared" si="7"/>
        <v>0.5</v>
      </c>
      <c r="M22" s="23">
        <f t="shared" si="3"/>
        <v>2</v>
      </c>
      <c r="N22" s="7">
        <f>(Parameters!$B$19*(E22+Parameters!$B$20)^L22+Parameters!$B$18*F22^L22)^(1/L22)</f>
        <v>0.5356887105300403</v>
      </c>
      <c r="O22" s="7">
        <f>(Parameters!$B$10*G22^Parameters!$B$9 + Parameters!$B$11*N22^Parameters!$B$9) ^ (Parameters!$B$7/Parameters!$B$9) * K22</f>
        <v>1.5071126816143283</v>
      </c>
      <c r="P22" s="7">
        <f t="shared" si="1"/>
        <v>1.1491776821161144</v>
      </c>
      <c r="Q22" s="7">
        <f>EXP(-Parameters!$B$55*A22)</f>
        <v>0.76200664718015654</v>
      </c>
      <c r="R22" s="7">
        <f>IF(P22&gt;0,P22^(1-Parameters!$B$52)/(1-Parameters!$B$52)*Q22,-10+P22*1000)</f>
        <v>-2.0737442812834881</v>
      </c>
      <c r="S22" s="7"/>
      <c r="T22" s="9"/>
      <c r="U22" s="9"/>
      <c r="V22" s="7"/>
      <c r="W22" s="13">
        <f t="shared" si="2"/>
        <v>0.2374971718205009</v>
      </c>
    </row>
    <row r="23" spans="1:23" x14ac:dyDescent="0.25">
      <c r="A23">
        <f>A22+Parameters!$B$65</f>
        <v>19</v>
      </c>
      <c r="B23" s="46">
        <f>B22</f>
        <v>5.1923434333508496E-2</v>
      </c>
      <c r="C23" s="46">
        <f t="shared" ref="C23:D23" si="10">C22</f>
        <v>1.0018768133109802E-2</v>
      </c>
      <c r="D23" s="46">
        <f t="shared" si="10"/>
        <v>0.2959927970315957</v>
      </c>
      <c r="E23" s="7">
        <f>MAX((1-Parameters!$B$4)^Parameters!B$65*E22+B22*Parameters!B$65-Parameters!$B$5*B22^2/E22*Parameters!B$65,0.0001)</f>
        <v>0.76990279882139911</v>
      </c>
      <c r="F23" s="9">
        <f>MAX((1-Parameters!$B$4)^Parameters!B$65*F22+C22*Parameters!B$65-Parameters!$B$5*C22^2/F22*Parameters!B$65,0.0001)</f>
        <v>0.14855283735687652</v>
      </c>
      <c r="G23" s="7">
        <f>MAX((1-Parameters!$B$4)^Parameters!B$65*G22+D22*Parameters!B$65-Parameters!$B$5*D22^2/G22*Parameters!B$65,0.0001)</f>
        <v>4.3888713138322739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13.145573391688147</v>
      </c>
      <c r="K23" s="7">
        <f>'6states'!$O$4</f>
        <v>0.98104277196026479</v>
      </c>
      <c r="L23" s="9">
        <f t="shared" si="7"/>
        <v>0.5</v>
      </c>
      <c r="M23" s="23">
        <f t="shared" si="3"/>
        <v>2</v>
      </c>
      <c r="N23" s="7">
        <f>(Parameters!$B$19*(E23+Parameters!$B$20)^L23+Parameters!$B$18*F23^L23)^(1/L23)</f>
        <v>0.53568494599269245</v>
      </c>
      <c r="O23" s="7">
        <f>(Parameters!$B$10*G23^Parameters!$B$9 + Parameters!$B$11*N23^Parameters!$B$9) ^ (Parameters!$B$7/Parameters!$B$9) * K23</f>
        <v>1.5071094669497014</v>
      </c>
      <c r="P23" s="7">
        <f t="shared" si="1"/>
        <v>1.1491744674514874</v>
      </c>
      <c r="Q23" s="7">
        <f>EXP(-Parameters!$B$55*A23)</f>
        <v>0.75058678376263543</v>
      </c>
      <c r="R23" s="7">
        <f>IF(P23&gt;0,P23^(1-Parameters!$B$52)/(1-Parameters!$B$52)*Q23,-10+P23*1000)</f>
        <v>-2.0426679742944258</v>
      </c>
      <c r="S23" s="7"/>
      <c r="T23" s="9"/>
      <c r="U23" s="9"/>
      <c r="V23" s="7"/>
      <c r="W23" s="13">
        <f t="shared" si="2"/>
        <v>0.23749767840198949</v>
      </c>
    </row>
    <row r="24" spans="1:23" x14ac:dyDescent="0.25">
      <c r="A24">
        <f>A23+Parameters!$B$65</f>
        <v>20</v>
      </c>
      <c r="B24" s="19">
        <v>5.192351339681784E-2</v>
      </c>
      <c r="C24" s="45">
        <v>1.0018652250690263E-2</v>
      </c>
      <c r="D24" s="18">
        <v>0.29599355613290212</v>
      </c>
      <c r="E24" s="7">
        <f>MAX((1-Parameters!$B$4)^Parameters!B$65*E23+B23*Parameters!B$65-Parameters!$B$5*B23^2/E23*Parameters!B$65,0.0001)</f>
        <v>0.76989755047040964</v>
      </c>
      <c r="F24" s="9">
        <f>MAX((1-Parameters!$B$4)^Parameters!B$65*F23+C23*Parameters!B$65-Parameters!$B$5*C23^2/F23*Parameters!B$65,0.0001)</f>
        <v>0.1485519416955641</v>
      </c>
      <c r="G24" s="7">
        <f>MAX((1-Parameters!$B$4)^Parameters!B$65*G23+D23*Parameters!B$65-Parameters!$B$5*D23^2/G23*Parameters!B$65,0.0001)</f>
        <v>4.3888418576139472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13.408484859521911</v>
      </c>
      <c r="K24" s="7">
        <f>'6states'!$O$4</f>
        <v>0.98104277196026479</v>
      </c>
      <c r="L24" s="9">
        <f t="shared" si="7"/>
        <v>0.5</v>
      </c>
      <c r="M24" s="23">
        <f t="shared" si="3"/>
        <v>2</v>
      </c>
      <c r="N24" s="7">
        <f>(Parameters!$B$19*(E24+Parameters!$B$20)^L24+Parameters!$B$18*F24^L24)^(1/L24)</f>
        <v>0.53568140112230123</v>
      </c>
      <c r="O24" s="7">
        <f>(Parameters!$B$10*G24^Parameters!$B$9 + Parameters!$B$11*N24^Parameters!$B$9) ^ (Parameters!$B$7/Parameters!$B$9) * K24</f>
        <v>1.5071064398514398</v>
      </c>
      <c r="P24" s="7">
        <f t="shared" si="1"/>
        <v>1.1491707180710296</v>
      </c>
      <c r="Q24" s="7">
        <f>EXP(-Parameters!$B$55*A24)</f>
        <v>0.7393380648895318</v>
      </c>
      <c r="R24" s="7">
        <f>IF(P24&gt;0,P24^(1-Parameters!$B$52)/(1-Parameters!$B$52)*Q24,-10+P24*1000)</f>
        <v>-2.0120576921647895</v>
      </c>
      <c r="S24" s="7"/>
      <c r="T24" s="9"/>
      <c r="U24" s="9"/>
      <c r="V24" s="7"/>
      <c r="W24" s="13">
        <f t="shared" si="2"/>
        <v>0.23749863467884397</v>
      </c>
    </row>
    <row r="25" spans="1:23" x14ac:dyDescent="0.25">
      <c r="A25">
        <f>A24+Parameters!$B$65</f>
        <v>21</v>
      </c>
      <c r="B25" s="46">
        <f>B24</f>
        <v>5.192351339681784E-2</v>
      </c>
      <c r="C25" s="46">
        <f t="shared" ref="C25:D28" si="11">C24</f>
        <v>1.0018652250690263E-2</v>
      </c>
      <c r="D25" s="46">
        <f t="shared" si="11"/>
        <v>0.29599355613290212</v>
      </c>
      <c r="E25" s="7">
        <f>MAX((1-Parameters!$B$4)^Parameters!B$65*E24+B24*Parameters!B$65-Parameters!$B$5*B24^2/E24*Parameters!B$65,0.0001)</f>
        <v>0.7698926767680595</v>
      </c>
      <c r="F25" s="9">
        <f>MAX((1-Parameters!$B$4)^Parameters!B$65*F24+C24*Parameters!B$65-Parameters!$B$5*C24^2/F24*Parameters!B$65,0.0001)</f>
        <v>0.14855099804579594</v>
      </c>
      <c r="G25" s="7">
        <f>MAX((1-Parameters!$B$4)^Parameters!B$65*G24+D24*Parameters!B$65-Parameters!$B$5*D24^2/G24*Parameters!B$65,0.0001)</f>
        <v>4.3888147769231987</v>
      </c>
      <c r="I25" s="7">
        <f>I24*(1+Parameters!$B$51)^Parameters!B$65</f>
        <v>8.6716235534531894</v>
      </c>
      <c r="J25" s="7">
        <f>J24*(1+Parameters!$B$53)^Parameters!B$65</f>
        <v>13.67665455671235</v>
      </c>
      <c r="K25" s="7">
        <f>'6states'!$O$4</f>
        <v>0.98104277196026479</v>
      </c>
      <c r="L25" s="9">
        <f t="shared" si="7"/>
        <v>0.5</v>
      </c>
      <c r="M25" s="23">
        <f t="shared" si="3"/>
        <v>2</v>
      </c>
      <c r="N25" s="7">
        <f>(Parameters!$B$19*(E25+Parameters!$B$20)^L25+Parameters!$B$18*F25^L25)^(1/L25)</f>
        <v>0.53567804472288538</v>
      </c>
      <c r="O25" s="7">
        <f>(Parameters!$B$10*G25^Parameters!$B$9 + Parameters!$B$11*N25^Parameters!$B$9) ^ (Parameters!$B$7/Parameters!$B$9) * K25</f>
        <v>1.5071036425084245</v>
      </c>
      <c r="P25" s="7">
        <f t="shared" si="1"/>
        <v>1.1491679207280143</v>
      </c>
      <c r="Q25" s="7">
        <f>EXP(-Parameters!$B$55*A25)</f>
        <v>0.72825792569172154</v>
      </c>
      <c r="R25" s="7">
        <f>IF(P25&gt;0,P25^(1-Parameters!$B$52)/(1-Parameters!$B$52)*Q25,-10+P25*1000)</f>
        <v>-1.9819055439708344</v>
      </c>
      <c r="S25" s="7"/>
      <c r="T25" s="9"/>
      <c r="U25" s="9"/>
      <c r="V25" s="7"/>
      <c r="W25" s="13">
        <f t="shared" si="2"/>
        <v>0.23749907550131172</v>
      </c>
    </row>
    <row r="26" spans="1:23" x14ac:dyDescent="0.25">
      <c r="A26">
        <f>A25+Parameters!$B$65</f>
        <v>22</v>
      </c>
      <c r="B26" s="46">
        <f t="shared" ref="B26:B28" si="12">B25</f>
        <v>5.192351339681784E-2</v>
      </c>
      <c r="C26" s="46">
        <f t="shared" si="11"/>
        <v>1.0018652250690263E-2</v>
      </c>
      <c r="D26" s="46">
        <f t="shared" si="11"/>
        <v>0.29599355613290212</v>
      </c>
      <c r="E26" s="7">
        <f>MAX((1-Parameters!$B$4)^Parameters!B$65*E25+B25*Parameters!B$65-Parameters!$B$5*B25^2/E25*Parameters!B$65,0.0001)</f>
        <v>0.76988808745371451</v>
      </c>
      <c r="F26" s="9">
        <f>MAX((1-Parameters!$B$4)^Parameters!B$65*F25+C25*Parameters!B$65-Parameters!$B$5*C25^2/F25*Parameters!B$65,0.0001)</f>
        <v>0.14855010945944186</v>
      </c>
      <c r="G26" s="7">
        <f>MAX((1-Parameters!$B$4)^Parameters!B$65*G25+D25*Parameters!B$65-Parameters!$B$5*D25^2/G25*Parameters!B$65,0.0001)</f>
        <v>4.3887892764316234</v>
      </c>
      <c r="I26" s="7">
        <f>I25*(1+Parameters!$B$51)^Parameters!B$65</f>
        <v>8.6967712617582027</v>
      </c>
      <c r="J26" s="7">
        <f>J25*(1+Parameters!$B$53)^Parameters!B$65</f>
        <v>13.950187647846597</v>
      </c>
      <c r="K26" s="7">
        <f>'6states'!$O$4</f>
        <v>0.98104277196026479</v>
      </c>
      <c r="L26" s="9">
        <f t="shared" si="7"/>
        <v>0.5</v>
      </c>
      <c r="M26" s="23">
        <f t="shared" si="3"/>
        <v>2</v>
      </c>
      <c r="N26" s="7">
        <f>(Parameters!$B$19*(E26+Parameters!$B$20)^L26+Parameters!$B$18*F26^L26)^(1/L26)</f>
        <v>0.53567488417452358</v>
      </c>
      <c r="O26" s="7">
        <f>(Parameters!$B$10*G26^Parameters!$B$9 + Parameters!$B$11*N26^Parameters!$B$9) ^ (Parameters!$B$7/Parameters!$B$9) * K26</f>
        <v>1.5071010083835303</v>
      </c>
      <c r="P26" s="7">
        <f t="shared" si="1"/>
        <v>1.1491652866031201</v>
      </c>
      <c r="Q26" s="7">
        <f>EXP(-Parameters!$B$55*A26)</f>
        <v>0.71734383973866223</v>
      </c>
      <c r="R26" s="7">
        <f>IF(P26&gt;0,P26^(1-Parameters!$B$52)/(1-Parameters!$B$52)*Q26,-10+P26*1000)</f>
        <v>-1.9522051506094797</v>
      </c>
      <c r="S26" s="7"/>
      <c r="T26" s="9"/>
      <c r="U26" s="9"/>
      <c r="V26" s="7"/>
      <c r="W26" s="13">
        <f t="shared" si="2"/>
        <v>0.23749949060436296</v>
      </c>
    </row>
    <row r="27" spans="1:23" x14ac:dyDescent="0.25">
      <c r="A27">
        <f>A26+Parameters!$B$65</f>
        <v>23</v>
      </c>
      <c r="B27" s="46">
        <f t="shared" si="12"/>
        <v>5.192351339681784E-2</v>
      </c>
      <c r="C27" s="46">
        <f t="shared" si="11"/>
        <v>1.0018652250690263E-2</v>
      </c>
      <c r="D27" s="46">
        <f t="shared" si="11"/>
        <v>0.29599355613290212</v>
      </c>
      <c r="E27" s="7">
        <f>MAX((1-Parameters!$B$4)^Parameters!B$65*E26+B26*Parameters!B$65-Parameters!$B$5*B26^2/E26*Parameters!B$65,0.0001)</f>
        <v>0.76988376593264196</v>
      </c>
      <c r="F27" s="9">
        <f>MAX((1-Parameters!$B$4)^Parameters!B$65*F26+C26*Parameters!B$65-Parameters!$B$5*C26^2/F26*Parameters!B$65,0.0001)</f>
        <v>0.14854927272341711</v>
      </c>
      <c r="G27" s="7">
        <f>MAX((1-Parameters!$B$4)^Parameters!B$65*G26+D26*Parameters!B$65-Parameters!$B$5*D26^2/G26*Parameters!B$65,0.0001)</f>
        <v>4.3887652639308259</v>
      </c>
      <c r="I27" s="7">
        <f>I26*(1+Parameters!$B$51)^Parameters!B$65</f>
        <v>8.7219918984173006</v>
      </c>
      <c r="J27" s="7">
        <f>J26*(1+Parameters!$B$53)^Parameters!B$65</f>
        <v>14.229191400803529</v>
      </c>
      <c r="K27" s="7">
        <f>'6states'!$O$4</f>
        <v>0.98104277196026479</v>
      </c>
      <c r="L27" s="9">
        <f t="shared" si="7"/>
        <v>0.5</v>
      </c>
      <c r="M27" s="23">
        <f t="shared" si="3"/>
        <v>2</v>
      </c>
      <c r="N27" s="7">
        <f>(Parameters!$B$19*(E27+Parameters!$B$20)^L27+Parameters!$B$18*F27^L27)^(1/L27)</f>
        <v>0.53567190804882914</v>
      </c>
      <c r="O27" s="7">
        <f>(Parameters!$B$10*G27^Parameters!$B$9 + Parameters!$B$11*N27^Parameters!$B$9) ^ (Parameters!$B$7/Parameters!$B$9) * K27</f>
        <v>1.5070985279538429</v>
      </c>
      <c r="P27" s="7">
        <f t="shared" si="1"/>
        <v>1.1491628061734327</v>
      </c>
      <c r="Q27" s="7">
        <f>EXP(-Parameters!$B$55*A27)</f>
        <v>0.70659331846233153</v>
      </c>
      <c r="R27" s="7">
        <f>IF(P27&gt;0,P27^(1-Parameters!$B$52)/(1-Parameters!$B$52)*Q27,-10+P27*1000)</f>
        <v>-1.9229497506910911</v>
      </c>
      <c r="S27" s="7"/>
      <c r="T27" s="9"/>
      <c r="U27" s="9"/>
      <c r="V27" s="7"/>
      <c r="W27" s="13">
        <f t="shared" si="2"/>
        <v>0.23749988148842019</v>
      </c>
    </row>
    <row r="28" spans="1:23" x14ac:dyDescent="0.25">
      <c r="A28">
        <f>A27+Parameters!$B$65</f>
        <v>24</v>
      </c>
      <c r="B28" s="46">
        <f t="shared" si="12"/>
        <v>5.192351339681784E-2</v>
      </c>
      <c r="C28" s="46">
        <f t="shared" si="11"/>
        <v>1.0018652250690263E-2</v>
      </c>
      <c r="D28" s="46">
        <f t="shared" si="11"/>
        <v>0.29599355613290212</v>
      </c>
      <c r="E28" s="7">
        <f>MAX((1-Parameters!$B$4)^Parameters!B$65*E27+B27*Parameters!B$65-Parameters!$B$5*B27^2/E27*Parameters!B$65,0.0001)</f>
        <v>0.76987969657848121</v>
      </c>
      <c r="F28" s="9">
        <f>MAX((1-Parameters!$B$4)^Parameters!B$65*F27+C27*Parameters!B$65-Parameters!$B$5*C27^2/F27*Parameters!B$65,0.0001)</f>
        <v>0.14854848481213406</v>
      </c>
      <c r="G28" s="7">
        <f>MAX((1-Parameters!$B$4)^Parameters!B$65*G27+D27*Parameters!B$65-Parameters!$B$5*D27^2/G27*Parameters!B$65,0.0001)</f>
        <v>4.3887426525931454</v>
      </c>
      <c r="I28" s="7">
        <f>I27*(1+Parameters!$B$51)^Parameters!B$65</f>
        <v>8.7472856749227095</v>
      </c>
      <c r="J28" s="7">
        <f>J27*(1+Parameters!$B$53)^Parameters!B$65</f>
        <v>14.5137752288196</v>
      </c>
      <c r="K28" s="7">
        <f>'6states'!$O$4</f>
        <v>0.98104277196026479</v>
      </c>
      <c r="L28" s="9">
        <f t="shared" si="7"/>
        <v>0.5</v>
      </c>
      <c r="M28" s="23">
        <f t="shared" si="3"/>
        <v>2</v>
      </c>
      <c r="N28" s="7">
        <f>(Parameters!$B$19*(E28+Parameters!$B$20)^L28+Parameters!$B$18*F28^L28)^(1/L28)</f>
        <v>0.53566910558431069</v>
      </c>
      <c r="O28" s="7">
        <f>(Parameters!$B$10*G28^Parameters!$B$9 + Parameters!$B$11*N28^Parameters!$B$9) ^ (Parameters!$B$7/Parameters!$B$9) * K28</f>
        <v>1.5070961922520076</v>
      </c>
      <c r="P28" s="7">
        <f t="shared" si="1"/>
        <v>1.1491604704715974</v>
      </c>
      <c r="Q28" s="7">
        <f>EXP(-Parameters!$B$55*A28)</f>
        <v>0.69600391058979738</v>
      </c>
      <c r="R28" s="7">
        <f>IF(P28&gt;0,P28^(1-Parameters!$B$52)/(1-Parameters!$B$52)*Q28,-10+P28*1000)</f>
        <v>-1.8941326835138781</v>
      </c>
      <c r="S28" s="7"/>
      <c r="T28" s="9"/>
      <c r="U28" s="9"/>
      <c r="V28" s="7"/>
      <c r="W28" s="13">
        <f t="shared" si="2"/>
        <v>0.23750024956639154</v>
      </c>
    </row>
    <row r="29" spans="1:23" x14ac:dyDescent="0.25">
      <c r="A29">
        <f>A28+Parameters!$B$65</f>
        <v>25</v>
      </c>
      <c r="B29" s="19">
        <v>5.1923637967104946E-2</v>
      </c>
      <c r="C29" s="45">
        <v>1.0018690688175931E-2</v>
      </c>
      <c r="D29" s="18">
        <v>0.29599393902119808</v>
      </c>
      <c r="E29" s="7">
        <f>MAX((1-Parameters!$B$4)^Parameters!B$65*E28+B28*Parameters!B$65-Parameters!$B$5*B28^2/E28*Parameters!B$65,0.0001)</f>
        <v>0.76987586467673197</v>
      </c>
      <c r="F29" s="9">
        <f>MAX((1-Parameters!$B$4)^Parameters!B$65*F28+C28*Parameters!B$65-Parameters!$B$5*C28^2/F28*Parameters!B$65,0.0001)</f>
        <v>0.14854774287656011</v>
      </c>
      <c r="G29" s="7">
        <f>MAX((1-Parameters!$B$4)^Parameters!B$65*G28+D28*Parameters!B$65-Parameters!$B$5*D28^2/G28*Parameters!B$65,0.0001)</f>
        <v>4.3887213606576569</v>
      </c>
      <c r="I29" s="7">
        <f>I28*(1+Parameters!$B$51)^Parameters!B$65</f>
        <v>8.7726528033799838</v>
      </c>
      <c r="J29" s="7">
        <f>J28*(1+Parameters!$B$53)^Parameters!B$65</f>
        <v>14.804050733395993</v>
      </c>
      <c r="K29" s="7">
        <f>'6states'!$O$4</f>
        <v>0.98104277196026479</v>
      </c>
      <c r="L29" s="9">
        <f t="shared" si="7"/>
        <v>0.5</v>
      </c>
      <c r="M29" s="23">
        <f t="shared" si="3"/>
        <v>2</v>
      </c>
      <c r="N29" s="7">
        <f>(Parameters!$B$19*(E29+Parameters!$B$20)^L29+Parameters!$B$18*F29^L29)^(1/L29)</f>
        <v>0.53566646664745199</v>
      </c>
      <c r="O29" s="7">
        <f>(Parameters!$B$10*G29^Parameters!$B$9 + Parameters!$B$11*N29^Parameters!$B$9) ^ (Parameters!$B$7/Parameters!$B$9) * K29</f>
        <v>1.5070939928338252</v>
      </c>
      <c r="P29" s="7">
        <f t="shared" si="1"/>
        <v>1.1491577251573464</v>
      </c>
      <c r="Q29" s="7">
        <f>EXP(-Parameters!$B$55*A29)</f>
        <v>0.68557320158429325</v>
      </c>
      <c r="R29" s="7">
        <f>IF(P29&gt;0,P29^(1-Parameters!$B$52)/(1-Parameters!$B$52)*Q29,-10+P29*1000)</f>
        <v>-1.865747697808128</v>
      </c>
      <c r="S29" s="7"/>
      <c r="T29" s="9"/>
      <c r="U29" s="9"/>
      <c r="V29" s="7"/>
      <c r="W29" s="13">
        <f t="shared" si="2"/>
        <v>0.23750095838643931</v>
      </c>
    </row>
    <row r="30" spans="1:23" x14ac:dyDescent="0.25">
      <c r="A30">
        <f>A29+Parameters!$B$65</f>
        <v>26</v>
      </c>
      <c r="B30" s="46">
        <f>B29</f>
        <v>5.1923637967104946E-2</v>
      </c>
      <c r="C30" s="46">
        <f t="shared" ref="C30:D33" si="13">C29</f>
        <v>1.0018690688175931E-2</v>
      </c>
      <c r="D30" s="46">
        <f t="shared" si="13"/>
        <v>0.29599393902119808</v>
      </c>
      <c r="E30" s="7">
        <f>MAX((1-Parameters!$B$4)^Parameters!B$65*E29+B29*Parameters!B$65-Parameters!$B$5*B29^2/E29*Parameters!B$65,0.0001)</f>
        <v>0.76987236413876881</v>
      </c>
      <c r="F30" s="9">
        <f>MAX((1-Parameters!$B$4)^Parameters!B$65*F29+C29*Parameters!B$65-Parameters!$B$5*C29^2/F29*Parameters!B$65,0.0001)</f>
        <v>0.14854707748663556</v>
      </c>
      <c r="G30" s="7">
        <f>MAX((1-Parameters!$B$4)^Parameters!B$65*G29+D29*Parameters!B$65-Parameters!$B$5*D29^2/G29*Parameters!B$65,0.0001)</f>
        <v>4.3887016423756018</v>
      </c>
      <c r="I30" s="7">
        <f>I29*(1+Parameters!$B$51)^Parameters!B$65</f>
        <v>8.7980934965097841</v>
      </c>
      <c r="J30" s="7">
        <f>J29*(1+Parameters!$B$53)^Parameters!B$65</f>
        <v>15.100131748063912</v>
      </c>
      <c r="K30" s="7">
        <f>'6states'!$O$4</f>
        <v>0.98104277196026479</v>
      </c>
      <c r="L30" s="9">
        <f t="shared" si="7"/>
        <v>0.5</v>
      </c>
      <c r="M30" s="23">
        <f t="shared" si="3"/>
        <v>2</v>
      </c>
      <c r="N30" s="7">
        <f>(Parameters!$B$19*(E30+Parameters!$B$20)^L30+Parameters!$B$18*F30^L30)^(1/L30)</f>
        <v>0.53566406305941983</v>
      </c>
      <c r="O30" s="7">
        <f>(Parameters!$B$10*G30^Parameters!$B$9 + Parameters!$B$11*N30^Parameters!$B$9) ^ (Parameters!$B$7/Parameters!$B$9) * K30</f>
        <v>1.507091961905227</v>
      </c>
      <c r="P30" s="7">
        <f t="shared" si="1"/>
        <v>1.1491556942287482</v>
      </c>
      <c r="Q30" s="7">
        <f>EXP(-Parameters!$B$55*A30)</f>
        <v>0.67529881309466844</v>
      </c>
      <c r="R30" s="7">
        <f>IF(P30&gt;0,P30^(1-Parameters!$B$52)/(1-Parameters!$B$52)*Q30,-10+P30*1000)</f>
        <v>-1.8377876823397303</v>
      </c>
      <c r="S30" s="7"/>
      <c r="T30" s="9"/>
      <c r="U30" s="9"/>
      <c r="V30" s="7"/>
      <c r="W30" s="13">
        <f t="shared" si="2"/>
        <v>0.23750127843823485</v>
      </c>
    </row>
    <row r="31" spans="1:23" x14ac:dyDescent="0.25">
      <c r="A31">
        <f>A30+Parameters!$B$65</f>
        <v>27</v>
      </c>
      <c r="B31" s="46">
        <f t="shared" ref="B31:B33" si="14">B30</f>
        <v>5.1923637967104946E-2</v>
      </c>
      <c r="C31" s="46">
        <f t="shared" si="13"/>
        <v>1.0018690688175931E-2</v>
      </c>
      <c r="D31" s="46">
        <f t="shared" si="13"/>
        <v>0.29599393902119808</v>
      </c>
      <c r="E31" s="7">
        <f>MAX((1-Parameters!$B$4)^Parameters!B$65*E30+B30*Parameters!B$65-Parameters!$B$5*B30^2/E30*Parameters!B$65,0.0001)</f>
        <v>0.76986906786161824</v>
      </c>
      <c r="F31" s="9">
        <f>MAX((1-Parameters!$B$4)^Parameters!B$65*F30+C30*Parameters!B$65-Parameters!$B$5*C30^2/F30*Parameters!B$65,0.0001)</f>
        <v>0.14854645092304697</v>
      </c>
      <c r="G31" s="7">
        <f>MAX((1-Parameters!$B$4)^Parameters!B$65*G30+D30*Parameters!B$65-Parameters!$B$5*D30^2/G30*Parameters!B$65,0.0001)</f>
        <v>4.3886830746800554</v>
      </c>
      <c r="I31" s="7">
        <f>I30*(1+Parameters!$B$51)^Parameters!B$65</f>
        <v>8.8236079676496608</v>
      </c>
      <c r="J31" s="7">
        <f>J30*(1+Parameters!$B$53)^Parameters!B$65</f>
        <v>15.40213438302519</v>
      </c>
      <c r="K31" s="7">
        <f>'6states'!$O$4</f>
        <v>0.98104277196026479</v>
      </c>
      <c r="L31" s="9">
        <f t="shared" si="7"/>
        <v>0.5</v>
      </c>
      <c r="M31" s="23">
        <f t="shared" si="3"/>
        <v>2</v>
      </c>
      <c r="N31" s="7">
        <f>(Parameters!$B$19*(E31+Parameters!$B$20)^L31+Parameters!$B$18*F31^L31)^(1/L31)</f>
        <v>0.53566179972378214</v>
      </c>
      <c r="O31" s="7">
        <f>(Parameters!$B$10*G31^Parameters!$B$9 + Parameters!$B$11*N31^Parameters!$B$9) ^ (Parameters!$B$7/Parameters!$B$9) * K31</f>
        <v>1.5070900494780262</v>
      </c>
      <c r="P31" s="7">
        <f t="shared" si="1"/>
        <v>1.1491537818015474</v>
      </c>
      <c r="Q31" s="7">
        <f>EXP(-Parameters!$B$55*A31)</f>
        <v>0.66517840241309079</v>
      </c>
      <c r="R31" s="7">
        <f>IF(P31&gt;0,P31^(1-Parameters!$B$52)/(1-Parameters!$B$52)*Q31,-10+P31*1000)</f>
        <v>-1.8102466091374856</v>
      </c>
      <c r="S31" s="7"/>
      <c r="T31" s="9"/>
      <c r="U31" s="9"/>
      <c r="V31" s="7"/>
      <c r="W31" s="13">
        <f t="shared" si="2"/>
        <v>0.23750157981631462</v>
      </c>
    </row>
    <row r="32" spans="1:23" x14ac:dyDescent="0.25">
      <c r="A32">
        <f>A31+Parameters!$B$65</f>
        <v>28</v>
      </c>
      <c r="B32" s="46">
        <f t="shared" si="14"/>
        <v>5.1923637967104946E-2</v>
      </c>
      <c r="C32" s="46">
        <f t="shared" si="13"/>
        <v>1.0018690688175931E-2</v>
      </c>
      <c r="D32" s="46">
        <f t="shared" si="13"/>
        <v>0.29599393902119808</v>
      </c>
      <c r="E32" s="7">
        <f>MAX((1-Parameters!$B$4)^Parameters!B$65*E31+B31*Parameters!B$65-Parameters!$B$5*B31^2/E31*Parameters!B$65,0.0001)</f>
        <v>0.76986596392627149</v>
      </c>
      <c r="F32" s="9">
        <f>MAX((1-Parameters!$B$4)^Parameters!B$65*F31+C31*Parameters!B$65-Parameters!$B$5*C31^2/F31*Parameters!B$65,0.0001)</f>
        <v>0.14854586092020414</v>
      </c>
      <c r="G32" s="7">
        <f>MAX((1-Parameters!$B$4)^Parameters!B$65*G31+D31*Parameters!B$65-Parameters!$B$5*D31^2/G31*Parameters!B$65,0.0001)</f>
        <v>4.3886655904321135</v>
      </c>
      <c r="I32" s="7">
        <f>I31*(1+Parameters!$B$51)^Parameters!B$65</f>
        <v>8.8491964307558444</v>
      </c>
      <c r="J32" s="7">
        <f>J31*(1+Parameters!$B$53)^Parameters!B$65</f>
        <v>15.710177070685695</v>
      </c>
      <c r="K32" s="7">
        <f>'6states'!$O$4</f>
        <v>0.98104277196026479</v>
      </c>
      <c r="L32" s="9">
        <f t="shared" si="7"/>
        <v>0.5</v>
      </c>
      <c r="M32" s="23">
        <f t="shared" si="3"/>
        <v>2</v>
      </c>
      <c r="N32" s="7">
        <f>(Parameters!$B$19*(E32+Parameters!$B$20)^L32+Parameters!$B$18*F32^L32)^(1/L32)</f>
        <v>0.53565966845654389</v>
      </c>
      <c r="O32" s="7">
        <f>(Parameters!$B$10*G32^Parameters!$B$9 + Parameters!$B$11*N32^Parameters!$B$9) ^ (Parameters!$B$7/Parameters!$B$9) * K32</f>
        <v>1.5070882486381025</v>
      </c>
      <c r="P32" s="7">
        <f t="shared" si="1"/>
        <v>1.1491519809616237</v>
      </c>
      <c r="Q32" s="7">
        <f>EXP(-Parameters!$B$55*A32)</f>
        <v>0.65520966194087471</v>
      </c>
      <c r="R32" s="7">
        <f>IF(P32&gt;0,P32^(1-Parameters!$B$52)/(1-Parameters!$B$52)*Q32,-10+P32*1000)</f>
        <v>-1.7831182056632948</v>
      </c>
      <c r="S32" s="7"/>
      <c r="T32" s="9"/>
      <c r="U32" s="9"/>
      <c r="V32" s="7"/>
      <c r="W32" s="13">
        <f t="shared" si="2"/>
        <v>0.23750186361013176</v>
      </c>
    </row>
    <row r="33" spans="1:23" x14ac:dyDescent="0.25">
      <c r="A33">
        <f>A32+Parameters!$B$65</f>
        <v>29</v>
      </c>
      <c r="B33" s="46">
        <f t="shared" si="14"/>
        <v>5.1923637967104946E-2</v>
      </c>
      <c r="C33" s="46">
        <f t="shared" si="13"/>
        <v>1.0018690688175931E-2</v>
      </c>
      <c r="D33" s="46">
        <f t="shared" si="13"/>
        <v>0.29599393902119808</v>
      </c>
      <c r="E33" s="7">
        <f>MAX((1-Parameters!$B$4)^Parameters!B$65*E32+B32*Parameters!B$65-Parameters!$B$5*B32^2/E32*Parameters!B$65,0.0001)</f>
        <v>0.76986304110923165</v>
      </c>
      <c r="F33" s="9">
        <f>MAX((1-Parameters!$B$4)^Parameters!B$65*F32+C32*Parameters!B$65-Parameters!$B$5*C32^2/F32*Parameters!B$65,0.0001)</f>
        <v>0.14854530534472121</v>
      </c>
      <c r="G33" s="7">
        <f>MAX((1-Parameters!$B$4)^Parameters!B$65*G32+D32*Parameters!B$65-Parameters!$B$5*D32^2/G32*Parameters!B$65,0.0001)</f>
        <v>4.3886491264106384</v>
      </c>
      <c r="I33" s="7">
        <f>I32*(1+Parameters!$B$51)^Parameters!B$65</f>
        <v>8.8748591004050361</v>
      </c>
      <c r="J33" s="7">
        <f>J32*(1+Parameters!$B$53)^Parameters!B$65</f>
        <v>16.02438061209941</v>
      </c>
      <c r="K33" s="7">
        <f>'6states'!$O$4</f>
        <v>0.98104277196026479</v>
      </c>
      <c r="L33" s="9">
        <f t="shared" si="7"/>
        <v>0.5</v>
      </c>
      <c r="M33" s="23">
        <f t="shared" si="3"/>
        <v>2</v>
      </c>
      <c r="N33" s="7">
        <f>(Parameters!$B$19*(E33+Parameters!$B$20)^L33+Parameters!$B$18*F33^L33)^(1/L33)</f>
        <v>0.53565766155127237</v>
      </c>
      <c r="O33" s="7">
        <f>(Parameters!$B$10*G33^Parameters!$B$9 + Parameters!$B$11*N33^Parameters!$B$9) ^ (Parameters!$B$7/Parameters!$B$9) * K33</f>
        <v>1.5070865528747217</v>
      </c>
      <c r="P33" s="7">
        <f t="shared" si="1"/>
        <v>1.1491502851982429</v>
      </c>
      <c r="Q33" s="7">
        <f>EXP(-Parameters!$B$55*A33)</f>
        <v>0.64539031866231678</v>
      </c>
      <c r="R33" s="7">
        <f>IF(P33&gt;0,P33^(1-Parameters!$B$52)/(1-Parameters!$B$52)*Q33,-10+P33*1000)</f>
        <v>-1.7563962929504864</v>
      </c>
      <c r="S33" s="7"/>
      <c r="T33" s="9"/>
      <c r="U33" s="9"/>
      <c r="V33" s="7"/>
      <c r="W33" s="13">
        <f t="shared" si="2"/>
        <v>0.23750213084558841</v>
      </c>
    </row>
    <row r="34" spans="1:23" x14ac:dyDescent="0.25">
      <c r="A34">
        <f>A33+Parameters!$B$65</f>
        <v>30</v>
      </c>
      <c r="B34" s="19">
        <v>5.1923682538251872E-2</v>
      </c>
      <c r="C34" s="45">
        <v>1.001871672679267E-2</v>
      </c>
      <c r="D34" s="18">
        <v>0.29599440575353192</v>
      </c>
      <c r="E34" s="7">
        <f>MAX((1-Parameters!$B$4)^Parameters!B$65*E33+B33*Parameters!B$65-Parameters!$B$5*B33^2/E33*Parameters!B$65,0.0001)</f>
        <v>0.7698602888419267</v>
      </c>
      <c r="F34" s="9">
        <f>MAX((1-Parameters!$B$4)^Parameters!B$65*F33+C33*Parameters!B$65-Parameters!$B$5*C33^2/F33*Parameters!B$65,0.0001)</f>
        <v>0.14854478218770178</v>
      </c>
      <c r="G34" s="7">
        <f>MAX((1-Parameters!$B$4)^Parameters!B$65*G33+D33*Parameters!B$65-Parameters!$B$5*D33^2/G33*Parameters!B$65,0.0001)</f>
        <v>4.3886336230836349</v>
      </c>
      <c r="I34" s="7">
        <f>I33*(1+Parameters!$B$51)^Parameters!B$65</f>
        <v>8.9005961917962093</v>
      </c>
      <c r="J34" s="7">
        <f>J33*(1+Parameters!$B$53)^Parameters!B$65</f>
        <v>16.344868224341397</v>
      </c>
      <c r="K34" s="7">
        <f>'6states'!$O$4</f>
        <v>0.98104277196026479</v>
      </c>
      <c r="L34" s="9">
        <f t="shared" si="7"/>
        <v>0.5</v>
      </c>
      <c r="M34" s="23">
        <f t="shared" si="3"/>
        <v>2</v>
      </c>
      <c r="N34" s="7">
        <f>(Parameters!$B$19*(E34+Parameters!$B$20)^L34+Parameters!$B$18*F34^L34)^(1/L34)</f>
        <v>0.53565577175122814</v>
      </c>
      <c r="O34" s="7">
        <f>(Parameters!$B$10*G34^Parameters!$B$9 + Parameters!$B$11*N34^Parameters!$B$9) ^ (Parameters!$B$7/Parameters!$B$9) * K34</f>
        <v>1.5070849560570043</v>
      </c>
      <c r="P34" s="7">
        <f t="shared" si="1"/>
        <v>1.1491481510384278</v>
      </c>
      <c r="Q34" s="7">
        <f>EXP(-Parameters!$B$55*A34)</f>
        <v>0.63571813362641427</v>
      </c>
      <c r="R34" s="7">
        <f>IF(P34&gt;0,P34^(1-Parameters!$B$52)/(1-Parameters!$B$52)*Q34,-10+P34*1000)</f>
        <v>-1.7300750673770358</v>
      </c>
      <c r="S34" s="7"/>
      <c r="T34" s="9"/>
      <c r="U34" s="9"/>
      <c r="V34" s="7"/>
      <c r="W34" s="13">
        <f t="shared" si="2"/>
        <v>0.23750273903274088</v>
      </c>
    </row>
    <row r="35" spans="1:23" x14ac:dyDescent="0.25">
      <c r="A35">
        <f>A34+Parameters!$B$65</f>
        <v>31</v>
      </c>
      <c r="B35" s="46">
        <f>B34</f>
        <v>5.1923682538251872E-2</v>
      </c>
      <c r="C35" s="46">
        <f t="shared" ref="C35:D43" si="15">C34</f>
        <v>1.001871672679267E-2</v>
      </c>
      <c r="D35" s="46">
        <f t="shared" si="15"/>
        <v>0.29599440575353192</v>
      </c>
      <c r="E35" s="7">
        <f>MAX((1-Parameters!$B$4)^Parameters!B$65*E34+B34*Parameters!B$65-Parameters!$B$5*B34^2/E34*Parameters!B$65,0.0001)</f>
        <v>0.76985773573138605</v>
      </c>
      <c r="F35" s="9">
        <f>MAX((1-Parameters!$B$4)^Parameters!B$65*F34+C34*Parameters!B$65-Parameters!$B$5*C34^2/F34*Parameters!B$65,0.0001)</f>
        <v>0.14854431208370658</v>
      </c>
      <c r="G35" s="7">
        <f>MAX((1-Parameters!$B$4)^Parameters!B$65*G34+D34*Parameters!B$65-Parameters!$B$5*D34^2/G34*Parameters!B$65,0.0001)</f>
        <v>4.3886194281671864</v>
      </c>
      <c r="I35" s="7">
        <f>I34*(1+Parameters!$B$51)^Parameters!B$65</f>
        <v>8.9264079207524176</v>
      </c>
      <c r="J35" s="7">
        <f>J34*(1+Parameters!$B$53)^Parameters!B$65</f>
        <v>16.671765588828226</v>
      </c>
      <c r="K35" s="7">
        <f>'6states'!$O$4</f>
        <v>0.98104277196026479</v>
      </c>
      <c r="L35" s="9">
        <f t="shared" si="7"/>
        <v>0.5</v>
      </c>
      <c r="M35" s="23">
        <f t="shared" si="3"/>
        <v>2</v>
      </c>
      <c r="N35" s="7">
        <f>(Parameters!$B$19*(E35+Parameters!$B$20)^L35+Parameters!$B$18*F35^L35)^(1/L35)</f>
        <v>0.53565402746700885</v>
      </c>
      <c r="O35" s="7">
        <f>(Parameters!$B$10*G35^Parameters!$B$9 + Parameters!$B$11*N35^Parameters!$B$9) ^ (Parameters!$B$7/Parameters!$B$9) * K35</f>
        <v>1.5070834919403935</v>
      </c>
      <c r="P35" s="7">
        <f t="shared" si="1"/>
        <v>1.149146686921817</v>
      </c>
      <c r="Q35" s="7">
        <f>EXP(-Parameters!$B$55*A35)</f>
        <v>0.62619090143635336</v>
      </c>
      <c r="R35" s="7">
        <f>IF(P35&gt;0,P35^(1-Parameters!$B$52)/(1-Parameters!$B$52)*Q35,-10+P35*1000)</f>
        <v>-1.7041479419762213</v>
      </c>
      <c r="S35" s="7"/>
      <c r="T35" s="9"/>
      <c r="U35" s="9"/>
      <c r="V35" s="7"/>
      <c r="W35" s="13">
        <f t="shared" si="2"/>
        <v>0.23750296976428772</v>
      </c>
    </row>
    <row r="36" spans="1:23" x14ac:dyDescent="0.25">
      <c r="A36">
        <f>A35+Parameters!$B$65</f>
        <v>32</v>
      </c>
      <c r="B36" s="46">
        <f t="shared" ref="B36:B43" si="16">B35</f>
        <v>5.1923682538251872E-2</v>
      </c>
      <c r="C36" s="46">
        <f t="shared" si="15"/>
        <v>1.001871672679267E-2</v>
      </c>
      <c r="D36" s="46">
        <f t="shared" si="15"/>
        <v>0.29599440575353192</v>
      </c>
      <c r="E36" s="7">
        <f>MAX((1-Parameters!$B$4)^Parameters!B$65*E35+B35*Parameters!B$65-Parameters!$B$5*B35^2/E35*Parameters!B$65,0.0001)</f>
        <v>0.76985533159759534</v>
      </c>
      <c r="F36" s="9">
        <f>MAX((1-Parameters!$B$4)^Parameters!B$65*F35+C35*Parameters!B$65-Parameters!$B$5*C35^2/F35*Parameters!B$65,0.0001)</f>
        <v>0.14854386941077505</v>
      </c>
      <c r="G36" s="7">
        <f>MAX((1-Parameters!$B$4)^Parameters!B$65*G35+D35*Parameters!B$65-Parameters!$B$5*D35^2/G35*Parameters!B$65,0.0001)</f>
        <v>4.3886060615392264</v>
      </c>
      <c r="I36" s="7">
        <f>I35*(1+Parameters!$B$51)^Parameters!B$65</f>
        <v>8.9522945037225981</v>
      </c>
      <c r="J36" s="7">
        <f>J35*(1+Parameters!$B$53)^Parameters!B$65</f>
        <v>17.005200900604791</v>
      </c>
      <c r="K36" s="7">
        <f>'6states'!$O$4</f>
        <v>0.98104277196026479</v>
      </c>
      <c r="L36" s="9">
        <f t="shared" si="7"/>
        <v>0.5</v>
      </c>
      <c r="M36" s="23">
        <f t="shared" si="3"/>
        <v>2</v>
      </c>
      <c r="N36" s="7">
        <f>(Parameters!$B$19*(E36+Parameters!$B$20)^L36+Parameters!$B$18*F36^L36)^(1/L36)</f>
        <v>0.53565238496364542</v>
      </c>
      <c r="O36" s="7">
        <f>(Parameters!$B$10*G36^Parameters!$B$9 + Parameters!$B$11*N36^Parameters!$B$9) ^ (Parameters!$B$7/Parameters!$B$9) * K36</f>
        <v>1.5070821132535137</v>
      </c>
      <c r="P36" s="7">
        <f t="shared" si="1"/>
        <v>1.1491453082349372</v>
      </c>
      <c r="Q36" s="7">
        <f>EXP(-Parameters!$B$55*A36)</f>
        <v>0.61680644974664667</v>
      </c>
      <c r="R36" s="7">
        <f>IF(P36&gt;0,P36^(1-Parameters!$B$52)/(1-Parameters!$B$52)*Q36,-10+P36*1000)</f>
        <v>-1.678609320104278</v>
      </c>
      <c r="S36" s="7"/>
      <c r="T36" s="9"/>
      <c r="U36" s="9"/>
      <c r="V36" s="7"/>
      <c r="W36" s="13">
        <f t="shared" ref="W36:W64" si="17">(B36+C36+D36)/O36</f>
        <v>0.23750318703329082</v>
      </c>
    </row>
    <row r="37" spans="1:23" x14ac:dyDescent="0.25">
      <c r="A37">
        <f>A36+Parameters!$B$65</f>
        <v>33</v>
      </c>
      <c r="B37" s="46">
        <f t="shared" si="16"/>
        <v>5.1923682538251872E-2</v>
      </c>
      <c r="C37" s="46">
        <f t="shared" si="15"/>
        <v>1.001871672679267E-2</v>
      </c>
      <c r="D37" s="46">
        <f t="shared" si="15"/>
        <v>0.29599440575353192</v>
      </c>
      <c r="E37" s="7">
        <f>MAX((1-Parameters!$B$4)^Parameters!B$65*E36+B36*Parameters!B$65-Parameters!$B$5*B36^2/E36*Parameters!B$65,0.0001)</f>
        <v>0.76985306774753048</v>
      </c>
      <c r="F37" s="9">
        <f>MAX((1-Parameters!$B$4)^Parameters!B$65*F36+C36*Parameters!B$65-Parameters!$B$5*C36^2/F36*Parameters!B$65,0.0001)</f>
        <v>0.14854345256826335</v>
      </c>
      <c r="G37" s="7">
        <f>MAX((1-Parameters!$B$4)^Parameters!B$65*G36+D36*Parameters!B$65-Parameters!$B$5*D36^2/G36*Parameters!B$65,0.0001)</f>
        <v>4.3885934748678572</v>
      </c>
      <c r="I37" s="7">
        <f>I36*(1+Parameters!$B$51)^Parameters!B$65</f>
        <v>8.9782561577833935</v>
      </c>
      <c r="J37" s="7">
        <f>J36*(1+Parameters!$B$53)^Parameters!B$65</f>
        <v>17.345304918616886</v>
      </c>
      <c r="K37" s="7">
        <f>'6states'!$O$4</f>
        <v>0.98104277196026479</v>
      </c>
      <c r="L37" s="9">
        <f t="shared" si="7"/>
        <v>0.5</v>
      </c>
      <c r="M37" s="23">
        <f t="shared" si="3"/>
        <v>2</v>
      </c>
      <c r="N37" s="7">
        <f>(Parameters!$B$19*(E37+Parameters!$B$20)^L37+Parameters!$B$18*F37^L37)^(1/L37)</f>
        <v>0.53565083830206872</v>
      </c>
      <c r="O37" s="7">
        <f>(Parameters!$B$10*G37^Parameters!$B$9 + Parameters!$B$11*N37^Parameters!$B$9) ^ (Parameters!$B$7/Parameters!$B$9) * K37</f>
        <v>1.5070808150117532</v>
      </c>
      <c r="P37" s="7">
        <f t="shared" si="1"/>
        <v>1.1491440099931767</v>
      </c>
      <c r="Q37" s="7">
        <f>EXP(-Parameters!$B$55*A37)</f>
        <v>0.60756263876780681</v>
      </c>
      <c r="R37" s="7">
        <f>IF(P37&gt;0,P37^(1-Parameters!$B$52)/(1-Parameters!$B$52)*Q37,-10+P37*1000)</f>
        <v>-1.6534533834169833</v>
      </c>
      <c r="S37" s="7"/>
      <c r="T37" s="9"/>
      <c r="U37" s="9"/>
      <c r="V37" s="7"/>
      <c r="W37" s="13">
        <f t="shared" si="17"/>
        <v>0.23750339162520959</v>
      </c>
    </row>
    <row r="38" spans="1:23" x14ac:dyDescent="0.25">
      <c r="A38">
        <f>A37+Parameters!$B$65</f>
        <v>34</v>
      </c>
      <c r="B38" s="46">
        <f t="shared" si="16"/>
        <v>5.1923682538251872E-2</v>
      </c>
      <c r="C38" s="46">
        <f t="shared" si="15"/>
        <v>1.001871672679267E-2</v>
      </c>
      <c r="D38" s="46">
        <f t="shared" si="15"/>
        <v>0.29599440575353192</v>
      </c>
      <c r="E38" s="7">
        <f>MAX((1-Parameters!$B$4)^Parameters!B$65*E37+B37*Parameters!B$65-Parameters!$B$5*B37^2/E37*Parameters!B$65,0.0001)</f>
        <v>0.76985093599542653</v>
      </c>
      <c r="F38" s="9">
        <f>MAX((1-Parameters!$B$4)^Parameters!B$65*F37+C37*Parameters!B$65-Parameters!$B$5*C37^2/F37*Parameters!B$65,0.0001)</f>
        <v>0.14854306004892898</v>
      </c>
      <c r="G38" s="7">
        <f>MAX((1-Parameters!$B$4)^Parameters!B$65*G37+D37*Parameters!B$65-Parameters!$B$5*D37^2/G37*Parameters!B$65,0.0001)</f>
        <v>4.3885816226414658</v>
      </c>
      <c r="I38" s="7">
        <f>I37*(1+Parameters!$B$51)^Parameters!B$65</f>
        <v>9.0042931006409646</v>
      </c>
      <c r="J38" s="7">
        <f>J37*(1+Parameters!$B$53)^Parameters!B$65</f>
        <v>17.692211016989223</v>
      </c>
      <c r="K38" s="7">
        <f>'6states'!$O$4</f>
        <v>0.98104277196026479</v>
      </c>
      <c r="L38" s="9">
        <f t="shared" si="7"/>
        <v>0.5</v>
      </c>
      <c r="M38" s="23">
        <f t="shared" si="3"/>
        <v>2</v>
      </c>
      <c r="N38" s="7">
        <f>(Parameters!$B$19*(E38+Parameters!$B$20)^L38+Parameters!$B$18*F38^L38)^(1/L38)</f>
        <v>0.53564938188976774</v>
      </c>
      <c r="O38" s="7">
        <f>(Parameters!$B$10*G38^Parameters!$B$9 + Parameters!$B$11*N38^Parameters!$B$9) ^ (Parameters!$B$7/Parameters!$B$9) * K38</f>
        <v>1.5070795925213258</v>
      </c>
      <c r="P38" s="7">
        <f t="shared" si="1"/>
        <v>1.1491427875027493</v>
      </c>
      <c r="Q38" s="7">
        <f>EXP(-Parameters!$B$55*A38)</f>
        <v>0.59845736077844469</v>
      </c>
      <c r="R38" s="7">
        <f>IF(P38&gt;0,P38^(1-Parameters!$B$52)/(1-Parameters!$B$52)*Q38,-10+P38*1000)</f>
        <v>-1.628674400478046</v>
      </c>
      <c r="S38" s="7"/>
      <c r="T38" s="9"/>
      <c r="U38" s="9"/>
      <c r="V38" s="7"/>
      <c r="W38" s="13">
        <f t="shared" si="17"/>
        <v>0.2375035842796813</v>
      </c>
    </row>
    <row r="39" spans="1:23" x14ac:dyDescent="0.25">
      <c r="A39">
        <f>A38+Parameters!$B$65</f>
        <v>35</v>
      </c>
      <c r="B39" s="46">
        <f t="shared" si="16"/>
        <v>5.1923682538251872E-2</v>
      </c>
      <c r="C39" s="46">
        <f t="shared" si="15"/>
        <v>1.001871672679267E-2</v>
      </c>
      <c r="D39" s="46">
        <f t="shared" si="15"/>
        <v>0.29599440575353192</v>
      </c>
      <c r="E39" s="7">
        <f>MAX((1-Parameters!$B$4)^Parameters!B$65*E38+B38*Parameters!B$65-Parameters!$B$5*B38^2/E38*Parameters!B$65,0.0001)</f>
        <v>0.76984892863317744</v>
      </c>
      <c r="F39" s="9">
        <f>MAX((1-Parameters!$B$4)^Parameters!B$65*F38+C38*Parameters!B$65-Parameters!$B$5*C38^2/F38*Parameters!B$65,0.0001)</f>
        <v>0.14854269043348053</v>
      </c>
      <c r="G39" s="7">
        <f>MAX((1-Parameters!$B$4)^Parameters!B$65*G38+D38*Parameters!B$65-Parameters!$B$5*D38^2/G38*Parameters!B$65,0.0001)</f>
        <v>4.3885704620041457</v>
      </c>
      <c r="I39" s="7">
        <f>I38*(1+Parameters!$B$51)^Parameters!B$65</f>
        <v>9.0304055506328229</v>
      </c>
      <c r="J39" s="7">
        <f>J38*(1+Parameters!$B$53)^Parameters!B$65</f>
        <v>18.046055237329007</v>
      </c>
      <c r="K39" s="7">
        <f>'6states'!$O$4</f>
        <v>0.98104277196026479</v>
      </c>
      <c r="L39" s="9">
        <f t="shared" si="7"/>
        <v>0.5</v>
      </c>
      <c r="M39" s="23">
        <f t="shared" si="3"/>
        <v>2</v>
      </c>
      <c r="N39" s="7">
        <f>(Parameters!$B$19*(E39+Parameters!$B$20)^L39+Parameters!$B$18*F39^L39)^(1/L39)</f>
        <v>0.53564801046056809</v>
      </c>
      <c r="O39" s="7">
        <f>(Parameters!$B$10*G39^Parameters!$B$9 + Parameters!$B$11*N39^Parameters!$B$9) ^ (Parameters!$B$7/Parameters!$B$9) * K39</f>
        <v>1.5070784413623037</v>
      </c>
      <c r="P39" s="7">
        <f t="shared" si="1"/>
        <v>1.1491416363437272</v>
      </c>
      <c r="Q39" s="7">
        <f>EXP(-Parameters!$B$55*A39)</f>
        <v>0.58948853964467807</v>
      </c>
      <c r="R39" s="7">
        <f>IF(P39&gt;0,P39^(1-Parameters!$B$52)/(1-Parameters!$B$52)*Q39,-10+P39*1000)</f>
        <v>-1.6042667254775933</v>
      </c>
      <c r="S39" s="7"/>
      <c r="T39" s="9"/>
      <c r="U39" s="9"/>
      <c r="V39" s="7"/>
      <c r="W39" s="13">
        <f t="shared" si="17"/>
        <v>0.2375037656931939</v>
      </c>
    </row>
    <row r="40" spans="1:23" x14ac:dyDescent="0.25">
      <c r="A40">
        <f>A39+Parameters!$B$65</f>
        <v>36</v>
      </c>
      <c r="B40" s="46">
        <f t="shared" si="16"/>
        <v>5.1923682538251872E-2</v>
      </c>
      <c r="C40" s="46">
        <f t="shared" si="15"/>
        <v>1.001871672679267E-2</v>
      </c>
      <c r="D40" s="46">
        <f t="shared" si="15"/>
        <v>0.29599440575353192</v>
      </c>
      <c r="E40" s="7">
        <f>MAX((1-Parameters!$B$4)^Parameters!B$65*E39+B39*Parameters!B$65-Parameters!$B$5*B39^2/E39*Parameters!B$65,0.0001)</f>
        <v>0.76984703840246227</v>
      </c>
      <c r="F40" s="9">
        <f>MAX((1-Parameters!$B$4)^Parameters!B$65*F39+C39*Parameters!B$65-Parameters!$B$5*C39^2/F39*Parameters!B$65,0.0001)</f>
        <v>0.14854234238544528</v>
      </c>
      <c r="G40" s="7">
        <f>MAX((1-Parameters!$B$4)^Parameters!B$65*G39+D39*Parameters!B$65-Parameters!$B$5*D39^2/G39*Parameters!B$65,0.0001)</f>
        <v>4.388559952600728</v>
      </c>
      <c r="I40" s="7">
        <f>I39*(1+Parameters!$B$51)^Parameters!B$65</f>
        <v>9.0565937267296572</v>
      </c>
      <c r="J40" s="7">
        <f>J39*(1+Parameters!$B$53)^Parameters!B$65</f>
        <v>18.406976342075588</v>
      </c>
      <c r="K40" s="7">
        <f>'6states'!$O$4</f>
        <v>0.98104277196026479</v>
      </c>
      <c r="L40" s="9">
        <f t="shared" si="7"/>
        <v>0.5</v>
      </c>
      <c r="M40" s="23">
        <f t="shared" si="3"/>
        <v>2</v>
      </c>
      <c r="N40" s="7">
        <f>(Parameters!$B$19*(E40+Parameters!$B$20)^L40+Parameters!$B$18*F40^L40)^(1/L40)</f>
        <v>0.53564671905558792</v>
      </c>
      <c r="O40" s="7">
        <f>(Parameters!$B$10*G40^Parameters!$B$9 + Parameters!$B$11*N40^Parameters!$B$9) ^ (Parameters!$B$7/Parameters!$B$9) * K40</f>
        <v>1.5070773573726419</v>
      </c>
      <c r="P40" s="7">
        <f t="shared" si="1"/>
        <v>1.1491405523540654</v>
      </c>
      <c r="Q40" s="7">
        <f>EXP(-Parameters!$B$55*A40)</f>
        <v>0.58065413034674362</v>
      </c>
      <c r="R40" s="7">
        <f>IF(P40&gt;0,P40^(1-Parameters!$B$52)/(1-Parameters!$B$52)*Q40,-10+P40*1000)</f>
        <v>-1.5802247969683509</v>
      </c>
      <c r="S40" s="7"/>
      <c r="T40" s="9"/>
      <c r="U40" s="9"/>
      <c r="V40" s="7"/>
      <c r="W40" s="13">
        <f t="shared" si="17"/>
        <v>0.23750393652160254</v>
      </c>
    </row>
    <row r="41" spans="1:23" x14ac:dyDescent="0.25">
      <c r="A41">
        <f>A40+Parameters!$B$65</f>
        <v>37</v>
      </c>
      <c r="B41" s="46">
        <f t="shared" si="16"/>
        <v>5.1923682538251872E-2</v>
      </c>
      <c r="C41" s="46">
        <f t="shared" si="15"/>
        <v>1.001871672679267E-2</v>
      </c>
      <c r="D41" s="46">
        <f t="shared" si="15"/>
        <v>0.29599440575353192</v>
      </c>
      <c r="E41" s="7">
        <f>MAX((1-Parameters!$B$4)^Parameters!B$65*E40+B40*Parameters!B$65-Parameters!$B$5*B40^2/E40*Parameters!B$65,0.0001)</f>
        <v>0.76984525846849894</v>
      </c>
      <c r="F41" s="9">
        <f>MAX((1-Parameters!$B$4)^Parameters!B$65*F40+C40*Parameters!B$65-Parameters!$B$5*C40^2/F40*Parameters!B$65,0.0001)</f>
        <v>0.14854201464633651</v>
      </c>
      <c r="G41" s="7">
        <f>MAX((1-Parameters!$B$4)^Parameters!B$65*G40+D40*Parameters!B$65-Parameters!$B$5*D40^2/G40*Parameters!B$65,0.0001)</f>
        <v>4.3885500564308533</v>
      </c>
      <c r="I41" s="7">
        <f>I40*(1+Parameters!$B$51)^Parameters!B$65</f>
        <v>9.0828578485371718</v>
      </c>
      <c r="J41" s="7">
        <f>J40*(1+Parameters!$B$53)^Parameters!B$65</f>
        <v>18.775115868917101</v>
      </c>
      <c r="K41" s="7">
        <f>'6states'!$O$4</f>
        <v>0.98104277196026479</v>
      </c>
      <c r="L41" s="9">
        <f t="shared" si="7"/>
        <v>0.5</v>
      </c>
      <c r="M41" s="23">
        <f t="shared" si="3"/>
        <v>2</v>
      </c>
      <c r="N41" s="7">
        <f>(Parameters!$B$19*(E41+Parameters!$B$20)^L41+Parameters!$B$18*F41^L41)^(1/L41)</f>
        <v>0.53564550300530744</v>
      </c>
      <c r="O41" s="7">
        <f>(Parameters!$B$10*G41^Parameters!$B$9 + Parameters!$B$11*N41^Parameters!$B$9) ^ (Parameters!$B$7/Parameters!$B$9) * K41</f>
        <v>1.507076336633131</v>
      </c>
      <c r="P41" s="7">
        <f t="shared" si="1"/>
        <v>1.1491395316145545</v>
      </c>
      <c r="Q41" s="7">
        <f>EXP(-Parameters!$B$55*A41)</f>
        <v>0.571952118512703</v>
      </c>
      <c r="R41" s="7">
        <f>IF(P41&gt;0,P41^(1-Parameters!$B$52)/(1-Parameters!$B$52)*Q41,-10+P41*1000)</f>
        <v>-1.5565431366193576</v>
      </c>
      <c r="S41" s="7"/>
      <c r="T41" s="9"/>
      <c r="U41" s="9"/>
      <c r="V41" s="7"/>
      <c r="W41" s="13">
        <f t="shared" si="17"/>
        <v>0.23750409738249997</v>
      </c>
    </row>
    <row r="42" spans="1:23" x14ac:dyDescent="0.25">
      <c r="A42">
        <f>A41+Parameters!$B$65</f>
        <v>38</v>
      </c>
      <c r="B42" s="46">
        <f t="shared" si="16"/>
        <v>5.1923682538251872E-2</v>
      </c>
      <c r="C42" s="46">
        <f t="shared" si="15"/>
        <v>1.001871672679267E-2</v>
      </c>
      <c r="D42" s="46">
        <f t="shared" si="15"/>
        <v>0.29599440575353192</v>
      </c>
      <c r="E42" s="7">
        <f>MAX((1-Parameters!$B$4)^Parameters!B$65*E41+B41*Parameters!B$65-Parameters!$B$5*B41^2/E41*Parameters!B$65,0.0001)</f>
        <v>0.76984358239532891</v>
      </c>
      <c r="F42" s="9">
        <f>MAX((1-Parameters!$B$4)^Parameters!B$65*F41+C41*Parameters!B$65-Parameters!$B$5*C41^2/F41*Parameters!B$65,0.0001)</f>
        <v>0.14854170603110267</v>
      </c>
      <c r="G42" s="7">
        <f>MAX((1-Parameters!$B$4)^Parameters!B$65*G41+D41*Parameters!B$65-Parameters!$B$5*D41^2/G41*Parameters!B$65,0.0001)</f>
        <v>4.3885407377115602</v>
      </c>
      <c r="I42" s="7">
        <f>I41*(1+Parameters!$B$51)^Parameters!B$65</f>
        <v>9.1091981362979286</v>
      </c>
      <c r="J42" s="7">
        <f>J41*(1+Parameters!$B$53)^Parameters!B$65</f>
        <v>19.150618186295443</v>
      </c>
      <c r="K42" s="7">
        <f>'6states'!$O$4</f>
        <v>0.98104277196026479</v>
      </c>
      <c r="L42" s="9">
        <f t="shared" si="7"/>
        <v>0.5</v>
      </c>
      <c r="M42" s="23">
        <f t="shared" si="3"/>
        <v>2</v>
      </c>
      <c r="N42" s="7">
        <f>(Parameters!$B$19*(E42+Parameters!$B$20)^L42+Parameters!$B$18*F42^L42)^(1/L42)</f>
        <v>0.53564435791268272</v>
      </c>
      <c r="O42" s="7">
        <f>(Parameters!$B$10*G42^Parameters!$B$9 + Parameters!$B$11*N42^Parameters!$B$9) ^ (Parameters!$B$7/Parameters!$B$9) * K42</f>
        <v>1.5070753754532322</v>
      </c>
      <c r="P42" s="7">
        <f t="shared" si="1"/>
        <v>1.1491385704346557</v>
      </c>
      <c r="Q42" s="7">
        <f>EXP(-Parameters!$B$55*A42)</f>
        <v>0.56338051995913718</v>
      </c>
      <c r="R42" s="7">
        <f>IF(P42&gt;0,P42^(1-Parameters!$B$52)/(1-Parameters!$B$52)*Q42,-10+P42*1000)</f>
        <v>-1.5332163479870473</v>
      </c>
      <c r="S42" s="7"/>
      <c r="T42" s="9"/>
      <c r="U42" s="9"/>
      <c r="V42" s="7"/>
      <c r="W42" s="13">
        <f t="shared" si="17"/>
        <v>0.23750424885744806</v>
      </c>
    </row>
    <row r="43" spans="1:23" x14ac:dyDescent="0.25">
      <c r="A43">
        <f>A42+Parameters!$B$65</f>
        <v>39</v>
      </c>
      <c r="B43" s="46">
        <f t="shared" si="16"/>
        <v>5.1923682538251872E-2</v>
      </c>
      <c r="C43" s="46">
        <f t="shared" si="15"/>
        <v>1.001871672679267E-2</v>
      </c>
      <c r="D43" s="46">
        <f t="shared" si="15"/>
        <v>0.29599440575353192</v>
      </c>
      <c r="E43" s="7">
        <f>MAX((1-Parameters!$B$4)^Parameters!B$65*E42+B42*Parameters!B$65-Parameters!$B$5*B42^2/E42*Parameters!B$65,0.0001)</f>
        <v>0.76984200412254467</v>
      </c>
      <c r="F43" s="9">
        <f>MAX((1-Parameters!$B$4)^Parameters!B$65*F42+C42*Parameters!B$65-Parameters!$B$5*C42^2/F42*Parameters!B$65,0.0001)</f>
        <v>0.14854141542384225</v>
      </c>
      <c r="G43" s="7">
        <f>MAX((1-Parameters!$B$4)^Parameters!B$65*G42+D42*Parameters!B$65-Parameters!$B$5*D42^2/G42*Parameters!B$65,0.0001)</f>
        <v>4.3885319627478925</v>
      </c>
      <c r="I43" s="7">
        <f>I42*(1+Parameters!$B$51)^Parameters!B$65</f>
        <v>9.1356148108931912</v>
      </c>
      <c r="J43" s="7">
        <f>J42*(1+Parameters!$B$53)^Parameters!B$65</f>
        <v>19.533630550021353</v>
      </c>
      <c r="K43" s="7">
        <f>'6states'!$O$4</f>
        <v>0.98104277196026479</v>
      </c>
      <c r="L43" s="9">
        <f t="shared" si="7"/>
        <v>0.5</v>
      </c>
      <c r="M43" s="23">
        <f t="shared" si="3"/>
        <v>2</v>
      </c>
      <c r="N43" s="7">
        <f>(Parameters!$B$19*(E43+Parameters!$B$20)^L43+Parameters!$B$18*F43^L43)^(1/L43)</f>
        <v>0.53564327963724556</v>
      </c>
      <c r="O43" s="7">
        <f>(Parameters!$B$10*G43^Parameters!$B$9 + Parameters!$B$11*N43^Parameters!$B$9) ^ (Parameters!$B$7/Parameters!$B$9) * K43</f>
        <v>1.5070744703577355</v>
      </c>
      <c r="P43" s="7">
        <f t="shared" si="1"/>
        <v>1.149137665339159</v>
      </c>
      <c r="Q43" s="7">
        <f>EXP(-Parameters!$B$55*A43)</f>
        <v>0.5549373802387243</v>
      </c>
      <c r="R43" s="7">
        <f>IF(P43&gt;0,P43^(1-Parameters!$B$52)/(1-Parameters!$B$52)*Q43,-10+P43*1000)</f>
        <v>-1.5102391153035433</v>
      </c>
      <c r="S43" s="7"/>
      <c r="T43" s="9"/>
      <c r="U43" s="9"/>
      <c r="V43" s="7"/>
      <c r="W43" s="13">
        <f t="shared" si="17"/>
        <v>0.23750439149407973</v>
      </c>
    </row>
    <row r="44" spans="1:23" x14ac:dyDescent="0.25">
      <c r="A44">
        <f>A43+Parameters!$B$65</f>
        <v>40</v>
      </c>
      <c r="B44" s="19">
        <v>5.1923809653700789E-2</v>
      </c>
      <c r="C44" s="45">
        <v>1.0018706835576659E-2</v>
      </c>
      <c r="D44" s="18">
        <v>0.29599475031932415</v>
      </c>
      <c r="E44" s="7">
        <f>MAX((1-Parameters!$B$4)^Parameters!B$65*E43+B43*Parameters!B$65-Parameters!$B$5*B43^2/E43*Parameters!B$65,0.0001)</f>
        <v>0.76984051794337482</v>
      </c>
      <c r="F44" s="9">
        <f>MAX((1-Parameters!$B$4)^Parameters!B$65*F43+C43*Parameters!B$65-Parameters!$B$5*C43^2/F43*Parameters!B$65,0.0001)</f>
        <v>0.14854114177376868</v>
      </c>
      <c r="G44" s="7">
        <f>MAX((1-Parameters!$B$4)^Parameters!B$65*G43+D43*Parameters!B$65-Parameters!$B$5*D43^2/G43*Parameters!B$65,0.0001)</f>
        <v>4.3885236998110573</v>
      </c>
      <c r="I44" s="7">
        <f>I43*(1+Parameters!$B$51)^Parameters!B$65</f>
        <v>9.1621080938447808</v>
      </c>
      <c r="J44" s="7">
        <f>J43*(1+Parameters!$B$53)^Parameters!B$65</f>
        <v>19.924303161021779</v>
      </c>
      <c r="K44" s="7">
        <f>'6states'!$O$4</f>
        <v>0.98104277196026479</v>
      </c>
      <c r="L44" s="9">
        <f t="shared" si="7"/>
        <v>0.5</v>
      </c>
      <c r="M44" s="23">
        <f t="shared" si="3"/>
        <v>2</v>
      </c>
      <c r="N44" s="7">
        <f>(Parameters!$B$19*(E44+Parameters!$B$20)^L44+Parameters!$B$18*F44^L44)^(1/L44)</f>
        <v>0.5356422642801324</v>
      </c>
      <c r="O44" s="7">
        <f>(Parameters!$B$10*G44^Parameters!$B$9 + Parameters!$B$11*N44^Parameters!$B$9) ^ (Parameters!$B$7/Parameters!$B$9) * K44</f>
        <v>1.507073618074197</v>
      </c>
      <c r="P44" s="7">
        <f t="shared" si="1"/>
        <v>1.1491363512655957</v>
      </c>
      <c r="Q44" s="7">
        <f>EXP(-Parameters!$B$55*A44)</f>
        <v>0.54662077419459754</v>
      </c>
      <c r="R44" s="7">
        <f>IF(P44&gt;0,P44^(1-Parameters!$B$52)/(1-Parameters!$B$52)*Q44,-10+P44*1000)</f>
        <v>-1.4876064115143917</v>
      </c>
      <c r="S44" s="7"/>
      <c r="T44" s="9"/>
      <c r="U44" s="9"/>
      <c r="V44" s="7"/>
      <c r="W44" s="13">
        <f t="shared" si="17"/>
        <v>0.23750483222311936</v>
      </c>
    </row>
    <row r="45" spans="1:23" x14ac:dyDescent="0.25">
      <c r="A45">
        <f>A44+Parameters!$B$65</f>
        <v>41</v>
      </c>
      <c r="B45" s="46">
        <f>B44</f>
        <v>5.1923809653700789E-2</v>
      </c>
      <c r="C45" s="46">
        <f t="shared" ref="C45:D53" si="18">C44</f>
        <v>1.0018706835576659E-2</v>
      </c>
      <c r="D45" s="46">
        <f t="shared" si="18"/>
        <v>0.29599475031932415</v>
      </c>
      <c r="E45" s="7">
        <f>MAX((1-Parameters!$B$4)^Parameters!B$65*E44+B44*Parameters!B$65-Parameters!$B$5*B44^2/E44*Parameters!B$65,0.0001)</f>
        <v>0.76983922845228281</v>
      </c>
      <c r="F45" s="9">
        <f>MAX((1-Parameters!$B$4)^Parameters!B$65*F44+C44*Parameters!B$65-Parameters!$B$5*C44^2/F44*Parameters!B$65,0.0001)</f>
        <v>0.1485408755344679</v>
      </c>
      <c r="G45" s="7">
        <f>MAX((1-Parameters!$B$4)^Parameters!B$65*G44+D44*Parameters!B$65-Parameters!$B$5*D44^2/G44*Parameters!B$65,0.0001)</f>
        <v>4.3885162171093421</v>
      </c>
      <c r="I45" s="7">
        <f>I44*(1+Parameters!$B$51)^Parameters!B$65</f>
        <v>9.1886782073169293</v>
      </c>
      <c r="J45" s="7">
        <f>J44*(1+Parameters!$B$53)^Parameters!B$65</f>
        <v>20.322789224242214</v>
      </c>
      <c r="K45" s="7">
        <f>'6states'!$O$4</f>
        <v>0.98104277196026479</v>
      </c>
      <c r="L45" s="9">
        <f t="shared" si="7"/>
        <v>0.5</v>
      </c>
      <c r="M45" s="23">
        <f t="shared" si="3"/>
        <v>2</v>
      </c>
      <c r="N45" s="7">
        <f>(Parameters!$B$19*(E45+Parameters!$B$20)^L45+Parameters!$B$18*F45^L45)^(1/L45)</f>
        <v>0.53564136668059559</v>
      </c>
      <c r="O45" s="7">
        <f>(Parameters!$B$10*G45^Parameters!$B$9 + Parameters!$B$11*N45^Parameters!$B$9) ^ (Parameters!$B$7/Parameters!$B$9) * K45</f>
        <v>1.5070728494923016</v>
      </c>
      <c r="P45" s="7">
        <f t="shared" si="1"/>
        <v>1.1491355826837002</v>
      </c>
      <c r="Q45" s="7">
        <f>EXP(-Parameters!$B$55*A45)</f>
        <v>0.53842880552138184</v>
      </c>
      <c r="R45" s="7">
        <f>IF(P45&gt;0,P45^(1-Parameters!$B$52)/(1-Parameters!$B$52)*Q45,-10+P45*1000)</f>
        <v>-1.465312641874291</v>
      </c>
      <c r="S45" s="7"/>
      <c r="T45" s="9"/>
      <c r="U45" s="9"/>
      <c r="V45" s="7"/>
      <c r="W45" s="13">
        <f t="shared" si="17"/>
        <v>0.23750495334660332</v>
      </c>
    </row>
    <row r="46" spans="1:23" x14ac:dyDescent="0.25">
      <c r="A46">
        <f>A45+Parameters!$B$65</f>
        <v>42</v>
      </c>
      <c r="B46" s="46">
        <f t="shared" ref="B46:B53" si="19">B45</f>
        <v>5.1923809653700789E-2</v>
      </c>
      <c r="C46" s="46">
        <f t="shared" si="18"/>
        <v>1.0018706835576659E-2</v>
      </c>
      <c r="D46" s="46">
        <f t="shared" si="18"/>
        <v>0.29599475031932415</v>
      </c>
      <c r="E46" s="7">
        <f>MAX((1-Parameters!$B$4)^Parameters!B$65*E45+B45*Parameters!B$65-Parameters!$B$5*B45^2/E45*Parameters!B$65,0.0001)</f>
        <v>0.76983801420406461</v>
      </c>
      <c r="F46" s="9">
        <f>MAX((1-Parameters!$B$4)^Parameters!B$65*F45+C45*Parameters!B$65-Parameters!$B$5*C45^2/F45*Parameters!B$65,0.0001)</f>
        <v>0.14854062483045569</v>
      </c>
      <c r="G46" s="7">
        <f>MAX((1-Parameters!$B$4)^Parameters!B$65*G45+D45*Parameters!B$65-Parameters!$B$5*D45^2/G45*Parameters!B$65,0.0001)</f>
        <v>4.3885091710295061</v>
      </c>
      <c r="I46" s="7">
        <f>I45*(1+Parameters!$B$51)^Parameters!B$65</f>
        <v>9.215325374118148</v>
      </c>
      <c r="J46" s="7">
        <f>J45*(1+Parameters!$B$53)^Parameters!B$65</f>
        <v>20.729245008727059</v>
      </c>
      <c r="K46" s="7">
        <f>'6states'!$O$4</f>
        <v>0.98104277196026479</v>
      </c>
      <c r="L46" s="9">
        <f t="shared" si="7"/>
        <v>0.5</v>
      </c>
      <c r="M46" s="23">
        <f t="shared" si="3"/>
        <v>2</v>
      </c>
      <c r="N46" s="7">
        <f>(Parameters!$B$19*(E46+Parameters!$B$20)^L46+Parameters!$B$18*F46^L46)^(1/L46)</f>
        <v>0.53564052145673791</v>
      </c>
      <c r="O46" s="7">
        <f>(Parameters!$B$10*G46^Parameters!$B$9 + Parameters!$B$11*N46^Parameters!$B$9) ^ (Parameters!$B$7/Parameters!$B$9) * K46</f>
        <v>1.5070721257569635</v>
      </c>
      <c r="P46" s="7">
        <f t="shared" si="1"/>
        <v>1.1491348589483621</v>
      </c>
      <c r="Q46" s="7">
        <f>EXP(-Parameters!$B$55*A46)</f>
        <v>0.53035960633280899</v>
      </c>
      <c r="R46" s="7">
        <f>IF(P46&gt;0,P46^(1-Parameters!$B$52)/(1-Parameters!$B$52)*Q46,-10+P46*1000)</f>
        <v>-1.4433529544436809</v>
      </c>
      <c r="S46" s="7"/>
      <c r="T46" s="9"/>
      <c r="U46" s="9"/>
      <c r="V46" s="7"/>
      <c r="W46" s="13">
        <f t="shared" si="17"/>
        <v>0.23750506740267585</v>
      </c>
    </row>
    <row r="47" spans="1:23" x14ac:dyDescent="0.25">
      <c r="A47">
        <f>A46+Parameters!$B$65</f>
        <v>43</v>
      </c>
      <c r="B47" s="46">
        <f t="shared" si="19"/>
        <v>5.1923809653700789E-2</v>
      </c>
      <c r="C47" s="46">
        <f t="shared" si="18"/>
        <v>1.0018706835576659E-2</v>
      </c>
      <c r="D47" s="46">
        <f t="shared" si="18"/>
        <v>0.29599475031932415</v>
      </c>
      <c r="E47" s="7">
        <f>MAX((1-Parameters!$B$4)^Parameters!B$65*E46+B46*Parameters!B$65-Parameters!$B$5*B46^2/E46*Parameters!B$65,0.0001)</f>
        <v>0.76983687080821817</v>
      </c>
      <c r="F47" s="9">
        <f>MAX((1-Parameters!$B$4)^Parameters!B$65*F46+C46*Parameters!B$65-Parameters!$B$5*C46^2/F46*Parameters!B$65,0.0001)</f>
        <v>0.14854038875523079</v>
      </c>
      <c r="G47" s="7">
        <f>MAX((1-Parameters!$B$4)^Parameters!B$65*G46+D46*Parameters!B$65-Parameters!$B$5*D46^2/G46*Parameters!B$65,0.0001)</f>
        <v>4.3885025360941938</v>
      </c>
      <c r="I47" s="7">
        <f>I46*(1+Parameters!$B$51)^Parameters!B$65</f>
        <v>9.242049817703089</v>
      </c>
      <c r="J47" s="7">
        <f>J46*(1+Parameters!$B$53)^Parameters!B$65</f>
        <v>21.143829908901601</v>
      </c>
      <c r="K47" s="7">
        <f>'6states'!$O$4</f>
        <v>0.98104277196026479</v>
      </c>
      <c r="L47" s="9">
        <f t="shared" si="7"/>
        <v>0.5</v>
      </c>
      <c r="M47" s="23">
        <f t="shared" si="3"/>
        <v>2</v>
      </c>
      <c r="N47" s="7">
        <f>(Parameters!$B$19*(E47+Parameters!$B$20)^L47+Parameters!$B$18*F47^L47)^(1/L47)</f>
        <v>0.5356397255523816</v>
      </c>
      <c r="O47" s="7">
        <f>(Parameters!$B$10*G47^Parameters!$B$9 + Parameters!$B$11*N47^Parameters!$B$9) ^ (Parameters!$B$7/Parameters!$B$9) * K47</f>
        <v>1.5070714442514328</v>
      </c>
      <c r="P47" s="7">
        <f t="shared" si="1"/>
        <v>1.1491341774428314</v>
      </c>
      <c r="Q47" s="7">
        <f>EXP(-Parameters!$B$55*A47)</f>
        <v>0.52241133673581286</v>
      </c>
      <c r="R47" s="7">
        <f>IF(P47&gt;0,P47^(1-Parameters!$B$52)/(1-Parameters!$B$52)*Q47,-10+P47*1000)</f>
        <v>-1.4217223442782785</v>
      </c>
      <c r="S47" s="7"/>
      <c r="T47" s="9"/>
      <c r="U47" s="9"/>
      <c r="V47" s="7"/>
      <c r="W47" s="13">
        <f t="shared" si="17"/>
        <v>0.23750517480370029</v>
      </c>
    </row>
    <row r="48" spans="1:23" x14ac:dyDescent="0.25">
      <c r="A48">
        <f>A47+Parameters!$B$65</f>
        <v>44</v>
      </c>
      <c r="B48" s="46">
        <f t="shared" si="19"/>
        <v>5.1923809653700789E-2</v>
      </c>
      <c r="C48" s="46">
        <f t="shared" si="18"/>
        <v>1.0018706835576659E-2</v>
      </c>
      <c r="D48" s="46">
        <f t="shared" si="18"/>
        <v>0.29599475031932415</v>
      </c>
      <c r="E48" s="7">
        <f>MAX((1-Parameters!$B$4)^Parameters!B$65*E47+B47*Parameters!B$65-Parameters!$B$5*B47^2/E47*Parameters!B$65,0.0001)</f>
        <v>0.7698357941304339</v>
      </c>
      <c r="F48" s="9">
        <f>MAX((1-Parameters!$B$4)^Parameters!B$65*F47+C47*Parameters!B$65-Parameters!$B$5*C47^2/F47*Parameters!B$65,0.0001)</f>
        <v>0.14854016645518783</v>
      </c>
      <c r="G48" s="7">
        <f>MAX((1-Parameters!$B$4)^Parameters!B$65*G47+D47*Parameters!B$65-Parameters!$B$5*D47^2/G47*Parameters!B$65,0.0001)</f>
        <v>4.3884962883126901</v>
      </c>
      <c r="I48" s="7">
        <f>I47*(1+Parameters!$B$51)^Parameters!B$65</f>
        <v>9.2688517621744264</v>
      </c>
      <c r="J48" s="7">
        <f>J47*(1+Parameters!$B$53)^Parameters!B$65</f>
        <v>21.566706507079633</v>
      </c>
      <c r="K48" s="7">
        <f>'6states'!$O$4</f>
        <v>0.98104277196026479</v>
      </c>
      <c r="L48" s="9">
        <f t="shared" si="7"/>
        <v>0.5</v>
      </c>
      <c r="M48" s="23">
        <f t="shared" si="3"/>
        <v>2</v>
      </c>
      <c r="N48" s="7">
        <f>(Parameters!$B$19*(E48+Parameters!$B$20)^L48+Parameters!$B$18*F48^L48)^(1/L48)</f>
        <v>0.53563897608968325</v>
      </c>
      <c r="O48" s="7">
        <f>(Parameters!$B$10*G48^Parameters!$B$9 + Parameters!$B$11*N48^Parameters!$B$9) ^ (Parameters!$B$7/Parameters!$B$9) * K48</f>
        <v>1.5070708025116395</v>
      </c>
      <c r="P48" s="7">
        <f t="shared" si="1"/>
        <v>1.1491335357030381</v>
      </c>
      <c r="Q48" s="7">
        <f>EXP(-Parameters!$B$55*A48)</f>
        <v>0.51458218441100756</v>
      </c>
      <c r="R48" s="7">
        <f>IF(P48&gt;0,P48^(1-Parameters!$B$52)/(1-Parameters!$B$52)*Q48,-10+P48*1000)</f>
        <v>-1.4004158813102339</v>
      </c>
      <c r="S48" s="7"/>
      <c r="T48" s="9"/>
      <c r="U48" s="9"/>
      <c r="V48" s="7"/>
      <c r="W48" s="13">
        <f t="shared" si="17"/>
        <v>0.23750527593798113</v>
      </c>
    </row>
    <row r="49" spans="1:23" x14ac:dyDescent="0.25">
      <c r="A49">
        <f>A48+Parameters!$B$65</f>
        <v>45</v>
      </c>
      <c r="B49" s="46">
        <f t="shared" si="19"/>
        <v>5.1923809653700789E-2</v>
      </c>
      <c r="C49" s="46">
        <f t="shared" si="18"/>
        <v>1.0018706835576659E-2</v>
      </c>
      <c r="D49" s="46">
        <f t="shared" si="18"/>
        <v>0.29599475031932415</v>
      </c>
      <c r="E49" s="7">
        <f>MAX((1-Parameters!$B$4)^Parameters!B$65*E48+B48*Parameters!B$65-Parameters!$B$5*B48^2/E48*Parameters!B$65,0.0001)</f>
        <v>0.76983478027764551</v>
      </c>
      <c r="F49" s="9">
        <f>MAX((1-Parameters!$B$4)^Parameters!B$65*F48+C48*Parameters!B$65-Parameters!$B$5*C48^2/F48*Parameters!B$65,0.0001)</f>
        <v>0.14853995712653059</v>
      </c>
      <c r="G49" s="7">
        <f>MAX((1-Parameters!$B$4)^Parameters!B$65*G48+D48*Parameters!B$65-Parameters!$B$5*D48^2/G48*Parameters!B$65,0.0001)</f>
        <v>4.3884904050941769</v>
      </c>
      <c r="I49" s="7">
        <f>I48*(1+Parameters!$B$51)^Parameters!B$65</f>
        <v>9.2957314322847306</v>
      </c>
      <c r="J49" s="7">
        <f>J48*(1+Parameters!$B$53)^Parameters!B$65</f>
        <v>21.998040637221226</v>
      </c>
      <c r="K49" s="7">
        <f>'6states'!$O$4</f>
        <v>0.98104277196026479</v>
      </c>
      <c r="L49" s="9">
        <f t="shared" si="7"/>
        <v>0.5</v>
      </c>
      <c r="M49" s="23">
        <f t="shared" si="3"/>
        <v>2</v>
      </c>
      <c r="N49" s="7">
        <f>(Parameters!$B$19*(E49+Parameters!$B$20)^L49+Parameters!$B$18*F49^L49)^(1/L49)</f>
        <v>0.53563827035872424</v>
      </c>
      <c r="O49" s="7">
        <f>(Parameters!$B$10*G49^Parameters!$B$9 + Parameters!$B$11*N49^Parameters!$B$9) ^ (Parameters!$B$7/Parameters!$B$9) * K49</f>
        <v>1.5070701982172872</v>
      </c>
      <c r="P49" s="7">
        <f t="shared" si="1"/>
        <v>1.1491329314086858</v>
      </c>
      <c r="Q49" s="7">
        <f>EXP(-Parameters!$B$55*A49)</f>
        <v>0.50687036419945219</v>
      </c>
      <c r="R49" s="7">
        <f>IF(P49&gt;0,P49^(1-Parameters!$B$52)/(1-Parameters!$B$52)*Q49,-10+P49*1000)</f>
        <v>-1.3794287092354449</v>
      </c>
      <c r="S49" s="7"/>
      <c r="T49" s="9"/>
      <c r="U49" s="9"/>
      <c r="V49" s="7"/>
      <c r="W49" s="13">
        <f t="shared" si="17"/>
        <v>0.23750537117116741</v>
      </c>
    </row>
    <row r="50" spans="1:23" x14ac:dyDescent="0.25">
      <c r="A50">
        <f>A49+Parameters!$B$65</f>
        <v>46</v>
      </c>
      <c r="B50" s="46">
        <f t="shared" si="19"/>
        <v>5.1923809653700789E-2</v>
      </c>
      <c r="C50" s="46">
        <f t="shared" si="18"/>
        <v>1.0018706835576659E-2</v>
      </c>
      <c r="D50" s="46">
        <f t="shared" si="18"/>
        <v>0.29599475031932415</v>
      </c>
      <c r="E50" s="7">
        <f>MAX((1-Parameters!$B$4)^Parameters!B$65*E49+B49*Parameters!B$65-Parameters!$B$5*B49^2/E49*Parameters!B$65,0.0001)</f>
        <v>0.76983382558395252</v>
      </c>
      <c r="F50" s="9">
        <f>MAX((1-Parameters!$B$4)^Parameters!B$65*F49+C49*Parameters!B$65-Parameters!$B$5*C49^2/F49*Parameters!B$65,0.0001)</f>
        <v>0.14853976001236555</v>
      </c>
      <c r="G50" s="7">
        <f>MAX((1-Parameters!$B$4)^Parameters!B$65*G49+D49*Parameters!B$65-Parameters!$B$5*D49^2/G49*Parameters!B$65,0.0001)</f>
        <v>4.388484865166042</v>
      </c>
      <c r="I50" s="7">
        <f>I49*(1+Parameters!$B$51)^Parameters!B$65</f>
        <v>9.3226890534383546</v>
      </c>
      <c r="J50" s="7">
        <f>J49*(1+Parameters!$B$53)^Parameters!B$65</f>
        <v>22.43800144996565</v>
      </c>
      <c r="K50" s="7">
        <f>'6states'!$O$4</f>
        <v>0.98104277196026479</v>
      </c>
      <c r="L50" s="9">
        <f t="shared" si="7"/>
        <v>0.5</v>
      </c>
      <c r="M50" s="23">
        <f t="shared" si="3"/>
        <v>2</v>
      </c>
      <c r="N50" s="7">
        <f>(Parameters!$B$19*(E50+Parameters!$B$20)^L50+Parameters!$B$18*F50^L50)^(1/L50)</f>
        <v>0.53563760580771458</v>
      </c>
      <c r="O50" s="7">
        <f>(Parameters!$B$10*G50^Parameters!$B$9 + Parameters!$B$11*N50^Parameters!$B$9) ^ (Parameters!$B$7/Parameters!$B$9) * K50</f>
        <v>1.5070696291834638</v>
      </c>
      <c r="P50" s="7">
        <f t="shared" si="1"/>
        <v>1.1491323623748624</v>
      </c>
      <c r="Q50" s="7">
        <f>EXP(-Parameters!$B$55*A50)</f>
        <v>0.49927411769560981</v>
      </c>
      <c r="R50" s="7">
        <f>IF(P50&gt;0,P50^(1-Parameters!$B$52)/(1-Parameters!$B$52)*Q50,-10+P50*1000)</f>
        <v>-1.3587560444168616</v>
      </c>
      <c r="S50" s="7"/>
      <c r="T50" s="9"/>
      <c r="U50" s="9"/>
      <c r="V50" s="7"/>
      <c r="W50" s="13">
        <f t="shared" si="17"/>
        <v>0.2375054608475744</v>
      </c>
    </row>
    <row r="51" spans="1:23" x14ac:dyDescent="0.25">
      <c r="A51">
        <f>A50+Parameters!$B$65</f>
        <v>47</v>
      </c>
      <c r="B51" s="46">
        <f t="shared" si="19"/>
        <v>5.1923809653700789E-2</v>
      </c>
      <c r="C51" s="46">
        <f t="shared" si="18"/>
        <v>1.0018706835576659E-2</v>
      </c>
      <c r="D51" s="46">
        <f t="shared" si="18"/>
        <v>0.29599475031932415</v>
      </c>
      <c r="E51" s="7">
        <f>MAX((1-Parameters!$B$4)^Parameters!B$65*E50+B50*Parameters!B$65-Parameters!$B$5*B50^2/E50*Parameters!B$65,0.0001)</f>
        <v>0.76983292659736469</v>
      </c>
      <c r="F51" s="9">
        <f>MAX((1-Parameters!$B$4)^Parameters!B$65*F50+C50*Parameters!B$65-Parameters!$B$5*C50^2/F50*Parameters!B$65,0.0001)</f>
        <v>0.14853957439996499</v>
      </c>
      <c r="G51" s="7">
        <f>MAX((1-Parameters!$B$4)^Parameters!B$65*G50+D50*Parameters!B$65-Parameters!$B$5*D50^2/G50*Parameters!B$65,0.0001)</f>
        <v>4.3884796484969577</v>
      </c>
      <c r="I51" s="7">
        <f>I50*(1+Parameters!$B$51)^Parameters!B$65</f>
        <v>9.3497248516933258</v>
      </c>
      <c r="J51" s="7">
        <f>J50*(1+Parameters!$B$53)^Parameters!B$65</f>
        <v>22.886761478964964</v>
      </c>
      <c r="K51" s="7">
        <f>'6states'!$O$4</f>
        <v>0.98104277196026479</v>
      </c>
      <c r="L51" s="9">
        <f t="shared" si="7"/>
        <v>0.5</v>
      </c>
      <c r="M51" s="23">
        <f t="shared" si="3"/>
        <v>2</v>
      </c>
      <c r="N51" s="7">
        <f>(Parameters!$B$19*(E51+Parameters!$B$20)^L51+Parameters!$B$18*F51^L51)^(1/L51)</f>
        <v>0.53563698003376425</v>
      </c>
      <c r="O51" s="7">
        <f>(Parameters!$B$10*G51^Parameters!$B$9 + Parameters!$B$11*N51^Parameters!$B$9) ^ (Parameters!$B$7/Parameters!$B$9) * K51</f>
        <v>1.5070690933527411</v>
      </c>
      <c r="P51" s="7">
        <f t="shared" si="1"/>
        <v>1.1491318265441397</v>
      </c>
      <c r="Q51" s="7">
        <f>EXP(-Parameters!$B$55*A51)</f>
        <v>0.49179171284640477</v>
      </c>
      <c r="R51" s="7">
        <f>IF(P51&gt;0,P51^(1-Parameters!$B$52)/(1-Parameters!$B$52)*Q51,-10+P51*1000)</f>
        <v>-1.338393174803592</v>
      </c>
      <c r="S51" s="7"/>
      <c r="T51" s="9"/>
      <c r="U51" s="9"/>
      <c r="V51" s="7"/>
      <c r="W51" s="13">
        <f t="shared" si="17"/>
        <v>0.23750554529142856</v>
      </c>
    </row>
    <row r="52" spans="1:23" x14ac:dyDescent="0.25">
      <c r="A52">
        <f>A51+Parameters!$B$65</f>
        <v>48</v>
      </c>
      <c r="B52" s="46">
        <f t="shared" si="19"/>
        <v>5.1923809653700789E-2</v>
      </c>
      <c r="C52" s="46">
        <f t="shared" si="18"/>
        <v>1.0018706835576659E-2</v>
      </c>
      <c r="D52" s="46">
        <f t="shared" si="18"/>
        <v>0.29599475031932415</v>
      </c>
      <c r="E52" s="7">
        <f>MAX((1-Parameters!$B$4)^Parameters!B$65*E51+B51*Parameters!B$65-Parameters!$B$5*B51^2/E51*Parameters!B$65,0.0001)</f>
        <v>0.76983208006732018</v>
      </c>
      <c r="F52" s="9">
        <f>MAX((1-Parameters!$B$4)^Parameters!B$65*F51+C51*Parameters!B$65-Parameters!$B$5*C51^2/F51*Parameters!B$65,0.0001)</f>
        <v>0.14853939961818982</v>
      </c>
      <c r="G52" s="7">
        <f>MAX((1-Parameters!$B$4)^Parameters!B$65*G51+D51*Parameters!B$65-Parameters!$B$5*D51^2/G51*Parameters!B$65,0.0001)</f>
        <v>4.3884747362244543</v>
      </c>
      <c r="I52" s="7">
        <f>I51*(1+Parameters!$B$51)^Parameters!B$65</f>
        <v>9.376839053763236</v>
      </c>
      <c r="J52" s="7">
        <f>J51*(1+Parameters!$B$53)^Parameters!B$65</f>
        <v>23.344496708544263</v>
      </c>
      <c r="K52" s="7">
        <f>'6states'!$O$4</f>
        <v>0.98104277196026479</v>
      </c>
      <c r="L52" s="9">
        <f t="shared" si="7"/>
        <v>0.5</v>
      </c>
      <c r="M52" s="23">
        <f t="shared" si="3"/>
        <v>2</v>
      </c>
      <c r="N52" s="7">
        <f>(Parameters!$B$19*(E52+Parameters!$B$20)^L52+Parameters!$B$18*F52^L52)^(1/L52)</f>
        <v>0.53563639077419567</v>
      </c>
      <c r="O52" s="7">
        <f>(Parameters!$B$10*G52^Parameters!$B$9 + Parameters!$B$11*N52^Parameters!$B$9) ^ (Parameters!$B$7/Parameters!$B$9) * K52</f>
        <v>1.5070685887877389</v>
      </c>
      <c r="P52" s="7">
        <f t="shared" si="1"/>
        <v>1.1491313219791375</v>
      </c>
      <c r="Q52" s="7">
        <f>EXP(-Parameters!$B$55*A52)</f>
        <v>0.48442144355629069</v>
      </c>
      <c r="R52" s="7">
        <f>IF(P52&gt;0,P52^(1-Parameters!$B$52)/(1-Parameters!$B$52)*Q52,-10+P52*1000)</f>
        <v>-1.3183354588656169</v>
      </c>
      <c r="S52" s="7"/>
      <c r="T52" s="9"/>
      <c r="U52" s="9"/>
      <c r="V52" s="7"/>
      <c r="W52" s="13">
        <f t="shared" si="17"/>
        <v>0.23750562480803905</v>
      </c>
    </row>
    <row r="53" spans="1:23" x14ac:dyDescent="0.25">
      <c r="A53">
        <f>A52+Parameters!$B$65</f>
        <v>49</v>
      </c>
      <c r="B53" s="46">
        <f t="shared" si="19"/>
        <v>5.1923809653700789E-2</v>
      </c>
      <c r="C53" s="46">
        <f t="shared" si="18"/>
        <v>1.0018706835576659E-2</v>
      </c>
      <c r="D53" s="46">
        <f t="shared" si="18"/>
        <v>0.29599475031932415</v>
      </c>
      <c r="E53" s="7">
        <f>MAX((1-Parameters!$B$4)^Parameters!B$65*E52+B52*Parameters!B$65-Parameters!$B$5*B52^2/E52*Parameters!B$65,0.0001)</f>
        <v>0.76983128293293146</v>
      </c>
      <c r="F53" s="9">
        <f>MAX((1-Parameters!$B$4)^Parameters!B$65*F52+C52*Parameters!B$65-Parameters!$B$5*C52^2/F52*Parameters!B$65,0.0001)</f>
        <v>0.14853923503506292</v>
      </c>
      <c r="G53" s="7">
        <f>MAX((1-Parameters!$B$4)^Parameters!B$65*G52+D52*Parameters!B$65-Parameters!$B$5*D52^2/G52*Parameters!B$65,0.0001)</f>
        <v>4.3884701105867086</v>
      </c>
      <c r="I53" s="7">
        <f>I52*(1+Parameters!$B$51)^Parameters!B$65</f>
        <v>9.4040318870191477</v>
      </c>
      <c r="J53" s="7">
        <f>J52*(1+Parameters!$B$53)^Parameters!B$65</f>
        <v>23.811386642715149</v>
      </c>
      <c r="K53" s="7">
        <f>'6states'!$O$4</f>
        <v>0.98104277196026479</v>
      </c>
      <c r="L53" s="9">
        <f t="shared" si="7"/>
        <v>0.5</v>
      </c>
      <c r="M53" s="23">
        <f t="shared" si="3"/>
        <v>2</v>
      </c>
      <c r="N53" s="7">
        <f>(Parameters!$B$19*(E53+Parameters!$B$20)^L53+Parameters!$B$18*F53^L53)^(1/L53)</f>
        <v>0.53563583589836072</v>
      </c>
      <c r="O53" s="7">
        <f>(Parameters!$B$10*G53^Parameters!$B$9 + Parameters!$B$11*N53^Parameters!$B$9) ^ (Parameters!$B$7/Parameters!$B$9) * K53</f>
        <v>1.50706811366412</v>
      </c>
      <c r="P53" s="7">
        <f t="shared" si="1"/>
        <v>1.1491308468555186</v>
      </c>
      <c r="Q53" s="7">
        <f>EXP(-Parameters!$B$55*A53)</f>
        <v>0.47716162929823552</v>
      </c>
      <c r="R53" s="7">
        <f>IF(P53&gt;0,P53^(1-Parameters!$B$52)/(1-Parameters!$B$52)*Q53,-10+P53*1000)</f>
        <v>-1.2985783245439213</v>
      </c>
      <c r="S53" s="7"/>
      <c r="T53" s="9"/>
      <c r="U53" s="9"/>
      <c r="V53" s="7"/>
      <c r="W53" s="13">
        <f t="shared" si="17"/>
        <v>0.23750569968490159</v>
      </c>
    </row>
    <row r="54" spans="1:23" s="4" customFormat="1" x14ac:dyDescent="0.25">
      <c r="A54">
        <f>A53+Parameters!$B$65</f>
        <v>50</v>
      </c>
      <c r="B54" s="19">
        <v>5.1923789394424727E-2</v>
      </c>
      <c r="C54" s="45">
        <v>1.0018743654138964E-2</v>
      </c>
      <c r="D54" s="18">
        <v>0.29599491710876957</v>
      </c>
      <c r="E54" s="7">
        <f>MAX((1-Parameters!$B$4)^Parameters!B$65*E53+B53*Parameters!B$65-Parameters!$B$5*B53^2/E53*Parameters!B$65,0.0001)</f>
        <v>0.76983053231191778</v>
      </c>
      <c r="F54" s="9">
        <f>MAX((1-Parameters!$B$4)^Parameters!B$65*F53+C53*Parameters!B$65-Parameters!$B$5*C53^2/F53*Parameters!B$65,0.0001)</f>
        <v>0.14853908005548369</v>
      </c>
      <c r="G54" s="7">
        <f>MAX((1-Parameters!$B$4)^Parameters!B$65*G53+D53*Parameters!B$65-Parameters!$B$5*D53^2/G53*Parameters!B$65,0.0001)</f>
        <v>4.3884657548583235</v>
      </c>
      <c r="H54" s="7"/>
      <c r="I54" s="7">
        <f>I53*(1+Parameters!$B$51)^Parameters!B$65</f>
        <v>9.4313035794915017</v>
      </c>
      <c r="J54" s="7">
        <f>J53*(1+Parameters!$B$53)^Parameters!B$65</f>
        <v>24.287614375569454</v>
      </c>
      <c r="K54" s="7">
        <f>'6states'!$O$4</f>
        <v>0.98104277196026479</v>
      </c>
      <c r="L54" s="9">
        <f t="shared" si="7"/>
        <v>0.5</v>
      </c>
      <c r="M54" s="23">
        <f t="shared" si="3"/>
        <v>2</v>
      </c>
      <c r="N54" s="7">
        <f>(Parameters!$B$19*(E54+Parameters!$B$20)^L54+Parameters!$B$18*F54^L54)^(1/L54)</f>
        <v>0.53563531339993764</v>
      </c>
      <c r="O54" s="7">
        <f>(Parameters!$B$10*G54^Parameters!$B$9 + Parameters!$B$11*N54^Parameters!$B$9) ^ (Parameters!$B$7/Parameters!$B$9) * K54</f>
        <v>1.5070676662639932</v>
      </c>
      <c r="P54" s="7">
        <f t="shared" si="1"/>
        <v>1.1491302161066601</v>
      </c>
      <c r="Q54" s="16">
        <f>EXP(-Parameters!$B$55*A54)</f>
        <v>0.4700106147305379</v>
      </c>
      <c r="R54" s="7">
        <f>IF(P54&gt;0,P54^(1-Parameters!$B$52)/(1-Parameters!$B$52)*Q54,-10+P54*1000)</f>
        <v>-1.2791173396469082</v>
      </c>
      <c r="S54" s="7"/>
      <c r="T54" s="9"/>
      <c r="U54" s="9"/>
      <c r="V54" s="7"/>
      <c r="W54" s="13">
        <f t="shared" si="17"/>
        <v>0.23750589185199419</v>
      </c>
    </row>
    <row r="55" spans="1:23" x14ac:dyDescent="0.25">
      <c r="A55">
        <f>A54+Parameters!$B$65</f>
        <v>51</v>
      </c>
      <c r="B55" s="46">
        <f>B54</f>
        <v>5.1923789394424727E-2</v>
      </c>
      <c r="C55" s="46">
        <f t="shared" ref="C55:D63" si="20">C54</f>
        <v>1.0018743654138964E-2</v>
      </c>
      <c r="D55" s="46">
        <f t="shared" si="20"/>
        <v>0.29599491710876957</v>
      </c>
      <c r="E55" s="7">
        <f>MAX((1-Parameters!$B$4)^Parameters!B$65*E54+B54*Parameters!B$65-Parameters!$B$5*B54^2/E54*Parameters!B$65,0.0001)</f>
        <v>0.76982980796381617</v>
      </c>
      <c r="F55" s="9">
        <f>MAX((1-Parameters!$B$4)^Parameters!B$65*F54+C54*Parameters!B$65-Parameters!$B$5*C54^2/F54*Parameters!B$65,0.0001)</f>
        <v>0.14853896597093164</v>
      </c>
      <c r="G55" s="7">
        <f>MAX((1-Parameters!$B$4)^Parameters!B$65*G54+D54*Parameters!B$65-Parameters!$B$5*D54^2/G54*Parameters!B$65,0.0001)</f>
        <v>4.3884617975799438</v>
      </c>
      <c r="I55" s="7">
        <f>I54*(1+Parameters!$B$51)^Parameters!B$65</f>
        <v>9.4586543598720265</v>
      </c>
      <c r="J55" s="7">
        <f>J54*(1+Parameters!$B$53)^Parameters!B$65</f>
        <v>24.773366663080843</v>
      </c>
      <c r="K55" s="7">
        <f>'6states'!$O$4</f>
        <v>0.98104277196026479</v>
      </c>
      <c r="L55" s="9">
        <f t="shared" si="7"/>
        <v>0.5</v>
      </c>
      <c r="M55" s="23">
        <f t="shared" si="3"/>
        <v>2</v>
      </c>
      <c r="N55" s="7">
        <f>(Parameters!$B$19*(E55+Parameters!$B$20)^L55+Parameters!$B$18*F55^L55)^(1/L55)</f>
        <v>0.53563482965496245</v>
      </c>
      <c r="O55" s="7">
        <f>(Parameters!$B$10*G55^Parameters!$B$9 + Parameters!$B$11*N55^Parameters!$B$9) ^ (Parameters!$B$7/Parameters!$B$9) * K55</f>
        <v>1.5070672584576867</v>
      </c>
      <c r="P55" s="7">
        <f t="shared" si="1"/>
        <v>1.1491298083003536</v>
      </c>
      <c r="Q55" s="7">
        <f>EXP(-Parameters!$B$55*A55)</f>
        <v>0.46296676931938507</v>
      </c>
      <c r="R55" s="7">
        <f>IF(P55&gt;0,P55^(1-Parameters!$B$52)/(1-Parameters!$B$52)*Q55,-10+P55*1000)</f>
        <v>-1.2599479188600611</v>
      </c>
      <c r="S55" s="7"/>
      <c r="T55" s="9"/>
      <c r="U55" s="9"/>
      <c r="V55" s="7"/>
      <c r="W55" s="13">
        <f t="shared" si="17"/>
        <v>0.2375059561201282</v>
      </c>
    </row>
    <row r="56" spans="1:23" x14ac:dyDescent="0.25">
      <c r="A56">
        <f>A55+Parameters!$B$65</f>
        <v>52</v>
      </c>
      <c r="B56" s="46">
        <f t="shared" ref="B56:B63" si="21">B55</f>
        <v>5.1923789394424727E-2</v>
      </c>
      <c r="C56" s="46">
        <f t="shared" si="20"/>
        <v>1.0018743654138964E-2</v>
      </c>
      <c r="D56" s="46">
        <f t="shared" si="20"/>
        <v>0.29599491710876957</v>
      </c>
      <c r="E56" s="7">
        <f>MAX((1-Parameters!$B$4)^Parameters!B$65*E55+B55*Parameters!B$65-Parameters!$B$5*B55^2/E55*Parameters!B$65,0.0001)</f>
        <v>0.76982912588194607</v>
      </c>
      <c r="F56" s="9">
        <f>MAX((1-Parameters!$B$4)^Parameters!B$65*F55+C55*Parameters!B$65-Parameters!$B$5*C55^2/F55*Parameters!B$65,0.0001)</f>
        <v>0.14853885854329207</v>
      </c>
      <c r="G56" s="7">
        <f>MAX((1-Parameters!$B$4)^Parameters!B$65*G55+D55*Parameters!B$65-Parameters!$B$5*D55^2/G55*Parameters!B$65,0.0001)</f>
        <v>4.3884580712115735</v>
      </c>
      <c r="I56" s="7">
        <f>I55*(1+Parameters!$B$51)^Parameters!B$65</f>
        <v>9.4860844575156538</v>
      </c>
      <c r="J56" s="7">
        <f>J55*(1+Parameters!$B$53)^Parameters!B$65</f>
        <v>25.268833996342462</v>
      </c>
      <c r="K56" s="7">
        <f>'6states'!$O$4</f>
        <v>0.98104277196026479</v>
      </c>
      <c r="L56" s="9">
        <f t="shared" si="7"/>
        <v>0.5</v>
      </c>
      <c r="M56" s="23">
        <f t="shared" si="3"/>
        <v>2</v>
      </c>
      <c r="N56" s="7">
        <f>(Parameters!$B$19*(E56+Parameters!$B$20)^L56+Parameters!$B$18*F56^L56)^(1/L56)</f>
        <v>0.535634374136851</v>
      </c>
      <c r="O56" s="7">
        <f>(Parameters!$B$10*G56^Parameters!$B$9 + Parameters!$B$11*N56^Parameters!$B$9) ^ (Parameters!$B$7/Parameters!$B$9) * K56</f>
        <v>1.5070668744469335</v>
      </c>
      <c r="P56" s="7">
        <f t="shared" si="1"/>
        <v>1.1491294242896002</v>
      </c>
      <c r="Q56" s="7">
        <f>EXP(-Parameters!$B$55*A56)</f>
        <v>0.45602848696706794</v>
      </c>
      <c r="R56" s="7">
        <f>IF(P56&gt;0,P56^(1-Parameters!$B$52)/(1-Parameters!$B$52)*Q56,-10+P56*1000)</f>
        <v>-1.2410657705357371</v>
      </c>
      <c r="S56" s="7"/>
      <c r="T56" s="9"/>
      <c r="U56" s="9"/>
      <c r="V56" s="7"/>
      <c r="W56" s="13">
        <f t="shared" si="17"/>
        <v>0.23750601663823967</v>
      </c>
    </row>
    <row r="57" spans="1:23" x14ac:dyDescent="0.25">
      <c r="A57">
        <f>A56+Parameters!$B$65</f>
        <v>53</v>
      </c>
      <c r="B57" s="46">
        <f t="shared" si="21"/>
        <v>5.1923789394424727E-2</v>
      </c>
      <c r="C57" s="46">
        <f t="shared" si="20"/>
        <v>1.0018743654138964E-2</v>
      </c>
      <c r="D57" s="46">
        <f t="shared" si="20"/>
        <v>0.29599491710876957</v>
      </c>
      <c r="E57" s="7">
        <f>MAX((1-Parameters!$B$4)^Parameters!B$65*E56+B56*Parameters!B$65-Parameters!$B$5*B56^2/E56*Parameters!B$65,0.0001)</f>
        <v>0.76982848360003686</v>
      </c>
      <c r="F57" s="9">
        <f>MAX((1-Parameters!$B$4)^Parameters!B$65*F56+C56*Parameters!B$65-Parameters!$B$5*C56^2/F56*Parameters!B$65,0.0001)</f>
        <v>0.14853875738412881</v>
      </c>
      <c r="G57" s="7">
        <f>MAX((1-Parameters!$B$4)^Parameters!B$65*G56+D56*Parameters!B$65-Parameters!$B$5*D56^2/G56*Parameters!B$65,0.0001)</f>
        <v>4.3884545622794189</v>
      </c>
      <c r="I57" s="7">
        <f>I56*(1+Parameters!$B$51)^Parameters!B$65</f>
        <v>9.5135941024424486</v>
      </c>
      <c r="J57" s="7">
        <f>J56*(1+Parameters!$B$53)^Parameters!B$65</f>
        <v>25.774210676269313</v>
      </c>
      <c r="K57" s="7">
        <f>'6states'!$O$4</f>
        <v>0.98104277196026479</v>
      </c>
      <c r="L57" s="9">
        <f t="shared" si="7"/>
        <v>0.5</v>
      </c>
      <c r="M57" s="23">
        <f t="shared" si="3"/>
        <v>2</v>
      </c>
      <c r="N57" s="7">
        <f>(Parameters!$B$19*(E57+Parameters!$B$20)^L57+Parameters!$B$18*F57^L57)^(1/L57)</f>
        <v>0.53563394519854213</v>
      </c>
      <c r="O57" s="7">
        <f>(Parameters!$B$10*G57^Parameters!$B$9 + Parameters!$B$11*N57^Parameters!$B$9) ^ (Parameters!$B$7/Parameters!$B$9) * K57</f>
        <v>1.5070665128432688</v>
      </c>
      <c r="P57" s="7">
        <f t="shared" si="1"/>
        <v>1.1491290626859354</v>
      </c>
      <c r="Q57" s="7">
        <f>EXP(-Parameters!$B$55*A57)</f>
        <v>0.44919418564576791</v>
      </c>
      <c r="R57" s="7">
        <f>IF(P57&gt;0,P57^(1-Parameters!$B$52)/(1-Parameters!$B$52)*Q57,-10+P57*1000)</f>
        <v>-1.2224665902677376</v>
      </c>
      <c r="S57" s="7"/>
      <c r="T57" s="9"/>
      <c r="U57" s="9"/>
      <c r="V57" s="7"/>
      <c r="W57" s="13">
        <f t="shared" si="17"/>
        <v>0.23750607362513793</v>
      </c>
    </row>
    <row r="58" spans="1:23" x14ac:dyDescent="0.25">
      <c r="A58">
        <f>A57+Parameters!$B$65</f>
        <v>54</v>
      </c>
      <c r="B58" s="46">
        <f t="shared" si="21"/>
        <v>5.1923789394424727E-2</v>
      </c>
      <c r="C58" s="46">
        <f t="shared" si="20"/>
        <v>1.0018743654138964E-2</v>
      </c>
      <c r="D58" s="46">
        <f t="shared" si="20"/>
        <v>0.29599491710876957</v>
      </c>
      <c r="E58" s="7">
        <f>MAX((1-Parameters!$B$4)^Parameters!B$65*E57+B57*Parameters!B$65-Parameters!$B$5*B57^2/E57*Parameters!B$65,0.0001)</f>
        <v>0.76982787879572745</v>
      </c>
      <c r="F58" s="9">
        <f>MAX((1-Parameters!$B$4)^Parameters!B$65*F57+C57*Parameters!B$65-Parameters!$B$5*C57^2/F57*Parameters!B$65,0.0001)</f>
        <v>0.14853866212767133</v>
      </c>
      <c r="G58" s="7">
        <f>MAX((1-Parameters!$B$4)^Parameters!B$65*G57+D57*Parameters!B$65-Parameters!$B$5*D57^2/G57*Parameters!B$65,0.0001)</f>
        <v>4.3884512580958983</v>
      </c>
      <c r="I58" s="7">
        <f>I57*(1+Parameters!$B$51)^Parameters!B$65</f>
        <v>9.5411835253395303</v>
      </c>
      <c r="J58" s="7">
        <f>J57*(1+Parameters!$B$53)^Parameters!B$65</f>
        <v>26.289694889794699</v>
      </c>
      <c r="K58" s="7">
        <f>'6states'!$O$4</f>
        <v>0.98104277196026479</v>
      </c>
      <c r="L58" s="9">
        <f t="shared" si="7"/>
        <v>0.5</v>
      </c>
      <c r="M58" s="23">
        <f t="shared" si="3"/>
        <v>2</v>
      </c>
      <c r="N58" s="7">
        <f>(Parameters!$B$19*(E58+Parameters!$B$20)^L58+Parameters!$B$18*F58^L58)^(1/L58)</f>
        <v>0.53563354128908236</v>
      </c>
      <c r="O58" s="7">
        <f>(Parameters!$B$10*G58^Parameters!$B$9 + Parameters!$B$11*N58^Parameters!$B$9) ^ (Parameters!$B$7/Parameters!$B$9) * K58</f>
        <v>1.5070661723392447</v>
      </c>
      <c r="P58" s="7">
        <f t="shared" si="1"/>
        <v>1.1491287221819113</v>
      </c>
      <c r="Q58" s="7">
        <f>EXP(-Parameters!$B$55*A58)</f>
        <v>0.4424623070368317</v>
      </c>
      <c r="R58" s="7">
        <f>IF(P58&gt;0,P58^(1-Parameters!$B$52)/(1-Parameters!$B$52)*Q58,-10+P58*1000)</f>
        <v>-1.2041461380985938</v>
      </c>
      <c r="S58" s="7"/>
      <c r="T58" s="9"/>
      <c r="U58" s="9"/>
      <c r="V58" s="7"/>
      <c r="W58" s="13">
        <f t="shared" si="17"/>
        <v>0.23750612728686513</v>
      </c>
    </row>
    <row r="59" spans="1:23" x14ac:dyDescent="0.25">
      <c r="A59">
        <f>A58+Parameters!$B$65</f>
        <v>55</v>
      </c>
      <c r="B59" s="46">
        <f t="shared" si="21"/>
        <v>5.1923789394424727E-2</v>
      </c>
      <c r="C59" s="46">
        <f t="shared" si="20"/>
        <v>1.0018743654138964E-2</v>
      </c>
      <c r="D59" s="46">
        <f t="shared" si="20"/>
        <v>0.29599491710876957</v>
      </c>
      <c r="E59" s="7">
        <f>MAX((1-Parameters!$B$4)^Parameters!B$65*E58+B58*Parameters!B$65-Parameters!$B$5*B58^2/E58*Parameters!B$65,0.0001)</f>
        <v>0.76982730928216925</v>
      </c>
      <c r="F59" s="9">
        <f>MAX((1-Parameters!$B$4)^Parameters!B$65*F58+C58*Parameters!B$65-Parameters!$B$5*C58^2/F58*Parameters!B$65,0.0001)</f>
        <v>0.14853857242949217</v>
      </c>
      <c r="G59" s="7">
        <f>MAX((1-Parameters!$B$4)^Parameters!B$65*G58+D58*Parameters!B$65-Parameters!$B$5*D58^2/G58*Parameters!B$65,0.0001)</f>
        <v>4.3884481467137633</v>
      </c>
      <c r="I59" s="7">
        <f>I58*(1+Parameters!$B$51)^Parameters!B$65</f>
        <v>9.5688529575630135</v>
      </c>
      <c r="J59" s="7">
        <f>J58*(1+Parameters!$B$53)^Parameters!B$65</f>
        <v>26.815488787590592</v>
      </c>
      <c r="K59" s="7">
        <f>'6states'!$O$4</f>
        <v>0.98104277196026479</v>
      </c>
      <c r="L59" s="9">
        <f t="shared" si="7"/>
        <v>0.5</v>
      </c>
      <c r="M59" s="23">
        <f t="shared" si="3"/>
        <v>2</v>
      </c>
      <c r="N59" s="7">
        <f>(Parameters!$B$19*(E59+Parameters!$B$20)^L59+Parameters!$B$18*F59^L59)^(1/L59)</f>
        <v>0.53563316094801816</v>
      </c>
      <c r="O59" s="7">
        <f>(Parameters!$B$10*G59^Parameters!$B$9 + Parameters!$B$11*N59^Parameters!$B$9) ^ (Parameters!$B$7/Parameters!$B$9) * K59</f>
        <v>1.5070658517037008</v>
      </c>
      <c r="P59" s="7">
        <f t="shared" si="1"/>
        <v>1.1491284015463674</v>
      </c>
      <c r="Q59" s="7">
        <f>EXP(-Parameters!$B$55*A59)</f>
        <v>0.43583131617545234</v>
      </c>
      <c r="R59" s="7">
        <f>IF(P59&gt;0,P59^(1-Parameters!$B$52)/(1-Parameters!$B$52)*Q59,-10+P59*1000)</f>
        <v>-1.1861002375580141</v>
      </c>
      <c r="S59" s="7"/>
      <c r="T59" s="9"/>
      <c r="U59" s="9"/>
      <c r="V59" s="7"/>
      <c r="W59" s="13">
        <f t="shared" si="17"/>
        <v>0.2375061778174416</v>
      </c>
    </row>
    <row r="60" spans="1:23" x14ac:dyDescent="0.25">
      <c r="A60">
        <f>A59+Parameters!$B$65</f>
        <v>56</v>
      </c>
      <c r="B60" s="46">
        <f t="shared" si="21"/>
        <v>5.1923789394424727E-2</v>
      </c>
      <c r="C60" s="46">
        <f t="shared" si="20"/>
        <v>1.0018743654138964E-2</v>
      </c>
      <c r="D60" s="46">
        <f t="shared" si="20"/>
        <v>0.29599491710876957</v>
      </c>
      <c r="E60" s="7">
        <f>MAX((1-Parameters!$B$4)^Parameters!B$65*E59+B59*Parameters!B$65-Parameters!$B$5*B59^2/E59*Parameters!B$65,0.0001)</f>
        <v>0.76982677300011848</v>
      </c>
      <c r="F60" s="9">
        <f>MAX((1-Parameters!$B$4)^Parameters!B$65*F59+C59*Parameters!B$65-Parameters!$B$5*C59^2/F59*Parameters!B$65,0.0001)</f>
        <v>0.14853848796526156</v>
      </c>
      <c r="G60" s="7">
        <f>MAX((1-Parameters!$B$4)^Parameters!B$65*G59+D59*Parameters!B$65-Parameters!$B$5*D59^2/G59*Parameters!B$65,0.0001)</f>
        <v>4.3884452168828991</v>
      </c>
      <c r="I60" s="7">
        <f>I59*(1+Parameters!$B$51)^Parameters!B$65</f>
        <v>9.5966026311399446</v>
      </c>
      <c r="J60" s="7">
        <f>J59*(1+Parameters!$B$53)^Parameters!B$65</f>
        <v>27.351798563342406</v>
      </c>
      <c r="K60" s="7">
        <f>'6states'!$O$4</f>
        <v>0.98104277196026479</v>
      </c>
      <c r="L60" s="9">
        <f t="shared" si="7"/>
        <v>0.5</v>
      </c>
      <c r="M60" s="23">
        <f t="shared" si="3"/>
        <v>2</v>
      </c>
      <c r="N60" s="7">
        <f>(Parameters!$B$19*(E60+Parameters!$B$20)^L60+Parameters!$B$18*F60^L60)^(1/L60)</f>
        <v>0.53563280280011494</v>
      </c>
      <c r="O60" s="7">
        <f>(Parameters!$B$10*G60^Parameters!$B$9 + Parameters!$B$11*N60^Parameters!$B$9) ^ (Parameters!$B$7/Parameters!$B$9) * K60</f>
        <v>1.5070655497773142</v>
      </c>
      <c r="P60" s="7">
        <f t="shared" si="1"/>
        <v>1.1491280996199809</v>
      </c>
      <c r="Q60" s="7">
        <f>EXP(-Parameters!$B$55*A60)</f>
        <v>0.42929970110067539</v>
      </c>
      <c r="R60" s="7">
        <f>IF(P60&gt;0,P60^(1-Parameters!$B$52)/(1-Parameters!$B$52)*Q60,-10+P60*1000)</f>
        <v>-1.1683247747154326</v>
      </c>
      <c r="S60" s="7"/>
      <c r="T60" s="9"/>
      <c r="U60" s="9"/>
      <c r="V60" s="7"/>
      <c r="W60" s="13">
        <f t="shared" si="17"/>
        <v>0.23750622539956706</v>
      </c>
    </row>
    <row r="61" spans="1:23" x14ac:dyDescent="0.25">
      <c r="A61">
        <f>A60+Parameters!$B$65</f>
        <v>57</v>
      </c>
      <c r="B61" s="46">
        <f t="shared" si="21"/>
        <v>5.1923789394424727E-2</v>
      </c>
      <c r="C61" s="46">
        <f t="shared" si="20"/>
        <v>1.0018743654138964E-2</v>
      </c>
      <c r="D61" s="46">
        <f t="shared" si="20"/>
        <v>0.29599491710876957</v>
      </c>
      <c r="E61" s="7">
        <f>MAX((1-Parameters!$B$4)^Parameters!B$65*E60+B60*Parameters!B$65-Parameters!$B$5*B60^2/E60*Parameters!B$65,0.0001)</f>
        <v>0.76982626801049026</v>
      </c>
      <c r="F61" s="9">
        <f>MAX((1-Parameters!$B$4)^Parameters!B$65*F60+C60*Parameters!B$65-Parameters!$B$5*C60^2/F60*Parameters!B$65,0.0001)</f>
        <v>0.14853840842957464</v>
      </c>
      <c r="G61" s="7">
        <f>MAX((1-Parameters!$B$4)^Parameters!B$65*G60+D60*Parameters!B$65-Parameters!$B$5*D60^2/G60*Parameters!B$65,0.0001)</f>
        <v>4.3884424580096466</v>
      </c>
      <c r="I61" s="7">
        <f>I60*(1+Parameters!$B$51)^Parameters!B$65</f>
        <v>9.6244327787702488</v>
      </c>
      <c r="J61" s="7">
        <f>J60*(1+Parameters!$B$53)^Parameters!B$65</f>
        <v>27.898834534609254</v>
      </c>
      <c r="K61" s="7">
        <f>'6states'!$O$4</f>
        <v>0.98104277196026479</v>
      </c>
      <c r="L61" s="9">
        <f t="shared" si="7"/>
        <v>0.5</v>
      </c>
      <c r="M61" s="23">
        <f t="shared" si="3"/>
        <v>2</v>
      </c>
      <c r="N61" s="7">
        <f>(Parameters!$B$19*(E61+Parameters!$B$20)^L61+Parameters!$B$18*F61^L61)^(1/L61)</f>
        <v>0.53563246555038402</v>
      </c>
      <c r="O61" s="7">
        <f>(Parameters!$B$10*G61^Parameters!$B$9 + Parameters!$B$11*N61^Parameters!$B$9) ^ (Parameters!$B$7/Parameters!$B$9) * K61</f>
        <v>1.5070652654684078</v>
      </c>
      <c r="P61" s="7">
        <f t="shared" si="1"/>
        <v>1.1491278153110747</v>
      </c>
      <c r="Q61" s="7">
        <f>EXP(-Parameters!$B$55*A61)</f>
        <v>0.42286597251064995</v>
      </c>
      <c r="R61" s="7">
        <f>IF(P61&gt;0,P61^(1-Parameters!$B$52)/(1-Parameters!$B$52)*Q61,-10+P61*1000)</f>
        <v>-1.1508156972464634</v>
      </c>
      <c r="S61" s="7"/>
      <c r="T61" s="9"/>
      <c r="U61" s="9"/>
      <c r="V61" s="7"/>
      <c r="W61" s="13">
        <f t="shared" si="17"/>
        <v>0.23750627020528103</v>
      </c>
    </row>
    <row r="62" spans="1:23" x14ac:dyDescent="0.25">
      <c r="A62">
        <f>A61+Parameters!$B$65</f>
        <v>58</v>
      </c>
      <c r="B62" s="46">
        <f t="shared" si="21"/>
        <v>5.1923789394424727E-2</v>
      </c>
      <c r="C62" s="46">
        <f t="shared" si="20"/>
        <v>1.0018743654138964E-2</v>
      </c>
      <c r="D62" s="46">
        <f t="shared" si="20"/>
        <v>0.29599491710876957</v>
      </c>
      <c r="E62" s="7">
        <f>MAX((1-Parameters!$B$4)^Parameters!B$65*E61+B61*Parameters!B$65-Parameters!$B$5*B61^2/E61*Parameters!B$65,0.0001)</f>
        <v>0.7698257924873475</v>
      </c>
      <c r="F62" s="9">
        <f>MAX((1-Parameters!$B$4)^Parameters!B$65*F61+C61*Parameters!B$65-Parameters!$B$5*C61^2/F61*Parameters!B$65,0.0001)</f>
        <v>0.14853833353484722</v>
      </c>
      <c r="G62" s="7">
        <f>MAX((1-Parameters!$B$4)^Parameters!B$65*G61+D61*Parameters!B$65-Parameters!$B$5*D61^2/G61*Parameters!B$65,0.0001)</f>
        <v>4.3884398601184973</v>
      </c>
      <c r="I62" s="7">
        <f>I61*(1+Parameters!$B$51)^Parameters!B$65</f>
        <v>9.6523436338286821</v>
      </c>
      <c r="J62" s="7">
        <f>J61*(1+Parameters!$B$53)^Parameters!B$65</f>
        <v>28.45681122530144</v>
      </c>
      <c r="K62" s="7">
        <f>'6states'!$O$4</f>
        <v>0.98104277196026479</v>
      </c>
      <c r="L62" s="9">
        <f t="shared" si="7"/>
        <v>0.5</v>
      </c>
      <c r="M62" s="23">
        <f t="shared" si="3"/>
        <v>2</v>
      </c>
      <c r="N62" s="7">
        <f>(Parameters!$B$19*(E62+Parameters!$B$20)^L62+Parameters!$B$18*F62^L62)^(1/L62)</f>
        <v>0.53563214797940106</v>
      </c>
      <c r="O62" s="7">
        <f>(Parameters!$B$10*G62^Parameters!$B$9 + Parameters!$B$11*N62^Parameters!$B$9) ^ (Parameters!$B$7/Parameters!$B$9) * K62</f>
        <v>1.5070649977490018</v>
      </c>
      <c r="P62" s="7">
        <f t="shared" si="1"/>
        <v>1.1491275475916685</v>
      </c>
      <c r="Q62" s="7">
        <f>EXP(-Parameters!$B$55*A62)</f>
        <v>0.41652866342304673</v>
      </c>
      <c r="R62" s="7">
        <f>IF(P62&gt;0,P62^(1-Parameters!$B$52)/(1-Parameters!$B$52)*Q62,-10+P62*1000)</f>
        <v>-1.1335690135130818</v>
      </c>
      <c r="S62" s="7"/>
      <c r="T62" s="9"/>
      <c r="U62" s="9"/>
      <c r="V62" s="7"/>
      <c r="W62" s="13">
        <f t="shared" si="17"/>
        <v>0.2375063123965851</v>
      </c>
    </row>
    <row r="63" spans="1:23" s="4" customFormat="1" x14ac:dyDescent="0.25">
      <c r="A63">
        <f>A62+Parameters!$B$65</f>
        <v>59</v>
      </c>
      <c r="B63" s="46">
        <f t="shared" si="21"/>
        <v>5.1923789394424727E-2</v>
      </c>
      <c r="C63" s="46">
        <f t="shared" si="20"/>
        <v>1.0018743654138964E-2</v>
      </c>
      <c r="D63" s="46">
        <f t="shared" si="20"/>
        <v>0.29599491710876957</v>
      </c>
      <c r="E63" s="7">
        <f>MAX((1-Parameters!$B$4)^Parameters!B$65*E62+B62*Parameters!B$65-Parameters!$B$5*B62^2/E62*Parameters!B$65,0.0001)</f>
        <v>0.76982534471129793</v>
      </c>
      <c r="F63" s="9">
        <f>MAX((1-Parameters!$B$4)^Parameters!B$65*F62+C62*Parameters!B$65-Parameters!$B$5*C62^2/F62*Parameters!B$65,0.0001)</f>
        <v>0.14853826301027595</v>
      </c>
      <c r="G63" s="7">
        <f>MAX((1-Parameters!$B$4)^Parameters!B$65*G62+D62*Parameters!B$65-Parameters!$B$5*D62^2/G62*Parameters!B$65,0.0001)</f>
        <v>4.3884374138160229</v>
      </c>
      <c r="H63" s="16"/>
      <c r="I63" s="7">
        <f>I62*(1+Parameters!$B$51)^Parameters!B$65</f>
        <v>9.6803354303667835</v>
      </c>
      <c r="J63" s="7">
        <f>J62*(1+Parameters!$B$53)^Parameters!B$65</f>
        <v>29.025947449807468</v>
      </c>
      <c r="K63" s="7">
        <f>'6states'!$O$4</f>
        <v>0.98104277196026479</v>
      </c>
      <c r="L63" s="9">
        <f t="shared" si="7"/>
        <v>0.5</v>
      </c>
      <c r="M63" s="23">
        <f t="shared" si="3"/>
        <v>2</v>
      </c>
      <c r="N63" s="7">
        <f>(Parameters!$B$19*(E63+Parameters!$B$20)^L63+Parameters!$B$18*F63^L63)^(1/L63)</f>
        <v>0.53563184893889626</v>
      </c>
      <c r="O63" s="7">
        <f>(Parameters!$B$10*G63^Parameters!$B$9 + Parameters!$B$11*N63^Parameters!$B$9) ^ (Parameters!$B$7/Parameters!$B$9) * K63</f>
        <v>1.5070647456510999</v>
      </c>
      <c r="P63" s="7">
        <f t="shared" si="1"/>
        <v>1.1491272954937668</v>
      </c>
      <c r="Q63" s="16">
        <f>EXP(-Parameters!$B$55*A63)</f>
        <v>0.41028632884056476</v>
      </c>
      <c r="R63" s="16">
        <f>IF(P63&gt;0,P63^(1-Parameters!$B$52)/(1-Parameters!$B$52)*Q63,-10+P63*1000)</f>
        <v>-1.1165807916573318</v>
      </c>
      <c r="S63" s="7"/>
      <c r="T63" s="9"/>
      <c r="U63" s="9"/>
      <c r="V63" s="7"/>
      <c r="W63" s="13">
        <f t="shared" si="17"/>
        <v>0.23750635212602819</v>
      </c>
    </row>
    <row r="64" spans="1:23" s="3" customFormat="1" x14ac:dyDescent="0.25">
      <c r="A64" s="3">
        <f>A63+Parameters!$B$65</f>
        <v>60</v>
      </c>
      <c r="B64" s="47">
        <v>5.19238877102325E-2</v>
      </c>
      <c r="C64" s="47">
        <v>1.0018735403930583E-2</v>
      </c>
      <c r="D64" s="48">
        <v>0.29599527422425154</v>
      </c>
      <c r="E64" s="7">
        <f>MAX((1-Parameters!$B$4)^Parameters!B$65*E63+B63*Parameters!B$65-Parameters!$B$5*B63^2/E63*Parameters!B$65,0.0001)</f>
        <v>0.76982492306327788</v>
      </c>
      <c r="F64" s="9">
        <f>MAX((1-Parameters!$B$4)^Parameters!B$65*F63+C63*Parameters!B$65-Parameters!$B$5*C63^2/F63*Parameters!B$65,0.0001)</f>
        <v>0.14853819660085904</v>
      </c>
      <c r="G64" s="7">
        <f>MAX((1-Parameters!$B$4)^Parameters!B$65*G63+D63*Parameters!B$65-Parameters!$B$5*D63^2/G63*Parameters!B$65,0.0001)</f>
        <v>4.3884351102569115</v>
      </c>
      <c r="H64" s="17"/>
      <c r="I64" s="17">
        <f>I63*(1+Parameters!$B$51)^Parameters!B$65</f>
        <v>9.7084084031148468</v>
      </c>
      <c r="J64" s="17">
        <f>J63*(1+Parameters!$B$53)^Parameters!B$65</f>
        <v>29.606466398803619</v>
      </c>
      <c r="K64" s="7">
        <f>'6states'!$O$4</f>
        <v>0.98104277196026479</v>
      </c>
      <c r="L64" s="9">
        <f t="shared" si="7"/>
        <v>0.5</v>
      </c>
      <c r="M64" s="24">
        <f t="shared" si="3"/>
        <v>2</v>
      </c>
      <c r="N64" s="17">
        <f>(Parameters!$B$19*(E64+Parameters!$B$20)^L64+Parameters!$B$18*F64^L64)^(1/L64)</f>
        <v>0.5356315673476022</v>
      </c>
      <c r="O64" s="17">
        <f>(Parameters!$B$10*G64^Parameters!$B$9 + Parameters!$B$11*N64^Parameters!$B$9) ^ (Parameters!$B$7/Parameters!$B$9) * K64</f>
        <v>1.5070645082631871</v>
      </c>
      <c r="P64" s="17">
        <f t="shared" si="1"/>
        <v>1.1491266109247724</v>
      </c>
      <c r="Q64" s="17">
        <f>EXP(-Parameters!$B$55*A64)</f>
        <v>0.40413754542145147</v>
      </c>
      <c r="R64" s="17">
        <f>IF(P64&gt;0,P64^(1-Parameters!$B$52)/(1-Parameters!$B$52)*Q64,-10+P64*1000)</f>
        <v>-1.0998473085097933</v>
      </c>
      <c r="S64" s="17"/>
      <c r="T64" s="22"/>
      <c r="U64" s="22"/>
      <c r="V64" s="17"/>
      <c r="W64" s="31">
        <f t="shared" si="17"/>
        <v>0.23750668626051005</v>
      </c>
    </row>
    <row r="65" spans="1:22" x14ac:dyDescent="0.25">
      <c r="A65">
        <f>A64+Parameters!$B$65</f>
        <v>61</v>
      </c>
      <c r="B65" s="46">
        <f>B64</f>
        <v>5.19238877102325E-2</v>
      </c>
      <c r="C65" s="46">
        <f t="shared" ref="C65:D73" si="22">C64</f>
        <v>1.0018735403930583E-2</v>
      </c>
      <c r="D65" s="46">
        <f t="shared" si="22"/>
        <v>0.29599527422425154</v>
      </c>
      <c r="E65" s="7">
        <f>MAX((1-Parameters!$B$4)^Parameters!B$65*E64+B64*Parameters!B$65-Parameters!$B$5*B64^2/E64*Parameters!B$65,0.0001)</f>
        <v>0.76982461107192013</v>
      </c>
      <c r="F65" s="9">
        <f>MAX((1-Parameters!$B$4)^Parameters!B$65*F64+C64*Parameters!B$65-Parameters!$B$5*C64^2/F64*Parameters!B$65,0.0001)</f>
        <v>0.14853812692920104</v>
      </c>
      <c r="G65" s="7">
        <f>MAX((1-Parameters!$B$4)^Parameters!B$65*G64+D64*Parameters!B$65-Parameters!$B$5*D64^2/G64*Parameters!B$65,0.0001)</f>
        <v>4.3884332500533763</v>
      </c>
      <c r="I65" s="7">
        <f>I64*(1+Parameters!$B$51)^Parameters!B$65</f>
        <v>9.7365627874838783</v>
      </c>
      <c r="J65" s="7">
        <f>J64*(1+Parameters!$B$53)^Parameters!B$65</f>
        <v>30.198595726779693</v>
      </c>
      <c r="K65" s="7">
        <f>'6states'!$O$4</f>
        <v>0.98104277196026479</v>
      </c>
      <c r="L65" s="9">
        <f t="shared" si="7"/>
        <v>0.5</v>
      </c>
      <c r="M65" s="23">
        <f t="shared" si="3"/>
        <v>2</v>
      </c>
      <c r="N65" s="7">
        <f>(Parameters!$B$19*(E65+Parameters!$B$20)^L65+Parameters!$B$18*F65^L65)^(1/L65)</f>
        <v>0.53563134714200245</v>
      </c>
      <c r="O65" s="7">
        <f>(Parameters!$B$10*G65^Parameters!$B$9 + Parameters!$B$11*N65^Parameters!$B$9) ^ (Parameters!$B$7/Parameters!$B$9) * K65</f>
        <v>1.507064317623753</v>
      </c>
      <c r="P65" s="7">
        <f t="shared" si="1"/>
        <v>1.1491264202853384</v>
      </c>
      <c r="Q65" s="7">
        <f>EXP(-Parameters!$B$55*A65)</f>
        <v>0.39808091115496053</v>
      </c>
      <c r="R65" s="7">
        <f>IF(P65&gt;0,P65^(1-Parameters!$B$52)/(1-Parameters!$B$52)*Q65,-10+P65*1000)</f>
        <v>-1.0833644364042763</v>
      </c>
      <c r="S65" s="7"/>
      <c r="T65" s="7"/>
      <c r="U65" s="7"/>
      <c r="V65" s="7"/>
    </row>
    <row r="66" spans="1:22" x14ac:dyDescent="0.25">
      <c r="A66">
        <f>A65+Parameters!$B$65</f>
        <v>62</v>
      </c>
      <c r="B66" s="46">
        <f t="shared" ref="B66:B73" si="23">B65</f>
        <v>5.19238877102325E-2</v>
      </c>
      <c r="C66" s="46">
        <f t="shared" si="22"/>
        <v>1.0018735403930583E-2</v>
      </c>
      <c r="D66" s="46">
        <f t="shared" si="22"/>
        <v>0.29599527422425154</v>
      </c>
      <c r="E66" s="7">
        <f>MAX((1-Parameters!$B$4)^Parameters!B$65*E65+B65*Parameters!B$65-Parameters!$B$5*B65^2/E65*Parameters!B$65,0.0001)</f>
        <v>0.76982431728545675</v>
      </c>
      <c r="F66" s="9">
        <f>MAX((1-Parameters!$B$4)^Parameters!B$65*F65+C65*Parameters!B$65-Parameters!$B$5*C65^2/F65*Parameters!B$65,0.0001)</f>
        <v>0.14853806132292929</v>
      </c>
      <c r="G66" s="7">
        <f>MAX((1-Parameters!$B$4)^Parameters!B$65*G65+D65*Parameters!B$65-Parameters!$B$5*D65^2/G65*Parameters!B$65,0.0001)</f>
        <v>4.3884314983939063</v>
      </c>
      <c r="I66" s="7">
        <f>I65*(1+Parameters!$B$51)^Parameters!B$65</f>
        <v>9.7647988195675808</v>
      </c>
      <c r="J66" s="7">
        <f>J65*(1+Parameters!$B$53)^Parameters!B$65</f>
        <v>30.802567641315289</v>
      </c>
      <c r="K66" s="7">
        <f>'6states'!$O$4</f>
        <v>0.98104277196026479</v>
      </c>
      <c r="L66" s="9">
        <f t="shared" si="7"/>
        <v>0.5</v>
      </c>
      <c r="N66" s="7">
        <f>(Parameters!$B$19*(E66+Parameters!$B$20)^L66+Parameters!$B$18*F66^L66)^(1/L66)</f>
        <v>0.53563113978553967</v>
      </c>
      <c r="O66" s="7">
        <f>(Parameters!$B$10*G66^Parameters!$B$9 + Parameters!$B$11*N66^Parameters!$B$9) ^ (Parameters!$B$7/Parameters!$B$9) * K66</f>
        <v>1.5070641381082004</v>
      </c>
      <c r="P66" s="7">
        <f t="shared" si="1"/>
        <v>1.1491262407697858</v>
      </c>
      <c r="Q66" s="7">
        <f>EXP(-Parameters!$B$55*A66)</f>
        <v>0.39211504504167288</v>
      </c>
      <c r="R66" s="7">
        <f>IF(P66&gt;0,P66^(1-Parameters!$B$52)/(1-Parameters!$B$52)*Q66,-10+P66*1000)</f>
        <v>-1.0671285814021443</v>
      </c>
      <c r="S66" s="7"/>
      <c r="T66" s="7"/>
      <c r="U66" s="7"/>
      <c r="V66" s="7"/>
    </row>
    <row r="67" spans="1:22" x14ac:dyDescent="0.25">
      <c r="A67">
        <f>A66+Parameters!$B$65</f>
        <v>63</v>
      </c>
      <c r="B67" s="46">
        <f t="shared" si="23"/>
        <v>5.19238877102325E-2</v>
      </c>
      <c r="C67" s="46">
        <f t="shared" si="22"/>
        <v>1.0018735403930583E-2</v>
      </c>
      <c r="D67" s="46">
        <f t="shared" si="22"/>
        <v>0.29599527422425154</v>
      </c>
      <c r="E67" s="7">
        <f>MAX((1-Parameters!$B$4)^Parameters!B$65*E66+B66*Parameters!B$65-Parameters!$B$5*B66^2/E66*Parameters!B$65,0.0001)</f>
        <v>0.76982404064161947</v>
      </c>
      <c r="F67" s="9">
        <f>MAX((1-Parameters!$B$4)^Parameters!B$65*F66+C66*Parameters!B$65-Parameters!$B$5*C66^2/F66*Parameters!B$65,0.0001)</f>
        <v>0.14853799954482561</v>
      </c>
      <c r="G67" s="7">
        <f>MAX((1-Parameters!$B$4)^Parameters!B$65*G66+D66*Parameters!B$65-Parameters!$B$5*D66^2/G66*Parameters!B$65,0.0001)</f>
        <v>4.3884298489448792</v>
      </c>
      <c r="I67" s="7">
        <f>I66*(1+Parameters!$B$51)^Parameters!B$65</f>
        <v>9.7931167361443254</v>
      </c>
      <c r="J67" s="7">
        <f>J66*(1+Parameters!$B$53)^Parameters!B$65</f>
        <v>31.418618994141596</v>
      </c>
      <c r="K67" s="7">
        <f>'6states'!$O$4</f>
        <v>0.98104277196026479</v>
      </c>
      <c r="L67" s="9">
        <f t="shared" si="7"/>
        <v>0.5</v>
      </c>
      <c r="N67" s="7">
        <f>(Parameters!$B$19*(E67+Parameters!$B$20)^L67+Parameters!$B$18*F67^L67)^(1/L67)</f>
        <v>0.53563094452845805</v>
      </c>
      <c r="O67" s="7">
        <f>(Parameters!$B$10*G67^Parameters!$B$9 + Parameters!$B$11*N67^Parameters!$B$9) ^ (Parameters!$B$7/Parameters!$B$9) * K67</f>
        <v>1.5070639690674483</v>
      </c>
      <c r="P67" s="7">
        <f t="shared" si="1"/>
        <v>1.1491260717290337</v>
      </c>
      <c r="Q67" s="7">
        <f>EXP(-Parameters!$B$55*A67)</f>
        <v>0.38623858677860945</v>
      </c>
      <c r="R67" s="7">
        <f>IF(P67&gt;0,P67^(1-Parameters!$B$52)/(1-Parameters!$B$52)*Q67,-10+P67*1000)</f>
        <v>-1.051136041895411</v>
      </c>
      <c r="S67" s="7"/>
      <c r="T67" s="7"/>
      <c r="U67" s="7"/>
      <c r="V67" s="7"/>
    </row>
    <row r="68" spans="1:22" x14ac:dyDescent="0.25">
      <c r="A68">
        <f>A67+Parameters!$B$65</f>
        <v>64</v>
      </c>
      <c r="B68" s="46">
        <f t="shared" si="23"/>
        <v>5.19238877102325E-2</v>
      </c>
      <c r="C68" s="46">
        <f t="shared" si="22"/>
        <v>1.0018735403930583E-2</v>
      </c>
      <c r="D68" s="46">
        <f t="shared" si="22"/>
        <v>0.29599527422425154</v>
      </c>
      <c r="E68" s="7">
        <f>MAX((1-Parameters!$B$4)^Parameters!B$65*E67+B67*Parameters!B$65-Parameters!$B$5*B67^2/E67*Parameters!B$65,0.0001)</f>
        <v>0.7698237801401242</v>
      </c>
      <c r="F68" s="9">
        <f>MAX((1-Parameters!$B$4)^Parameters!B$65*F67+C67*Parameters!B$65-Parameters!$B$5*C67^2/F67*Parameters!B$65,0.0001)</f>
        <v>0.14853794137151372</v>
      </c>
      <c r="G68" s="7">
        <f>MAX((1-Parameters!$B$4)^Parameters!B$65*G67+D67*Parameters!B$65-Parameters!$B$5*D67^2/G67*Parameters!B$65,0.0001)</f>
        <v>4.3884282957422451</v>
      </c>
      <c r="I68" s="7">
        <f>I67*(1+Parameters!$B$51)^Parameters!B$65</f>
        <v>9.821516774679143</v>
      </c>
      <c r="J68" s="7">
        <f>J67*(1+Parameters!$B$53)^Parameters!B$65</f>
        <v>32.046991374024429</v>
      </c>
      <c r="K68" s="7">
        <f>'6states'!$O$4</f>
        <v>0.98104277196026479</v>
      </c>
      <c r="L68" s="9">
        <f t="shared" si="7"/>
        <v>0.5</v>
      </c>
      <c r="N68" s="7">
        <f>(Parameters!$B$19*(E68+Parameters!$B$20)^L68+Parameters!$B$18*F68^L68)^(1/L68)</f>
        <v>0.53563076066475035</v>
      </c>
      <c r="O68" s="7">
        <f>(Parameters!$B$10*G68^Parameters!$B$9 + Parameters!$B$11*N68^Parameters!$B$9) ^ (Parameters!$B$7/Parameters!$B$9) * K68</f>
        <v>1.5070638098902911</v>
      </c>
      <c r="P68" s="7">
        <f t="shared" ref="P68:P131" si="24">O68-B68-C68-D68</f>
        <v>1.1491259125518765</v>
      </c>
      <c r="Q68" s="7">
        <f>EXP(-Parameters!$B$55*A68)</f>
        <v>0.38045019644906247</v>
      </c>
      <c r="R68" s="7">
        <f>IF(P68&gt;0,P68^(1-Parameters!$B$52)/(1-Parameters!$B$52)*Q68,-10+P68*1000)</f>
        <v>-1.03538317172655</v>
      </c>
      <c r="S68" s="7"/>
      <c r="T68" s="7"/>
      <c r="U68" s="7"/>
      <c r="V68" s="7"/>
    </row>
    <row r="69" spans="1:22" x14ac:dyDescent="0.25">
      <c r="A69">
        <f>A68+Parameters!$B$65</f>
        <v>65</v>
      </c>
      <c r="B69" s="46">
        <f t="shared" si="23"/>
        <v>5.19238877102325E-2</v>
      </c>
      <c r="C69" s="46">
        <f t="shared" si="22"/>
        <v>1.0018735403930583E-2</v>
      </c>
      <c r="D69" s="46">
        <f t="shared" si="22"/>
        <v>0.29599527422425154</v>
      </c>
      <c r="E69" s="7">
        <f>MAX((1-Parameters!$B$4)^Parameters!B$65*E68+B68*Parameters!B$65-Parameters!$B$5*B68^2/E68*Parameters!B$65,0.0001)</f>
        <v>0.7698235348390543</v>
      </c>
      <c r="F69" s="9">
        <f>MAX((1-Parameters!$B$4)^Parameters!B$65*F68+C68*Parameters!B$65-Parameters!$B$5*C68^2/F68*Parameters!B$65,0.0001)</f>
        <v>0.14853788659265146</v>
      </c>
      <c r="G69" s="7">
        <f>MAX((1-Parameters!$B$4)^Parameters!B$65*G68+D68*Parameters!B$65-Parameters!$B$5*D68^2/G68*Parameters!B$65,0.0001)</f>
        <v>4.3884268331699605</v>
      </c>
      <c r="I69" s="7">
        <f>I68*(1+Parameters!$B$51)^Parameters!B$65</f>
        <v>9.8499991733257115</v>
      </c>
      <c r="J69" s="7">
        <f>J68*(1+Parameters!$B$53)^Parameters!B$65</f>
        <v>32.687931201504917</v>
      </c>
      <c r="K69" s="7">
        <f>'6states'!$O$4</f>
        <v>0.98104277196026479</v>
      </c>
      <c r="L69" s="9">
        <f t="shared" si="7"/>
        <v>0.5</v>
      </c>
      <c r="N69" s="7">
        <f>(Parameters!$B$19*(E69+Parameters!$B$20)^L69+Parameters!$B$18*F69^L69)^(1/L69)</f>
        <v>0.53563058752960524</v>
      </c>
      <c r="O69" s="7">
        <f>(Parameters!$B$10*G69^Parameters!$B$9 + Parameters!$B$11*N69^Parameters!$B$9) ^ (Parameters!$B$7/Parameters!$B$9) * K69</f>
        <v>1.5070636600011846</v>
      </c>
      <c r="P69" s="7">
        <f t="shared" si="24"/>
        <v>1.14912576266277</v>
      </c>
      <c r="Q69" s="7">
        <f>EXP(-Parameters!$B$55*A69)</f>
        <v>0.37474855421707526</v>
      </c>
      <c r="R69" s="7">
        <f>IF(P69&gt;0,P69^(1-Parameters!$B$52)/(1-Parameters!$B$52)*Q69,-10+P69*1000)</f>
        <v>-1.0198663793592189</v>
      </c>
      <c r="S69" s="7"/>
      <c r="T69" s="7"/>
      <c r="U69" s="7"/>
      <c r="V69" s="7"/>
    </row>
    <row r="70" spans="1:22" x14ac:dyDescent="0.25">
      <c r="A70">
        <f>A69+Parameters!$B$65</f>
        <v>66</v>
      </c>
      <c r="B70" s="46">
        <f t="shared" si="23"/>
        <v>5.19238877102325E-2</v>
      </c>
      <c r="C70" s="46">
        <f t="shared" si="22"/>
        <v>1.0018735403930583E-2</v>
      </c>
      <c r="D70" s="46">
        <f t="shared" si="22"/>
        <v>0.29599527422425154</v>
      </c>
      <c r="E70" s="7">
        <f>MAX((1-Parameters!$B$4)^Parameters!B$65*E69+B69*Parameters!B$65-Parameters!$B$5*B69^2/E69*Parameters!B$65,0.0001)</f>
        <v>0.7698233038514547</v>
      </c>
      <c r="F70" s="9">
        <f>MAX((1-Parameters!$B$4)^Parameters!B$65*F69+C69*Parameters!B$65-Parameters!$B$5*C69^2/F69*Parameters!B$65,0.0001)</f>
        <v>0.14853783501017037</v>
      </c>
      <c r="G70" s="7">
        <f>MAX((1-Parameters!$B$4)^Parameters!B$65*G69+D69*Parameters!B$65-Parameters!$B$5*D69^2/G69*Parameters!B$65,0.0001)</f>
        <v>4.388425455939684</v>
      </c>
      <c r="I70" s="7">
        <f>I69*(1+Parameters!$B$51)^Parameters!B$65</f>
        <v>9.8785641709283549</v>
      </c>
      <c r="J70" s="7">
        <f>J69*(1+Parameters!$B$53)^Parameters!B$65</f>
        <v>33.341689825535013</v>
      </c>
      <c r="K70" s="7">
        <f>'6states'!$O$4</f>
        <v>0.98104277196026479</v>
      </c>
      <c r="L70" s="9">
        <f t="shared" ref="L70:L133" si="25">L69</f>
        <v>0.5</v>
      </c>
      <c r="N70" s="7">
        <f>(Parameters!$B$19*(E70+Parameters!$B$20)^L70+Parameters!$B$18*F70^L70)^(1/L70)</f>
        <v>0.53563042449700382</v>
      </c>
      <c r="O70" s="7">
        <f>(Parameters!$B$10*G70^Parameters!$B$9 + Parameters!$B$11*N70^Parameters!$B$9) ^ (Parameters!$B$7/Parameters!$B$9) * K70</f>
        <v>1.5070635188581698</v>
      </c>
      <c r="P70" s="7">
        <f t="shared" si="24"/>
        <v>1.1491256215197552</v>
      </c>
      <c r="Q70" s="7">
        <f>EXP(-Parameters!$B$55*A70)</f>
        <v>0.36913236002650052</v>
      </c>
      <c r="R70" s="7">
        <f>IF(P70&gt;0,P70^(1-Parameters!$B$52)/(1-Parameters!$B$52)*Q70,-10+P70*1000)</f>
        <v>-1.0045821270612818</v>
      </c>
      <c r="S70" s="7"/>
      <c r="T70" s="7"/>
      <c r="U70" s="7"/>
      <c r="V70" s="7"/>
    </row>
    <row r="71" spans="1:22" x14ac:dyDescent="0.25">
      <c r="A71">
        <f>A70+Parameters!$B$65</f>
        <v>67</v>
      </c>
      <c r="B71" s="46">
        <f t="shared" si="23"/>
        <v>5.19238877102325E-2</v>
      </c>
      <c r="C71" s="46">
        <f t="shared" si="22"/>
        <v>1.0018735403930583E-2</v>
      </c>
      <c r="D71" s="46">
        <f t="shared" si="22"/>
        <v>0.29599527422425154</v>
      </c>
      <c r="E71" s="7">
        <f>MAX((1-Parameters!$B$4)^Parameters!B$65*E70+B70*Parameters!B$65-Parameters!$B$5*B70^2/E70*Parameters!B$65,0.0001)</f>
        <v>0.76982308634212493</v>
      </c>
      <c r="F71" s="9">
        <f>MAX((1-Parameters!$B$4)^Parameters!B$65*F70+C70*Parameters!B$65-Parameters!$B$5*C70^2/F70*Parameters!B$65,0.0001)</f>
        <v>0.14853778643755944</v>
      </c>
      <c r="G71" s="7">
        <f>MAX((1-Parameters!$B$4)^Parameters!B$65*G70+D70*Parameters!B$65-Parameters!$B$5*D70^2/G70*Parameters!B$65,0.0001)</f>
        <v>4.3884241590716524</v>
      </c>
      <c r="I71" s="7">
        <f>I70*(1+Parameters!$B$51)^Parameters!B$65</f>
        <v>9.9072120070240466</v>
      </c>
      <c r="J71" s="7">
        <f>J70*(1+Parameters!$B$53)^Parameters!B$65</f>
        <v>34.008523622045715</v>
      </c>
      <c r="K71" s="7">
        <f>'6states'!$O$4</f>
        <v>0.98104277196026479</v>
      </c>
      <c r="L71" s="9">
        <f t="shared" si="25"/>
        <v>0.5</v>
      </c>
      <c r="N71" s="7">
        <f>(Parameters!$B$19*(E71+Parameters!$B$20)^L71+Parameters!$B$18*F71^L71)^(1/L71)</f>
        <v>0.53563027097745608</v>
      </c>
      <c r="O71" s="7">
        <f>(Parameters!$B$10*G71^Parameters!$B$9 + Parameters!$B$11*N71^Parameters!$B$9) ^ (Parameters!$B$7/Parameters!$B$9) * K71</f>
        <v>1.5070633859509091</v>
      </c>
      <c r="P71" s="7">
        <f t="shared" si="24"/>
        <v>1.1491254886124944</v>
      </c>
      <c r="Q71" s="7">
        <f>EXP(-Parameters!$B$55*A71)</f>
        <v>0.3636003333045692</v>
      </c>
      <c r="R71" s="7">
        <f>IF(P71&gt;0,P71^(1-Parameters!$B$52)/(1-Parameters!$B$52)*Q71,-10+P71*1000)</f>
        <v>-0.98952693009996384</v>
      </c>
      <c r="S71" s="7"/>
      <c r="T71" s="7"/>
      <c r="U71" s="7"/>
      <c r="V71" s="7"/>
    </row>
    <row r="72" spans="1:22" x14ac:dyDescent="0.25">
      <c r="A72">
        <f>A71+Parameters!$B$65</f>
        <v>68</v>
      </c>
      <c r="B72" s="46">
        <f t="shared" si="23"/>
        <v>5.19238877102325E-2</v>
      </c>
      <c r="C72" s="46">
        <f t="shared" si="22"/>
        <v>1.0018735403930583E-2</v>
      </c>
      <c r="D72" s="46">
        <f t="shared" si="22"/>
        <v>0.29599527422425154</v>
      </c>
      <c r="E72" s="7">
        <f>MAX((1-Parameters!$B$4)^Parameters!B$65*E71+B71*Parameters!B$65-Parameters!$B$5*B71^2/E71*Parameters!B$65,0.0001)</f>
        <v>0.76982288152459888</v>
      </c>
      <c r="F72" s="9">
        <f>MAX((1-Parameters!$B$4)^Parameters!B$65*F71+C71*Parameters!B$65-Parameters!$B$5*C71^2/F71*Parameters!B$65,0.0001)</f>
        <v>0.14853774069919071</v>
      </c>
      <c r="G72" s="7">
        <f>MAX((1-Parameters!$B$4)^Parameters!B$65*G71+D71*Parameters!B$65-Parameters!$B$5*D71^2/G71*Parameters!B$65,0.0001)</f>
        <v>4.3884229378766735</v>
      </c>
      <c r="I72" s="7">
        <f>I71*(1+Parameters!$B$51)^Parameters!B$65</f>
        <v>9.9359429218444149</v>
      </c>
      <c r="J72" s="7">
        <f>J71*(1+Parameters!$B$53)^Parameters!B$65</f>
        <v>34.688694094486628</v>
      </c>
      <c r="K72" s="7">
        <f>'6states'!$O$4</f>
        <v>0.98104277196026479</v>
      </c>
      <c r="L72" s="9">
        <f t="shared" si="25"/>
        <v>0.5</v>
      </c>
      <c r="N72" s="7">
        <f>(Parameters!$B$19*(E72+Parameters!$B$20)^L72+Parameters!$B$18*F72^L72)^(1/L72)</f>
        <v>0.53563012641586871</v>
      </c>
      <c r="O72" s="7">
        <f>(Parameters!$B$10*G72^Parameters!$B$9 + Parameters!$B$11*N72^Parameters!$B$9) ^ (Parameters!$B$7/Parameters!$B$9) * K72</f>
        <v>1.5070632607988448</v>
      </c>
      <c r="P72" s="7">
        <f t="shared" si="24"/>
        <v>1.1491253634604301</v>
      </c>
      <c r="Q72" s="7">
        <f>EXP(-Parameters!$B$55*A72)</f>
        <v>0.35815121266990152</v>
      </c>
      <c r="R72" s="7">
        <f>IF(P72&gt;0,P72^(1-Parameters!$B$52)/(1-Parameters!$B$52)*Q72,-10+P72*1000)</f>
        <v>-0.97469735594895335</v>
      </c>
      <c r="S72" s="7"/>
      <c r="T72" s="7"/>
      <c r="U72" s="7"/>
      <c r="V72" s="7"/>
    </row>
    <row r="73" spans="1:22" x14ac:dyDescent="0.25">
      <c r="A73">
        <f>A72+Parameters!$B$65</f>
        <v>69</v>
      </c>
      <c r="B73" s="46">
        <f t="shared" si="23"/>
        <v>5.19238877102325E-2</v>
      </c>
      <c r="C73" s="46">
        <f t="shared" si="22"/>
        <v>1.0018735403930583E-2</v>
      </c>
      <c r="D73" s="46">
        <f t="shared" si="22"/>
        <v>0.29599527422425154</v>
      </c>
      <c r="E73" s="7">
        <f>MAX((1-Parameters!$B$4)^Parameters!B$65*E72+B72*Parameters!B$65-Parameters!$B$5*B72^2/E72*Parameters!B$65,0.0001)</f>
        <v>0.76982268865830161</v>
      </c>
      <c r="F73" s="9">
        <f>MAX((1-Parameters!$B$4)^Parameters!B$65*F72+C72*Parameters!B$65-Parameters!$B$5*C72^2/F72*Parameters!B$65,0.0001)</f>
        <v>0.14853769762968422</v>
      </c>
      <c r="G73" s="7">
        <f>MAX((1-Parameters!$B$4)^Parameters!B$65*G72+D72*Parameters!B$65-Parameters!$B$5*D72^2/G72*Parameters!B$65,0.0001)</f>
        <v>4.3884217879391754</v>
      </c>
      <c r="I73" s="7">
        <f>I72*(1+Parameters!$B$51)^Parameters!B$65</f>
        <v>9.9647571563177628</v>
      </c>
      <c r="J73" s="7">
        <f>J72*(1+Parameters!$B$53)^Parameters!B$65</f>
        <v>35.382467976376361</v>
      </c>
      <c r="K73" s="7">
        <f>'6states'!$O$4</f>
        <v>0.98104277196026479</v>
      </c>
      <c r="L73" s="9">
        <f t="shared" si="25"/>
        <v>0.5</v>
      </c>
      <c r="N73" s="7">
        <f>(Parameters!$B$19*(E73+Parameters!$B$20)^L73+Parameters!$B$18*F73^L73)^(1/L73)</f>
        <v>0.53562999028953917</v>
      </c>
      <c r="O73" s="7">
        <f>(Parameters!$B$10*G73^Parameters!$B$9 + Parameters!$B$11*N73^Parameters!$B$9) ^ (Parameters!$B$7/Parameters!$B$9) * K73</f>
        <v>1.5070631429494581</v>
      </c>
      <c r="P73" s="7">
        <f t="shared" si="24"/>
        <v>1.1491252456110435</v>
      </c>
      <c r="Q73" s="7">
        <f>EXP(-Parameters!$B$55*A73)</f>
        <v>0.35278375564489362</v>
      </c>
      <c r="R73" s="7">
        <f>IF(P73&gt;0,P73^(1-Parameters!$B$52)/(1-Parameters!$B$52)*Q73,-10+P73*1000)</f>
        <v>-0.96009002350729233</v>
      </c>
      <c r="S73" s="7"/>
      <c r="T73" s="7"/>
      <c r="U73" s="7"/>
      <c r="V73" s="7"/>
    </row>
    <row r="74" spans="1:22" x14ac:dyDescent="0.25">
      <c r="A74">
        <f>A73+Parameters!$B$65</f>
        <v>70</v>
      </c>
      <c r="B74" s="19">
        <v>5.1923951975726516E-2</v>
      </c>
      <c r="C74" s="19">
        <v>1.0018754504738657E-2</v>
      </c>
      <c r="D74" s="18">
        <v>0.29599585186736171</v>
      </c>
      <c r="E74" s="7">
        <f>MAX((1-Parameters!$B$4)^Parameters!B$65*E73+B73*Parameters!B$65-Parameters!$B$5*B73^2/E73*Parameters!B$65,0.0001)</f>
        <v>0.76982250704587096</v>
      </c>
      <c r="F74" s="9">
        <f>MAX((1-Parameters!$B$4)^Parameters!B$65*F73+C73*Parameters!B$65-Parameters!$B$5*C73^2/F73*Parameters!B$65,0.0001)</f>
        <v>0.1485376570733101</v>
      </c>
      <c r="G74" s="7">
        <f>MAX((1-Parameters!$B$4)^Parameters!B$65*G73+D73*Parameters!B$65-Parameters!$B$5*D73^2/G73*Parameters!B$65,0.0001)</f>
        <v>4.3884207051012378</v>
      </c>
      <c r="I74" s="7">
        <f>I73*(1+Parameters!$B$51)^Parameters!B$65</f>
        <v>9.9936549520710827</v>
      </c>
      <c r="J74" s="7">
        <f>J73*(1+Parameters!$B$53)^Parameters!B$65</f>
        <v>36.090117335903891</v>
      </c>
      <c r="K74" s="7">
        <f>'6states'!$O$4</f>
        <v>0.98104277196026479</v>
      </c>
      <c r="L74" s="9">
        <f t="shared" si="25"/>
        <v>0.5</v>
      </c>
      <c r="N74" s="7">
        <f>(Parameters!$B$19*(E74+Parameters!$B$20)^L74+Parameters!$B$18*F74^L74)^(1/L74)</f>
        <v>0.53562986210626462</v>
      </c>
      <c r="O74" s="7">
        <f>(Parameters!$B$10*G74^Parameters!$B$9 + Parameters!$B$11*N74^Parameters!$B$9) ^ (Parameters!$B$7/Parameters!$B$9) * K74</f>
        <v>1.5070630319766358</v>
      </c>
      <c r="P74" s="7">
        <f t="shared" si="24"/>
        <v>1.1491244736288091</v>
      </c>
      <c r="Q74" s="7">
        <f>EXP(-Parameters!$B$55*A74)</f>
        <v>0.34749673837241518</v>
      </c>
      <c r="R74" s="7">
        <f>IF(P74&gt;0,P74^(1-Parameters!$B$52)/(1-Parameters!$B$52)*Q74,-10+P74*1000)</f>
        <v>-0.94570179272799737</v>
      </c>
      <c r="S74" s="7"/>
      <c r="T74" s="7"/>
      <c r="U74" s="7"/>
      <c r="V74" s="7"/>
    </row>
    <row r="75" spans="1:22" x14ac:dyDescent="0.25">
      <c r="A75">
        <f>A74+Parameters!$B$65</f>
        <v>71</v>
      </c>
      <c r="B75" s="46">
        <f>B74</f>
        <v>5.1923951975726516E-2</v>
      </c>
      <c r="C75" s="46">
        <f t="shared" ref="C75:D83" si="26">C74</f>
        <v>1.0018754504738657E-2</v>
      </c>
      <c r="D75" s="46">
        <f t="shared" si="26"/>
        <v>0.29599585186736171</v>
      </c>
      <c r="E75" s="7">
        <f>MAX((1-Parameters!$B$4)^Parameters!B$65*E74+B74*Parameters!B$65-Parameters!$B$5*B74^2/E74*Parameters!B$65,0.0001)</f>
        <v>0.76982239162681698</v>
      </c>
      <c r="F75" s="9">
        <f>MAX((1-Parameters!$B$4)^Parameters!B$65*F74+C74*Parameters!B$65-Parameters!$B$5*C74^2/F74*Parameters!B$65,0.0001)</f>
        <v>0.14853763540756534</v>
      </c>
      <c r="G75" s="7">
        <f>MAX((1-Parameters!$B$4)^Parameters!B$65*G74+D74*Parameters!B$65-Parameters!$B$5*D74^2/G74*Parameters!B$65,0.0001)</f>
        <v>4.3884201851675098</v>
      </c>
      <c r="I75" s="7">
        <f>I74*(1+Parameters!$B$51)^Parameters!B$65</f>
        <v>10.022636551432088</v>
      </c>
      <c r="J75" s="7">
        <f>J74*(1+Parameters!$B$53)^Parameters!B$65</f>
        <v>36.811919682621969</v>
      </c>
      <c r="K75" s="7">
        <f>'6states'!$O$4</f>
        <v>0.98104277196026479</v>
      </c>
      <c r="L75" s="9">
        <f t="shared" si="25"/>
        <v>0.5</v>
      </c>
      <c r="N75" s="7">
        <f>(Parameters!$B$19*(E75+Parameters!$B$20)^L75+Parameters!$B$18*F75^L75)^(1/L75)</f>
        <v>0.53562978301334929</v>
      </c>
      <c r="O75" s="7">
        <f>(Parameters!$B$10*G75^Parameters!$B$9 + Parameters!$B$11*N75^Parameters!$B$9) ^ (Parameters!$B$7/Parameters!$B$9) * K75</f>
        <v>1.5070629761062682</v>
      </c>
      <c r="P75" s="7">
        <f t="shared" si="24"/>
        <v>1.1491244177584414</v>
      </c>
      <c r="Q75" s="7">
        <f>EXP(-Parameters!$B$55*A75)</f>
        <v>0.34228895533675241</v>
      </c>
      <c r="R75" s="7">
        <f>IF(P75&gt;0,P75^(1-Parameters!$B$52)/(1-Parameters!$B$52)*Q75,-10+P75*1000)</f>
        <v>-0.93152898561740516</v>
      </c>
      <c r="S75" s="7"/>
      <c r="T75" s="7"/>
      <c r="U75" s="7"/>
      <c r="V75" s="7"/>
    </row>
    <row r="76" spans="1:22" x14ac:dyDescent="0.25">
      <c r="A76">
        <f>A75+Parameters!$B$65</f>
        <v>72</v>
      </c>
      <c r="B76" s="46">
        <f t="shared" ref="B76:B83" si="27">B75</f>
        <v>5.1923951975726516E-2</v>
      </c>
      <c r="C76" s="46">
        <f t="shared" si="26"/>
        <v>1.0018754504738657E-2</v>
      </c>
      <c r="D76" s="46">
        <f t="shared" si="26"/>
        <v>0.29599585186736171</v>
      </c>
      <c r="E76" s="7">
        <f>MAX((1-Parameters!$B$4)^Parameters!B$65*E75+B75*Parameters!B$65-Parameters!$B$5*B75^2/E75*Parameters!B$65,0.0001)</f>
        <v>0.76982228294253385</v>
      </c>
      <c r="F76" s="9">
        <f>MAX((1-Parameters!$B$4)^Parameters!B$65*F75+C75*Parameters!B$65-Parameters!$B$5*C75^2/F75*Parameters!B$65,0.0001)</f>
        <v>0.14853761500602972</v>
      </c>
      <c r="G76" s="7">
        <f>MAX((1-Parameters!$B$4)^Parameters!B$65*G75+D75*Parameters!B$65-Parameters!$B$5*D75^2/G75*Parameters!B$65,0.0001)</f>
        <v>4.3884196955722228</v>
      </c>
      <c r="I76" s="7">
        <f>I75*(1+Parameters!$B$51)^Parameters!B$65</f>
        <v>10.05170219743124</v>
      </c>
      <c r="J76" s="7">
        <f>J75*(1+Parameters!$B$53)^Parameters!B$65</f>
        <v>37.548158076274412</v>
      </c>
      <c r="K76" s="7">
        <f>'6states'!$O$4</f>
        <v>0.98104277196026479</v>
      </c>
      <c r="L76" s="9">
        <f t="shared" si="25"/>
        <v>0.5</v>
      </c>
      <c r="N76" s="7">
        <f>(Parameters!$B$19*(E76+Parameters!$B$20)^L76+Parameters!$B$18*F76^L76)^(1/L76)</f>
        <v>0.53562970853555281</v>
      </c>
      <c r="O76" s="7">
        <f>(Parameters!$B$10*G76^Parameters!$B$9 + Parameters!$B$11*N76^Parameters!$B$9) ^ (Parameters!$B$7/Parameters!$B$9) * K76</f>
        <v>1.5070629234959652</v>
      </c>
      <c r="P76" s="7">
        <f t="shared" si="24"/>
        <v>1.1491243651481384</v>
      </c>
      <c r="Q76" s="7">
        <f>EXP(-Parameters!$B$55*A76)</f>
        <v>0.33715921908873309</v>
      </c>
      <c r="R76" s="7">
        <f>IF(P76&gt;0,P76^(1-Parameters!$B$52)/(1-Parameters!$B$52)*Q76,-10+P76*1000)</f>
        <v>-0.91756857907675038</v>
      </c>
      <c r="S76" s="7"/>
      <c r="T76" s="7"/>
      <c r="U76" s="7"/>
      <c r="V76" s="7"/>
    </row>
    <row r="77" spans="1:22" x14ac:dyDescent="0.25">
      <c r="A77">
        <f>A76+Parameters!$B$65</f>
        <v>73</v>
      </c>
      <c r="B77" s="46">
        <f t="shared" si="27"/>
        <v>5.1923951975726516E-2</v>
      </c>
      <c r="C77" s="46">
        <f t="shared" si="26"/>
        <v>1.0018754504738657E-2</v>
      </c>
      <c r="D77" s="46">
        <f t="shared" si="26"/>
        <v>0.29599585186736171</v>
      </c>
      <c r="E77" s="7">
        <f>MAX((1-Parameters!$B$4)^Parameters!B$65*E76+B76*Parameters!B$65-Parameters!$B$5*B76^2/E76*Parameters!B$65,0.0001)</f>
        <v>0.76982218060004348</v>
      </c>
      <c r="F77" s="9">
        <f>MAX((1-Parameters!$B$4)^Parameters!B$65*F76+C76*Parameters!B$65-Parameters!$B$5*C76^2/F76*Parameters!B$65,0.0001)</f>
        <v>0.14853759579493586</v>
      </c>
      <c r="G77" s="7">
        <f>MAX((1-Parameters!$B$4)^Parameters!B$65*G76+D76*Parameters!B$65-Parameters!$B$5*D76^2/G76*Parameters!B$65,0.0001)</f>
        <v>4.3884192345451112</v>
      </c>
      <c r="I77" s="7">
        <f>I76*(1+Parameters!$B$51)^Parameters!B$65</f>
        <v>10.08085213380379</v>
      </c>
      <c r="J77" s="7">
        <f>J76*(1+Parameters!$B$53)^Parameters!B$65</f>
        <v>38.299121237799902</v>
      </c>
      <c r="K77" s="7">
        <f>'6states'!$O$4</f>
        <v>0.98104277196026479</v>
      </c>
      <c r="L77" s="9">
        <f t="shared" si="25"/>
        <v>0.5</v>
      </c>
      <c r="N77" s="7">
        <f>(Parameters!$B$19*(E77+Parameters!$B$20)^L77+Parameters!$B$18*F77^L77)^(1/L77)</f>
        <v>0.53562963840358024</v>
      </c>
      <c r="O77" s="7">
        <f>(Parameters!$B$10*G77^Parameters!$B$9 + Parameters!$B$11*N77^Parameters!$B$9) ^ (Parameters!$B$7/Parameters!$B$9) * K77</f>
        <v>1.5070628739555001</v>
      </c>
      <c r="P77" s="7">
        <f t="shared" si="24"/>
        <v>1.1491243156076734</v>
      </c>
      <c r="Q77" s="7">
        <f>EXP(-Parameters!$B$55*A77)</f>
        <v>0.33210635997497118</v>
      </c>
      <c r="R77" s="7">
        <f>IF(P77&gt;0,P77^(1-Parameters!$B$52)/(1-Parameters!$B$52)*Q77,-10+P77*1000)</f>
        <v>-0.90381739003396733</v>
      </c>
      <c r="S77" s="7"/>
      <c r="T77" s="7"/>
      <c r="U77" s="7"/>
      <c r="V77" s="7"/>
    </row>
    <row r="78" spans="1:22" x14ac:dyDescent="0.25">
      <c r="A78">
        <f>A77+Parameters!$B$65</f>
        <v>74</v>
      </c>
      <c r="B78" s="46">
        <f t="shared" si="27"/>
        <v>5.1923951975726516E-2</v>
      </c>
      <c r="C78" s="46">
        <f t="shared" si="26"/>
        <v>1.0018754504738657E-2</v>
      </c>
      <c r="D78" s="46">
        <f t="shared" si="26"/>
        <v>0.29599585186736171</v>
      </c>
      <c r="E78" s="7">
        <f>MAX((1-Parameters!$B$4)^Parameters!B$65*E77+B77*Parameters!B$65-Parameters!$B$5*B77^2/E77*Parameters!B$65,0.0001)</f>
        <v>0.76982208422929821</v>
      </c>
      <c r="F78" s="9">
        <f>MAX((1-Parameters!$B$4)^Parameters!B$65*F77+C77*Parameters!B$65-Parameters!$B$5*C77^2/F77*Parameters!B$65,0.0001)</f>
        <v>0.14853757770482076</v>
      </c>
      <c r="G78" s="7">
        <f>MAX((1-Parameters!$B$4)^Parameters!B$65*G77+D77*Parameters!B$65-Parameters!$B$5*D77^2/G77*Parameters!B$65,0.0001)</f>
        <v>4.3884188004192044</v>
      </c>
      <c r="I78" s="7">
        <f>I77*(1+Parameters!$B$51)^Parameters!B$65</f>
        <v>10.110086604991819</v>
      </c>
      <c r="J78" s="7">
        <f>J77*(1+Parameters!$B$53)^Parameters!B$65</f>
        <v>39.065103662555899</v>
      </c>
      <c r="K78" s="7">
        <f>'6states'!$O$4</f>
        <v>0.98104277196026479</v>
      </c>
      <c r="L78" s="9">
        <f t="shared" si="25"/>
        <v>0.5</v>
      </c>
      <c r="N78" s="7">
        <f>(Parameters!$B$19*(E78+Parameters!$B$20)^L78+Parameters!$B$18*F78^L78)^(1/L78)</f>
        <v>0.53562957236385011</v>
      </c>
      <c r="O78" s="7">
        <f>(Parameters!$B$10*G78^Parameters!$B$9 + Parameters!$B$11*N78^Parameters!$B$9) ^ (Parameters!$B$7/Parameters!$B$9) * K78</f>
        <v>1.5070628273057469</v>
      </c>
      <c r="P78" s="7">
        <f t="shared" si="24"/>
        <v>1.1491242689579202</v>
      </c>
      <c r="Q78" s="7">
        <f>EXP(-Parameters!$B$55*A78)</f>
        <v>0.32712922587116899</v>
      </c>
      <c r="R78" s="7">
        <f>IF(P78&gt;0,P78^(1-Parameters!$B$52)/(1-Parameters!$B$52)*Q78,-10+P78*1000)</f>
        <v>-0.89027228311427953</v>
      </c>
      <c r="S78" s="7"/>
      <c r="T78" s="7"/>
      <c r="U78" s="7"/>
      <c r="V78" s="7"/>
    </row>
    <row r="79" spans="1:22" x14ac:dyDescent="0.25">
      <c r="A79">
        <f>A78+Parameters!$B$65</f>
        <v>75</v>
      </c>
      <c r="B79" s="46">
        <f t="shared" si="27"/>
        <v>5.1923951975726516E-2</v>
      </c>
      <c r="C79" s="46">
        <f t="shared" si="26"/>
        <v>1.0018754504738657E-2</v>
      </c>
      <c r="D79" s="46">
        <f t="shared" si="26"/>
        <v>0.29599585186736171</v>
      </c>
      <c r="E79" s="7">
        <f>MAX((1-Parameters!$B$4)^Parameters!B$65*E78+B78*Parameters!B$65-Parameters!$B$5*B78^2/E78*Parameters!B$65,0.0001)</f>
        <v>0.76982199348184321</v>
      </c>
      <c r="F79" s="9">
        <f>MAX((1-Parameters!$B$4)^Parameters!B$65*F78+C78*Parameters!B$65-Parameters!$B$5*C78^2/F78*Parameters!B$65,0.0001)</f>
        <v>0.1485375606702746</v>
      </c>
      <c r="G79" s="7">
        <f>MAX((1-Parameters!$B$4)^Parameters!B$65*G78+D78*Parameters!B$65-Parameters!$B$5*D78^2/G78*Parameters!B$65,0.0001)</f>
        <v>4.3884183916247999</v>
      </c>
      <c r="I79" s="7">
        <f>I78*(1+Parameters!$B$51)^Parameters!B$65</f>
        <v>10.139405856146295</v>
      </c>
      <c r="J79" s="7">
        <f>J78*(1+Parameters!$B$53)^Parameters!B$65</f>
        <v>39.846405735807018</v>
      </c>
      <c r="K79" s="7">
        <f>'6states'!$O$4</f>
        <v>0.98104277196026479</v>
      </c>
      <c r="L79" s="9">
        <f t="shared" si="25"/>
        <v>0.5</v>
      </c>
      <c r="N79" s="7">
        <f>(Parameters!$B$19*(E79+Parameters!$B$20)^L79+Parameters!$B$18*F79^L79)^(1/L79)</f>
        <v>0.53562951017757721</v>
      </c>
      <c r="O79" s="7">
        <f>(Parameters!$B$10*G79^Parameters!$B$9 + Parameters!$B$11*N79^Parameters!$B$9) ^ (Parameters!$B$7/Parameters!$B$9) * K79</f>
        <v>1.5070627833780312</v>
      </c>
      <c r="P79" s="7">
        <f t="shared" si="24"/>
        <v>1.1491242250302045</v>
      </c>
      <c r="Q79" s="7">
        <f>EXP(-Parameters!$B$55*A79)</f>
        <v>0.32222668191941661</v>
      </c>
      <c r="R79" s="7">
        <f>IF(P79&gt;0,P79^(1-Parameters!$B$52)/(1-Parameters!$B$52)*Q79,-10+P79*1000)</f>
        <v>-0.87693016992582018</v>
      </c>
      <c r="S79" s="7"/>
      <c r="T79" s="7"/>
      <c r="U79" s="7"/>
      <c r="V79" s="7"/>
    </row>
    <row r="80" spans="1:22" x14ac:dyDescent="0.25">
      <c r="A80">
        <f>A79+Parameters!$B$65</f>
        <v>76</v>
      </c>
      <c r="B80" s="46">
        <f t="shared" si="27"/>
        <v>5.1923951975726516E-2</v>
      </c>
      <c r="C80" s="46">
        <f t="shared" si="26"/>
        <v>1.0018754504738657E-2</v>
      </c>
      <c r="D80" s="46">
        <f t="shared" si="26"/>
        <v>0.29599585186736171</v>
      </c>
      <c r="E80" s="7">
        <f>MAX((1-Parameters!$B$4)^Parameters!B$65*E79+B79*Parameters!B$65-Parameters!$B$5*B79^2/E79*Parameters!B$65,0.0001)</f>
        <v>0.76982190802955608</v>
      </c>
      <c r="F80" s="9">
        <f>MAX((1-Parameters!$B$4)^Parameters!B$65*F79+C79*Parameters!B$65-Parameters!$B$5*C79^2/F79*Parameters!B$65,0.0001)</f>
        <v>0.14853754462970428</v>
      </c>
      <c r="G80" s="7">
        <f>MAX((1-Parameters!$B$4)^Parameters!B$65*G79+D79*Parameters!B$65-Parameters!$B$5*D79^2/G79*Parameters!B$65,0.0001)</f>
        <v>4.3884180066837892</v>
      </c>
      <c r="I80" s="7">
        <f>I79*(1+Parameters!$B$51)^Parameters!B$65</f>
        <v>10.168810133129119</v>
      </c>
      <c r="J80" s="7">
        <f>J79*(1+Parameters!$B$53)^Parameters!B$65</f>
        <v>40.643333850523156</v>
      </c>
      <c r="K80" s="7">
        <f>'6states'!$O$4</f>
        <v>0.98104277196026479</v>
      </c>
      <c r="L80" s="9">
        <f t="shared" si="25"/>
        <v>0.5</v>
      </c>
      <c r="N80" s="7">
        <f>(Parameters!$B$19*(E80+Parameters!$B$20)^L80+Parameters!$B$18*F80^L80)^(1/L80)</f>
        <v>0.53562945161991016</v>
      </c>
      <c r="O80" s="7">
        <f>(Parameters!$B$10*G80^Parameters!$B$9 + Parameters!$B$11*N80^Parameters!$B$9) ^ (Parameters!$B$7/Parameters!$B$9) * K80</f>
        <v>1.5070627420135208</v>
      </c>
      <c r="P80" s="7">
        <f t="shared" si="24"/>
        <v>1.149124183665694</v>
      </c>
      <c r="Q80" s="7">
        <f>EXP(-Parameters!$B$55*A80)</f>
        <v>0.31739761026942775</v>
      </c>
      <c r="R80" s="7">
        <f>IF(P80&gt;0,P80^(1-Parameters!$B$52)/(1-Parameters!$B$52)*Q80,-10+P80*1000)</f>
        <v>-0.86378800835592362</v>
      </c>
      <c r="S80" s="7"/>
      <c r="T80" s="7"/>
      <c r="U80" s="7"/>
      <c r="V80" s="7"/>
    </row>
    <row r="81" spans="1:22" x14ac:dyDescent="0.25">
      <c r="A81">
        <f>A80+Parameters!$B$65</f>
        <v>77</v>
      </c>
      <c r="B81" s="46">
        <f t="shared" si="27"/>
        <v>5.1923951975726516E-2</v>
      </c>
      <c r="C81" s="46">
        <f t="shared" si="26"/>
        <v>1.0018754504738657E-2</v>
      </c>
      <c r="D81" s="46">
        <f t="shared" si="26"/>
        <v>0.29599585186736171</v>
      </c>
      <c r="E81" s="7">
        <f>MAX((1-Parameters!$B$4)^Parameters!B$65*E80+B80*Parameters!B$65-Parameters!$B$5*B80^2/E80*Parameters!B$65,0.0001)</f>
        <v>0.7698218275634604</v>
      </c>
      <c r="F81" s="9">
        <f>MAX((1-Parameters!$B$4)^Parameters!B$65*F80+C80*Parameters!B$65-Parameters!$B$5*C80^2/F80*Parameters!B$65,0.0001)</f>
        <v>0.14853752952511073</v>
      </c>
      <c r="G81" s="7">
        <f>MAX((1-Parameters!$B$4)^Parameters!B$65*G80+D80*Parameters!B$65-Parameters!$B$5*D80^2/G80*Parameters!B$65,0.0001)</f>
        <v>4.3884176442043135</v>
      </c>
      <c r="I81" s="7">
        <f>I80*(1+Parameters!$B$51)^Parameters!B$65</f>
        <v>10.198299682515193</v>
      </c>
      <c r="J81" s="7">
        <f>J80*(1+Parameters!$B$53)^Parameters!B$65</f>
        <v>41.456200527533618</v>
      </c>
      <c r="K81" s="7">
        <f>'6states'!$O$4</f>
        <v>0.98104277196026479</v>
      </c>
      <c r="L81" s="9">
        <f t="shared" si="25"/>
        <v>0.5</v>
      </c>
      <c r="N81" s="7">
        <f>(Parameters!$B$19*(E81+Parameters!$B$20)^L81+Parameters!$B$18*F81^L81)^(1/L81)</f>
        <v>0.535629396479118</v>
      </c>
      <c r="O81" s="7">
        <f>(Parameters!$B$10*G81^Parameters!$B$9 + Parameters!$B$11*N81^Parameters!$B$9) ^ (Parameters!$B$7/Parameters!$B$9) * K81</f>
        <v>1.5070627030626511</v>
      </c>
      <c r="P81" s="7">
        <f t="shared" si="24"/>
        <v>1.1491241447148244</v>
      </c>
      <c r="Q81" s="7">
        <f>EXP(-Parameters!$B$55*A81)</f>
        <v>0.31264090982365395</v>
      </c>
      <c r="R81" s="7">
        <f>IF(P81&gt;0,P81^(1-Parameters!$B$52)/(1-Parameters!$B$52)*Q81,-10+P81*1000)</f>
        <v>-0.8508428018779356</v>
      </c>
      <c r="S81" s="7"/>
      <c r="T81" s="7"/>
      <c r="U81" s="7"/>
      <c r="V81" s="7"/>
    </row>
    <row r="82" spans="1:22" x14ac:dyDescent="0.25">
      <c r="A82">
        <f>A81+Parameters!$B$65</f>
        <v>78</v>
      </c>
      <c r="B82" s="46">
        <f t="shared" si="27"/>
        <v>5.1923951975726516E-2</v>
      </c>
      <c r="C82" s="46">
        <f t="shared" si="26"/>
        <v>1.0018754504738657E-2</v>
      </c>
      <c r="D82" s="46">
        <f t="shared" si="26"/>
        <v>0.29599585186736171</v>
      </c>
      <c r="E82" s="7">
        <f>MAX((1-Parameters!$B$4)^Parameters!B$65*E81+B81*Parameters!B$65-Parameters!$B$5*B81^2/E81*Parameters!B$65,0.0001)</f>
        <v>0.76982175179260903</v>
      </c>
      <c r="F82" s="9">
        <f>MAX((1-Parameters!$B$4)^Parameters!B$65*F81+C81*Parameters!B$65-Parameters!$B$5*C81^2/F81*Parameters!B$65,0.0001)</f>
        <v>0.14853751530187914</v>
      </c>
      <c r="G82" s="7">
        <f>MAX((1-Parameters!$B$4)^Parameters!B$65*G81+D81*Parameters!B$65-Parameters!$B$5*D81^2/G81*Parameters!B$65,0.0001)</f>
        <v>4.3884173028757285</v>
      </c>
      <c r="I82" s="7">
        <f>I81*(1+Parameters!$B$51)^Parameters!B$65</f>
        <v>10.227874751594486</v>
      </c>
      <c r="J82" s="7">
        <f>J81*(1+Parameters!$B$53)^Parameters!B$65</f>
        <v>42.285324538084289</v>
      </c>
      <c r="K82" s="7">
        <f>'6states'!$O$4</f>
        <v>0.98104277196026479</v>
      </c>
      <c r="L82" s="9">
        <f t="shared" si="25"/>
        <v>0.5</v>
      </c>
      <c r="N82" s="7">
        <f>(Parameters!$B$19*(E82+Parameters!$B$20)^L82+Parameters!$B$18*F82^L82)^(1/L82)</f>
        <v>0.53562934455582334</v>
      </c>
      <c r="O82" s="7">
        <f>(Parameters!$B$10*G82^Parameters!$B$9 + Parameters!$B$11*N82^Parameters!$B$9) ^ (Parameters!$B$7/Parameters!$B$9) * K82</f>
        <v>1.5070626663845854</v>
      </c>
      <c r="P82" s="7">
        <f t="shared" si="24"/>
        <v>1.1491241080367587</v>
      </c>
      <c r="Q82" s="7">
        <f>EXP(-Parameters!$B$55*A82)</f>
        <v>0.30795549598621846</v>
      </c>
      <c r="R82" s="7">
        <f>IF(P82&gt;0,P82^(1-Parameters!$B$52)/(1-Parameters!$B$52)*Q82,-10+P82*1000)</f>
        <v>-0.83809159886838402</v>
      </c>
      <c r="S82" s="7"/>
      <c r="T82" s="7"/>
      <c r="U82" s="7"/>
      <c r="V82" s="7"/>
    </row>
    <row r="83" spans="1:22" x14ac:dyDescent="0.25">
      <c r="A83">
        <f>A82+Parameters!$B$65</f>
        <v>79</v>
      </c>
      <c r="B83" s="46">
        <f t="shared" si="27"/>
        <v>5.1923951975726516E-2</v>
      </c>
      <c r="C83" s="46">
        <f t="shared" si="26"/>
        <v>1.0018754504738657E-2</v>
      </c>
      <c r="D83" s="46">
        <f t="shared" si="26"/>
        <v>0.29599585186736171</v>
      </c>
      <c r="E83" s="7">
        <f>MAX((1-Parameters!$B$4)^Parameters!B$65*E82+B82*Parameters!B$65-Parameters!$B$5*B82^2/E82*Parameters!B$65,0.0001)</f>
        <v>0.76982168044303145</v>
      </c>
      <c r="F83" s="9">
        <f>MAX((1-Parameters!$B$4)^Parameters!B$65*F82+C82*Parameters!B$65-Parameters!$B$5*C82^2/F82*Parameters!B$65,0.0001)</f>
        <v>0.1485375019085815</v>
      </c>
      <c r="G83" s="7">
        <f>MAX((1-Parameters!$B$4)^Parameters!B$65*G82+D82*Parameters!B$65-Parameters!$B$5*D82^2/G82*Parameters!B$65,0.0001)</f>
        <v>4.3884169814638661</v>
      </c>
      <c r="I83" s="7">
        <f>I82*(1+Parameters!$B$51)^Parameters!B$65</f>
        <v>10.257535588374109</v>
      </c>
      <c r="J83" s="7">
        <f>J82*(1+Parameters!$B$53)^Parameters!B$65</f>
        <v>43.131031028845975</v>
      </c>
      <c r="K83" s="7">
        <f>'6states'!$O$4</f>
        <v>0.98104277196026479</v>
      </c>
      <c r="L83" s="9">
        <f t="shared" si="25"/>
        <v>0.5</v>
      </c>
      <c r="N83" s="7">
        <f>(Parameters!$B$19*(E83+Parameters!$B$20)^L83+Parameters!$B$18*F83^L83)^(1/L83)</f>
        <v>0.53562929566228357</v>
      </c>
      <c r="O83" s="7">
        <f>(Parameters!$B$10*G83^Parameters!$B$9 + Parameters!$B$11*N83^Parameters!$B$9) ^ (Parameters!$B$7/Parameters!$B$9) * K83</f>
        <v>1.5070626318467046</v>
      </c>
      <c r="P83" s="7">
        <f t="shared" si="24"/>
        <v>1.1491240734988779</v>
      </c>
      <c r="Q83" s="7">
        <f>EXP(-Parameters!$B$55*A83)</f>
        <v>0.30334030041561322</v>
      </c>
      <c r="R83" s="7">
        <f>IF(P83&gt;0,P83^(1-Parameters!$B$52)/(1-Parameters!$B$52)*Q83,-10+P83*1000)</f>
        <v>-0.82553149193435804</v>
      </c>
      <c r="S83" s="7"/>
      <c r="T83" s="7"/>
      <c r="U83" s="7"/>
      <c r="V83" s="7"/>
    </row>
    <row r="84" spans="1:22" x14ac:dyDescent="0.25">
      <c r="A84">
        <f>A83+Parameters!$B$65</f>
        <v>80</v>
      </c>
      <c r="B84" s="19">
        <v>5.1924102637048011E-2</v>
      </c>
      <c r="C84" s="45">
        <v>1.001879062528673E-2</v>
      </c>
      <c r="D84" s="18">
        <v>0.29599658759299885</v>
      </c>
      <c r="E84" s="7">
        <f>MAX((1-Parameters!$B$4)^Parameters!B$65*E83+B83*Parameters!B$65-Parameters!$B$5*B83^2/E83*Parameters!B$65,0.0001)</f>
        <v>0.76982161325674392</v>
      </c>
      <c r="F84" s="9">
        <f>MAX((1-Parameters!$B$4)^Parameters!B$65*F83+C83*Parameters!B$65-Parameters!$B$5*C83^2/F83*Parameters!B$65,0.0001)</f>
        <v>0.14853748929679067</v>
      </c>
      <c r="G84" s="7">
        <f>MAX((1-Parameters!$B$4)^Parameters!B$65*G83+D83*Parameters!B$65-Parameters!$B$5*D83^2/G83*Parameters!B$65,0.0001)</f>
        <v>4.3884166788065748</v>
      </c>
      <c r="I84" s="7">
        <f>I83*(1+Parameters!$B$51)^Parameters!B$65</f>
        <v>10.287282441580393</v>
      </c>
      <c r="J84" s="7">
        <f>J83*(1+Parameters!$B$53)^Parameters!B$65</f>
        <v>43.993651649422894</v>
      </c>
      <c r="K84" s="7">
        <f>'6states'!$O$4</f>
        <v>0.98104277196026479</v>
      </c>
      <c r="L84" s="9">
        <f t="shared" si="25"/>
        <v>0.5</v>
      </c>
      <c r="N84" s="7">
        <f>(Parameters!$B$19*(E84+Parameters!$B$20)^L84+Parameters!$B$18*F84^L84)^(1/L84)</f>
        <v>0.53562924962171077</v>
      </c>
      <c r="O84" s="7">
        <f>(Parameters!$B$10*G84^Parameters!$B$9 + Parameters!$B$11*N84^Parameters!$B$9) ^ (Parameters!$B$7/Parameters!$B$9) * K84</f>
        <v>1.5070625993241273</v>
      </c>
      <c r="P84" s="7">
        <f t="shared" si="24"/>
        <v>1.1491231184687938</v>
      </c>
      <c r="Q84" s="7">
        <f>EXP(-Parameters!$B$55*A84)</f>
        <v>0.29879427078110121</v>
      </c>
      <c r="R84" s="7">
        <f>IF(P84&gt;0,P84^(1-Parameters!$B$52)/(1-Parameters!$B$52)*Q84,-10+P84*1000)</f>
        <v>-0.81315984573036093</v>
      </c>
      <c r="S84" s="7"/>
      <c r="T84" s="7"/>
      <c r="U84" s="7"/>
      <c r="V84" s="7"/>
    </row>
    <row r="85" spans="1:22" x14ac:dyDescent="0.25">
      <c r="A85">
        <f>A84+Parameters!$B$65</f>
        <v>81</v>
      </c>
      <c r="B85" s="46">
        <f>B84</f>
        <v>5.1924102637048011E-2</v>
      </c>
      <c r="C85" s="46">
        <f t="shared" ref="C85:D93" si="28">C84</f>
        <v>1.001879062528673E-2</v>
      </c>
      <c r="D85" s="46">
        <f t="shared" si="28"/>
        <v>0.29599658759299885</v>
      </c>
      <c r="E85" s="7">
        <f>MAX((1-Parameters!$B$4)^Parameters!B$65*E84+B84*Parameters!B$65-Parameters!$B$5*B84^2/E84*Parameters!B$65,0.0001)</f>
        <v>0.76982168032809739</v>
      </c>
      <c r="F85" s="9">
        <f>MAX((1-Parameters!$B$4)^Parameters!B$65*F84+C84*Parameters!B$65-Parameters!$B$5*C84^2/F84*Parameters!B$65,0.0001)</f>
        <v>0.14853750866883084</v>
      </c>
      <c r="G85" s="7">
        <f>MAX((1-Parameters!$B$4)^Parameters!B$65*G84+D84*Parameters!B$65-Parameters!$B$5*D84^2/G84*Parameters!B$65,0.0001)</f>
        <v>4.388417030286595</v>
      </c>
      <c r="I85" s="7">
        <f>I84*(1+Parameters!$B$51)^Parameters!B$65</f>
        <v>10.317115560660975</v>
      </c>
      <c r="J85" s="7">
        <f>J84*(1+Parameters!$B$53)^Parameters!B$65</f>
        <v>44.87352468241135</v>
      </c>
      <c r="K85" s="7">
        <f>'6states'!$O$4</f>
        <v>0.98104277196026479</v>
      </c>
      <c r="L85" s="9">
        <f t="shared" si="25"/>
        <v>0.5</v>
      </c>
      <c r="N85" s="7">
        <f>(Parameters!$B$19*(E85+Parameters!$B$20)^L85+Parameters!$B$18*F85^L85)^(1/L85)</f>
        <v>0.53562929949638693</v>
      </c>
      <c r="O85" s="7">
        <f>(Parameters!$B$10*G85^Parameters!$B$9 + Parameters!$B$11*N85^Parameters!$B$9) ^ (Parameters!$B$7/Parameters!$B$9) * K85</f>
        <v>1.5070626365634998</v>
      </c>
      <c r="P85" s="7">
        <f t="shared" si="24"/>
        <v>1.1491231557081663</v>
      </c>
      <c r="Q85" s="7">
        <f>EXP(-Parameters!$B$55*A85)</f>
        <v>0.29431637052277015</v>
      </c>
      <c r="R85" s="7">
        <f>IF(P85&gt;0,P85^(1-Parameters!$B$52)/(1-Parameters!$B$52)*Q85,-10+P85*1000)</f>
        <v>-0.80097336240767669</v>
      </c>
      <c r="S85" s="7"/>
      <c r="T85" s="7"/>
      <c r="U85" s="7"/>
      <c r="V85" s="7"/>
    </row>
    <row r="86" spans="1:22" x14ac:dyDescent="0.25">
      <c r="A86">
        <f>A85+Parameters!$B$65</f>
        <v>82</v>
      </c>
      <c r="B86" s="46">
        <f t="shared" ref="B86:B93" si="29">B85</f>
        <v>5.1924102637048011E-2</v>
      </c>
      <c r="C86" s="46">
        <f t="shared" si="28"/>
        <v>1.001879062528673E-2</v>
      </c>
      <c r="D86" s="46">
        <f t="shared" si="28"/>
        <v>0.29599658759299885</v>
      </c>
      <c r="E86" s="7">
        <f>MAX((1-Parameters!$B$4)^Parameters!B$65*E85+B85*Parameters!B$65-Parameters!$B$5*B85^2/E85*Parameters!B$65,0.0001)</f>
        <v>0.76982174348579968</v>
      </c>
      <c r="F86" s="9">
        <f>MAX((1-Parameters!$B$4)^Parameters!B$65*F85+C85*Parameters!B$65-Parameters!$B$5*C85^2/F85*Parameters!B$65,0.0001)</f>
        <v>0.14853752691050168</v>
      </c>
      <c r="G86" s="7">
        <f>MAX((1-Parameters!$B$4)^Parameters!B$65*G85+D85*Parameters!B$65-Parameters!$B$5*D85^2/G85*Parameters!B$65,0.0001)</f>
        <v>4.3884173612575585</v>
      </c>
      <c r="I86" s="7">
        <f>I85*(1+Parameters!$B$51)^Parameters!B$65</f>
        <v>10.347035195786891</v>
      </c>
      <c r="J86" s="7">
        <f>J85*(1+Parameters!$B$53)^Parameters!B$65</f>
        <v>45.770995176059579</v>
      </c>
      <c r="K86" s="7">
        <f>'6states'!$O$4</f>
        <v>0.98104277196026479</v>
      </c>
      <c r="L86" s="9">
        <f t="shared" si="25"/>
        <v>0.5</v>
      </c>
      <c r="N86" s="7">
        <f>(Parameters!$B$19*(E86+Parameters!$B$20)^L86+Parameters!$B$18*F86^L86)^(1/L86)</f>
        <v>0.5356293464608477</v>
      </c>
      <c r="O86" s="7">
        <f>(Parameters!$B$10*G86^Parameters!$B$9 + Parameters!$B$11*N86^Parameters!$B$9) ^ (Parameters!$B$7/Parameters!$B$9) * K86</f>
        <v>1.5070626716299318</v>
      </c>
      <c r="P86" s="7">
        <f t="shared" si="24"/>
        <v>1.1491231907745982</v>
      </c>
      <c r="Q86" s="7">
        <f>EXP(-Parameters!$B$55*A86)</f>
        <v>0.28990557861518201</v>
      </c>
      <c r="R86" s="7">
        <f>IF(P86&gt;0,P86^(1-Parameters!$B$52)/(1-Parameters!$B$52)*Q86,-10+P86*1000)</f>
        <v>-0.78896951328804554</v>
      </c>
      <c r="S86" s="7"/>
      <c r="T86" s="7"/>
      <c r="U86" s="7"/>
      <c r="V86" s="7"/>
    </row>
    <row r="87" spans="1:22" x14ac:dyDescent="0.25">
      <c r="A87">
        <f>A86+Parameters!$B$65</f>
        <v>83</v>
      </c>
      <c r="B87" s="46">
        <f t="shared" si="29"/>
        <v>5.1924102637048011E-2</v>
      </c>
      <c r="C87" s="46">
        <f t="shared" si="28"/>
        <v>1.001879062528673E-2</v>
      </c>
      <c r="D87" s="46">
        <f t="shared" si="28"/>
        <v>0.29599658759299885</v>
      </c>
      <c r="E87" s="7">
        <f>MAX((1-Parameters!$B$4)^Parameters!B$65*E86+B86*Parameters!B$65-Parameters!$B$5*B86^2/E86*Parameters!B$65,0.0001)</f>
        <v>0.76982180295821456</v>
      </c>
      <c r="F87" s="9">
        <f>MAX((1-Parameters!$B$4)^Parameters!B$65*F86+C86*Parameters!B$65-Parameters!$B$5*C86^2/F86*Parameters!B$65,0.0001)</f>
        <v>0.14853754408776088</v>
      </c>
      <c r="G87" s="7">
        <f>MAX((1-Parameters!$B$4)^Parameters!B$65*G86+D86*Parameters!B$65-Parameters!$B$5*D86^2/G86*Parameters!B$65,0.0001)</f>
        <v>4.3884176729161792</v>
      </c>
      <c r="I87" s="7">
        <f>I86*(1+Parameters!$B$51)^Parameters!B$65</f>
        <v>10.377041597854671</v>
      </c>
      <c r="J87" s="7">
        <f>J86*(1+Parameters!$B$53)^Parameters!B$65</f>
        <v>46.686415079580769</v>
      </c>
      <c r="K87" s="7">
        <f>'6states'!$O$4</f>
        <v>0.98104277196026479</v>
      </c>
      <c r="L87" s="9">
        <f t="shared" si="25"/>
        <v>0.5</v>
      </c>
      <c r="N87" s="7">
        <f>(Parameters!$B$19*(E87+Parameters!$B$20)^L87+Parameters!$B$18*F87^L87)^(1/L87)</f>
        <v>0.53562939068490589</v>
      </c>
      <c r="O87" s="7">
        <f>(Parameters!$B$10*G87^Parameters!$B$9 + Parameters!$B$11*N87^Parameters!$B$9) ^ (Parameters!$B$7/Parameters!$B$9) * K87</f>
        <v>1.5070627046502161</v>
      </c>
      <c r="P87" s="7">
        <f t="shared" si="24"/>
        <v>1.1491232237948825</v>
      </c>
      <c r="Q87" s="7">
        <f>EXP(-Parameters!$B$55*A87)</f>
        <v>0.28556088933456458</v>
      </c>
      <c r="R87" s="7">
        <f>IF(P87&gt;0,P87^(1-Parameters!$B$52)/(1-Parameters!$B$52)*Q87,-10+P87*1000)</f>
        <v>-0.77714556126410383</v>
      </c>
      <c r="S87" s="7"/>
      <c r="T87" s="7"/>
      <c r="U87" s="7"/>
      <c r="V87" s="7"/>
    </row>
    <row r="88" spans="1:22" x14ac:dyDescent="0.25">
      <c r="A88">
        <f>A87+Parameters!$B$65</f>
        <v>84</v>
      </c>
      <c r="B88" s="46">
        <f t="shared" si="29"/>
        <v>5.1924102637048011E-2</v>
      </c>
      <c r="C88" s="46">
        <f t="shared" si="28"/>
        <v>1.001879062528673E-2</v>
      </c>
      <c r="D88" s="46">
        <f t="shared" si="28"/>
        <v>0.29599658759299885</v>
      </c>
      <c r="E88" s="7">
        <f>MAX((1-Parameters!$B$4)^Parameters!B$65*E87+B87*Parameters!B$65-Parameters!$B$5*B87^2/E87*Parameters!B$65,0.0001)</f>
        <v>0.76982185896038058</v>
      </c>
      <c r="F88" s="9">
        <f>MAX((1-Parameters!$B$4)^Parameters!B$65*F87+C87*Parameters!B$65-Parameters!$B$5*C87^2/F87*Parameters!B$65,0.0001)</f>
        <v>0.14853756026271744</v>
      </c>
      <c r="G88" s="7">
        <f>MAX((1-Parameters!$B$4)^Parameters!B$65*G87+D87*Parameters!B$65-Parameters!$B$5*D87^2/G87*Parameters!B$65,0.0001)</f>
        <v>4.3884179663893441</v>
      </c>
      <c r="I88" s="7">
        <f>I87*(1+Parameters!$B$51)^Parameters!B$65</f>
        <v>10.407135018488448</v>
      </c>
      <c r="J88" s="7">
        <f>J87*(1+Parameters!$B$53)^Parameters!B$65</f>
        <v>47.620143381172383</v>
      </c>
      <c r="K88" s="7">
        <f>'6states'!$O$4</f>
        <v>0.98104277196026479</v>
      </c>
      <c r="L88" s="9">
        <f t="shared" si="25"/>
        <v>0.5</v>
      </c>
      <c r="N88" s="7">
        <f>(Parameters!$B$19*(E88+Parameters!$B$20)^L88+Parameters!$B$18*F88^L88)^(1/L88)</f>
        <v>0.53562943232846516</v>
      </c>
      <c r="O88" s="7">
        <f>(Parameters!$B$10*G88^Parameters!$B$9 + Parameters!$B$11*N88^Parameters!$B$9) ^ (Parameters!$B$7/Parameters!$B$9) * K88</f>
        <v>1.5070627357437465</v>
      </c>
      <c r="P88" s="7">
        <f t="shared" si="24"/>
        <v>1.1491232548884129</v>
      </c>
      <c r="Q88" s="7">
        <f>EXP(-Parameters!$B$55*A88)</f>
        <v>0.28128131202949208</v>
      </c>
      <c r="R88" s="7">
        <f>IF(P88&gt;0,P88^(1-Parameters!$B$52)/(1-Parameters!$B$52)*Q88,-10+P88*1000)</f>
        <v>-0.76549881025178779</v>
      </c>
      <c r="S88" s="7"/>
      <c r="T88" s="7"/>
      <c r="U88" s="7"/>
      <c r="V88" s="7"/>
    </row>
    <row r="89" spans="1:22" x14ac:dyDescent="0.25">
      <c r="A89">
        <f>A88+Parameters!$B$65</f>
        <v>85</v>
      </c>
      <c r="B89" s="46">
        <f t="shared" si="29"/>
        <v>5.1924102637048011E-2</v>
      </c>
      <c r="C89" s="46">
        <f t="shared" si="28"/>
        <v>1.001879062528673E-2</v>
      </c>
      <c r="D89" s="46">
        <f t="shared" si="28"/>
        <v>0.29599658759299885</v>
      </c>
      <c r="E89" s="7">
        <f>MAX((1-Parameters!$B$4)^Parameters!B$65*E88+B88*Parameters!B$65-Parameters!$B$5*B88^2/E88*Parameters!B$65,0.0001)</f>
        <v>0.76982191169478853</v>
      </c>
      <c r="F89" s="9">
        <f>MAX((1-Parameters!$B$4)^Parameters!B$65*F88+C88*Parameters!B$65-Parameters!$B$5*C88^2/F88*Parameters!B$65,0.0001)</f>
        <v>0.14853757549385627</v>
      </c>
      <c r="G89" s="7">
        <f>MAX((1-Parameters!$B$4)^Parameters!B$65*G88+D88*Parameters!B$65-Parameters!$B$5*D88^2/G88*Parameters!B$65,0.0001)</f>
        <v>4.3884182427381839</v>
      </c>
      <c r="I89" s="7">
        <f>I88*(1+Parameters!$B$51)^Parameters!B$65</f>
        <v>10.437315710042064</v>
      </c>
      <c r="J89" s="7">
        <f>J88*(1+Parameters!$B$53)^Parameters!B$65</f>
        <v>48.572546248795831</v>
      </c>
      <c r="K89" s="7">
        <f>'6states'!$O$4</f>
        <v>0.98104277196026479</v>
      </c>
      <c r="L89" s="9">
        <f t="shared" si="25"/>
        <v>0.5</v>
      </c>
      <c r="N89" s="7">
        <f>(Parameters!$B$19*(E89+Parameters!$B$20)^L89+Parameters!$B$18*F89^L89)^(1/L89)</f>
        <v>0.53562947154209961</v>
      </c>
      <c r="O89" s="7">
        <f>(Parameters!$B$10*G89^Parameters!$B$9 + Parameters!$B$11*N89^Parameters!$B$9) ^ (Parameters!$B$7/Parameters!$B$9) * K89</f>
        <v>1.5070627650229502</v>
      </c>
      <c r="P89" s="7">
        <f t="shared" si="24"/>
        <v>1.1491232841676167</v>
      </c>
      <c r="Q89" s="7">
        <f>EXP(-Parameters!$B$55*A89)</f>
        <v>0.27706587089500223</v>
      </c>
      <c r="R89" s="7">
        <f>IF(P89&gt;0,P89^(1-Parameters!$B$52)/(1-Parameters!$B$52)*Q89,-10+P89*1000)</f>
        <v>-0.7540266045752827</v>
      </c>
      <c r="S89" s="7"/>
      <c r="T89" s="7"/>
      <c r="U89" s="7"/>
      <c r="V89" s="7"/>
    </row>
    <row r="90" spans="1:22" x14ac:dyDescent="0.25">
      <c r="A90">
        <f>A89+Parameters!$B$65</f>
        <v>86</v>
      </c>
      <c r="B90" s="46">
        <f t="shared" si="29"/>
        <v>5.1924102637048011E-2</v>
      </c>
      <c r="C90" s="46">
        <f t="shared" si="28"/>
        <v>1.001879062528673E-2</v>
      </c>
      <c r="D90" s="46">
        <f t="shared" si="28"/>
        <v>0.29599658759299885</v>
      </c>
      <c r="E90" s="7">
        <f>MAX((1-Parameters!$B$4)^Parameters!B$65*E89+B89*Parameters!B$65-Parameters!$B$5*B89^2/E89*Parameters!B$65,0.0001)</f>
        <v>0.76982196135211411</v>
      </c>
      <c r="F90" s="9">
        <f>MAX((1-Parameters!$B$4)^Parameters!B$65*F89+C89*Parameters!B$65-Parameters!$B$5*C89^2/F89*Parameters!B$65,0.0001)</f>
        <v>0.14853758983624959</v>
      </c>
      <c r="G90" s="7">
        <f>MAX((1-Parameters!$B$4)^Parameters!B$65*G89+D89*Parameters!B$65-Parameters!$B$5*D89^2/G89*Parameters!B$65,0.0001)</f>
        <v>4.3884185029619127</v>
      </c>
      <c r="I90" s="7">
        <f>I89*(1+Parameters!$B$51)^Parameters!B$65</f>
        <v>10.467583925601184</v>
      </c>
      <c r="J90" s="7">
        <f>J89*(1+Parameters!$B$53)^Parameters!B$65</f>
        <v>49.54399717377175</v>
      </c>
      <c r="K90" s="7">
        <f>'6states'!$O$4</f>
        <v>0.98104277196026479</v>
      </c>
      <c r="L90" s="9">
        <f t="shared" si="25"/>
        <v>0.5</v>
      </c>
      <c r="N90" s="7">
        <f>(Parameters!$B$19*(E90+Parameters!$B$20)^L90+Parameters!$B$18*F90^L90)^(1/L90)</f>
        <v>0.53562950846759616</v>
      </c>
      <c r="O90" s="7">
        <f>(Parameters!$B$10*G90^Parameters!$B$9 + Parameters!$B$11*N90^Parameters!$B$9) ^ (Parameters!$B$7/Parameters!$B$9) * K90</f>
        <v>1.507062792593695</v>
      </c>
      <c r="P90" s="7">
        <f t="shared" si="24"/>
        <v>1.1491233117383615</v>
      </c>
      <c r="Q90" s="7">
        <f>EXP(-Parameters!$B$55*A90)</f>
        <v>0.27291360475009885</v>
      </c>
      <c r="R90" s="7">
        <f>IF(P90&gt;0,P90^(1-Parameters!$B$52)/(1-Parameters!$B$52)*Q90,-10+P90*1000)</f>
        <v>-0.74272632836121</v>
      </c>
      <c r="S90" s="7"/>
      <c r="T90" s="7"/>
      <c r="U90" s="7"/>
      <c r="V90" s="7"/>
    </row>
    <row r="91" spans="1:22" x14ac:dyDescent="0.25">
      <c r="A91">
        <f>A90+Parameters!$B$65</f>
        <v>87</v>
      </c>
      <c r="B91" s="46">
        <f t="shared" si="29"/>
        <v>5.1924102637048011E-2</v>
      </c>
      <c r="C91" s="46">
        <f t="shared" si="28"/>
        <v>1.001879062528673E-2</v>
      </c>
      <c r="D91" s="46">
        <f t="shared" si="28"/>
        <v>0.29599658759299885</v>
      </c>
      <c r="E91" s="7">
        <f>MAX((1-Parameters!$B$4)^Parameters!B$65*E90+B90*Parameters!B$65-Parameters!$B$5*B90^2/E90*Parameters!B$65,0.0001)</f>
        <v>0.7698220081119066</v>
      </c>
      <c r="F91" s="9">
        <f>MAX((1-Parameters!$B$4)^Parameters!B$65*F90+C90*Parameters!B$65-Parameters!$B$5*C90^2/F90*Parameters!B$65,0.0001)</f>
        <v>0.14853760334175625</v>
      </c>
      <c r="G91" s="7">
        <f>MAX((1-Parameters!$B$4)^Parameters!B$65*G90+D90*Parameters!B$65-Parameters!$B$5*D90^2/G90*Parameters!B$65,0.0001)</f>
        <v>4.3884187480014401</v>
      </c>
      <c r="I91" s="7">
        <f>I90*(1+Parameters!$B$51)^Parameters!B$65</f>
        <v>10.497939918985427</v>
      </c>
      <c r="J91" s="7">
        <f>J90*(1+Parameters!$B$53)^Parameters!B$65</f>
        <v>50.534877117247184</v>
      </c>
      <c r="K91" s="7">
        <f>'6states'!$O$4</f>
        <v>0.98104277196026479</v>
      </c>
      <c r="L91" s="9">
        <f t="shared" si="25"/>
        <v>0.5</v>
      </c>
      <c r="N91" s="7">
        <f>(Parameters!$B$19*(E91+Parameters!$B$20)^L91+Parameters!$B$18*F91^L91)^(1/L91)</f>
        <v>0.53562954323846912</v>
      </c>
      <c r="O91" s="7">
        <f>(Parameters!$B$10*G91^Parameters!$B$9 + Parameters!$B$11*N91^Parameters!$B$9) ^ (Parameters!$B$7/Parameters!$B$9) * K91</f>
        <v>1.5070628185556698</v>
      </c>
      <c r="P91" s="7">
        <f t="shared" si="24"/>
        <v>1.1491233377003363</v>
      </c>
      <c r="Q91" s="7">
        <f>EXP(-Parameters!$B$55*A91)</f>
        <v>0.26882356681858899</v>
      </c>
      <c r="R91" s="7">
        <f>IF(P91&gt;0,P91^(1-Parameters!$B$52)/(1-Parameters!$B$52)*Q91,-10+P91*1000)</f>
        <v>-0.73159540494191133</v>
      </c>
      <c r="S91" s="7"/>
      <c r="T91" s="7"/>
      <c r="U91" s="7"/>
      <c r="V91" s="7"/>
    </row>
    <row r="92" spans="1:22" x14ac:dyDescent="0.25">
      <c r="A92">
        <f>A91+Parameters!$B$65</f>
        <v>88</v>
      </c>
      <c r="B92" s="46">
        <f t="shared" si="29"/>
        <v>5.1924102637048011E-2</v>
      </c>
      <c r="C92" s="46">
        <f t="shared" si="28"/>
        <v>1.001879062528673E-2</v>
      </c>
      <c r="D92" s="46">
        <f t="shared" si="28"/>
        <v>0.29599658759299885</v>
      </c>
      <c r="E92" s="7">
        <f>MAX((1-Parameters!$B$4)^Parameters!B$65*E91+B91*Parameters!B$65-Parameters!$B$5*B91^2/E91*Parameters!B$65,0.0001)</f>
        <v>0.76982205214323873</v>
      </c>
      <c r="F92" s="9">
        <f>MAX((1-Parameters!$B$4)^Parameters!B$65*F91+C91*Parameters!B$65-Parameters!$B$5*C91^2/F91*Parameters!B$65,0.0001)</f>
        <v>0.14853761605920901</v>
      </c>
      <c r="G92" s="7">
        <f>MAX((1-Parameters!$B$4)^Parameters!B$65*G91+D91*Parameters!B$65-Parameters!$B$5*D91^2/G91*Parameters!B$65,0.0001)</f>
        <v>4.3884189787427719</v>
      </c>
      <c r="I92" s="7">
        <f>I91*(1+Parameters!$B$51)^Parameters!B$65</f>
        <v>10.528383944750484</v>
      </c>
      <c r="J92" s="7">
        <f>J91*(1+Parameters!$B$53)^Parameters!B$65</f>
        <v>51.545574659592127</v>
      </c>
      <c r="K92" s="7">
        <f>'6states'!$O$4</f>
        <v>0.98104277196026479</v>
      </c>
      <c r="L92" s="9">
        <f t="shared" si="25"/>
        <v>0.5</v>
      </c>
      <c r="N92" s="7">
        <f>(Parameters!$B$19*(E92+Parameters!$B$20)^L92+Parameters!$B$18*F92^L92)^(1/L92)</f>
        <v>0.53562957598044203</v>
      </c>
      <c r="O92" s="7">
        <f>(Parameters!$B$10*G92^Parameters!$B$9 + Parameters!$B$11*N92^Parameters!$B$9) ^ (Parameters!$B$7/Parameters!$B$9) * K92</f>
        <v>1.5070628430027482</v>
      </c>
      <c r="P92" s="7">
        <f t="shared" si="24"/>
        <v>1.1491233621474146</v>
      </c>
      <c r="Q92" s="7">
        <f>EXP(-Parameters!$B$55*A92)</f>
        <v>0.26479482451320413</v>
      </c>
      <c r="R92" s="7">
        <f>IF(P92&gt;0,P92^(1-Parameters!$B$52)/(1-Parameters!$B$52)*Q92,-10+P92*1000)</f>
        <v>-0.72063129626768796</v>
      </c>
      <c r="S92" s="7"/>
      <c r="T92" s="7"/>
      <c r="U92" s="7"/>
      <c r="V92" s="7"/>
    </row>
    <row r="93" spans="1:22" x14ac:dyDescent="0.25">
      <c r="A93">
        <f>A92+Parameters!$B$65</f>
        <v>89</v>
      </c>
      <c r="B93" s="46">
        <f t="shared" si="29"/>
        <v>5.1924102637048011E-2</v>
      </c>
      <c r="C93" s="46">
        <f t="shared" si="28"/>
        <v>1.001879062528673E-2</v>
      </c>
      <c r="D93" s="46">
        <f t="shared" si="28"/>
        <v>0.29599658759299885</v>
      </c>
      <c r="E93" s="7">
        <f>MAX((1-Parameters!$B$4)^Parameters!B$65*E92+B92*Parameters!B$65-Parameters!$B$5*B92^2/E92*Parameters!B$65,0.0001)</f>
        <v>0.76982209360531761</v>
      </c>
      <c r="F93" s="9">
        <f>MAX((1-Parameters!$B$4)^Parameters!B$65*F92+C92*Parameters!B$65-Parameters!$B$5*C92^2/F92*Parameters!B$65,0.0001)</f>
        <v>0.14853762803459125</v>
      </c>
      <c r="G93" s="7">
        <f>MAX((1-Parameters!$B$4)^Parameters!B$65*G92+D92*Parameters!B$65-Parameters!$B$5*D92^2/G92*Parameters!B$65,0.0001)</f>
        <v>4.3884191960202159</v>
      </c>
      <c r="I93" s="7">
        <f>I92*(1+Parameters!$B$51)^Parameters!B$65</f>
        <v>10.558916258190258</v>
      </c>
      <c r="J93" s="7">
        <f>J92*(1+Parameters!$B$53)^Parameters!B$65</f>
        <v>52.576486152783971</v>
      </c>
      <c r="K93" s="7">
        <f>'6states'!$O$4</f>
        <v>0.98104277196026479</v>
      </c>
      <c r="L93" s="9">
        <f t="shared" si="25"/>
        <v>0.5</v>
      </c>
      <c r="N93" s="7">
        <f>(Parameters!$B$19*(E93+Parameters!$B$20)^L93+Parameters!$B$18*F93^L93)^(1/L93)</f>
        <v>0.5356296068119023</v>
      </c>
      <c r="O93" s="7">
        <f>(Parameters!$B$10*G93^Parameters!$B$9 + Parameters!$B$11*N93^Parameters!$B$9) ^ (Parameters!$B$7/Parameters!$B$9) * K93</f>
        <v>1.5070628660233245</v>
      </c>
      <c r="P93" s="7">
        <f t="shared" si="24"/>
        <v>1.149123385167991</v>
      </c>
      <c r="Q93" s="7">
        <f>EXP(-Parameters!$B$55*A93)</f>
        <v>0.26082645922295711</v>
      </c>
      <c r="R93" s="7">
        <f>IF(P93&gt;0,P93^(1-Parameters!$B$52)/(1-Parameters!$B$52)*Q93,-10+P93*1000)</f>
        <v>-0.70983150232786529</v>
      </c>
      <c r="S93" s="7"/>
      <c r="T93" s="7"/>
      <c r="U93" s="7"/>
      <c r="V93" s="7"/>
    </row>
    <row r="94" spans="1:22" x14ac:dyDescent="0.25">
      <c r="A94">
        <f>A93+Parameters!$B$65</f>
        <v>90</v>
      </c>
      <c r="B94" s="19">
        <v>5.191758263687303E-2</v>
      </c>
      <c r="C94" s="45">
        <v>1.0017548050425843E-2</v>
      </c>
      <c r="D94" s="18">
        <v>0.2959598429278244</v>
      </c>
      <c r="E94" s="7">
        <f>MAX((1-Parameters!$B$4)^Parameters!B$65*E93+B93*Parameters!B$65-Parameters!$B$5*B93^2/E93*Parameters!B$65,0.0001)</f>
        <v>0.76982213264806076</v>
      </c>
      <c r="F94" s="9">
        <f>MAX((1-Parameters!$B$4)^Parameters!B$65*F93+C93*Parameters!B$65-Parameters!$B$5*C93^2/F93*Parameters!B$65,0.0001)</f>
        <v>0.14853763931120317</v>
      </c>
      <c r="G94" s="7">
        <f>MAX((1-Parameters!$B$4)^Parameters!B$65*G93+D93*Parameters!B$65-Parameters!$B$5*D93^2/G93*Parameters!B$65,0.0001)</f>
        <v>4.3884194006193979</v>
      </c>
      <c r="I94" s="7">
        <f>I93*(1+Parameters!$B$51)^Parameters!B$65</f>
        <v>10.589537115339009</v>
      </c>
      <c r="J94" s="7">
        <f>J93*(1+Parameters!$B$53)^Parameters!B$65</f>
        <v>53.628015875839651</v>
      </c>
      <c r="K94" s="7">
        <f>'6states'!$O$4</f>
        <v>0.98104277196026479</v>
      </c>
      <c r="L94" s="9">
        <f t="shared" si="25"/>
        <v>0.5</v>
      </c>
      <c r="N94" s="7">
        <f>(Parameters!$B$19*(E94+Parameters!$B$20)^L94+Parameters!$B$18*F94^L94)^(1/L94)</f>
        <v>0.53562963584432932</v>
      </c>
      <c r="O94" s="7">
        <f>(Parameters!$B$10*G94^Parameters!$B$9 + Parameters!$B$11*N94^Parameters!$B$9) ^ (Parameters!$B$7/Parameters!$B$9) * K94</f>
        <v>1.5070628877006362</v>
      </c>
      <c r="P94" s="7">
        <f t="shared" si="24"/>
        <v>1.1491679140855129</v>
      </c>
      <c r="Q94" s="7">
        <f>EXP(-Parameters!$B$55*A94)</f>
        <v>0.25691756610368538</v>
      </c>
      <c r="R94" s="7">
        <f>IF(P94&gt;0,P94^(1-Parameters!$B$52)/(1-Parameters!$B$52)*Q94,-10+P94*1000)</f>
        <v>-0.69918408254998232</v>
      </c>
      <c r="S94" s="7"/>
      <c r="T94" s="7"/>
      <c r="U94" s="7"/>
      <c r="V94" s="7"/>
    </row>
    <row r="95" spans="1:22" x14ac:dyDescent="0.25">
      <c r="A95">
        <f>A94+Parameters!$B$65</f>
        <v>91</v>
      </c>
      <c r="B95" s="46">
        <f>B94</f>
        <v>5.191758263687303E-2</v>
      </c>
      <c r="C95" s="46">
        <f t="shared" ref="C95:D104" si="30">C94</f>
        <v>1.0017548050425843E-2</v>
      </c>
      <c r="D95" s="46">
        <f t="shared" si="30"/>
        <v>0.2959598429278244</v>
      </c>
      <c r="E95" s="7">
        <f>MAX((1-Parameters!$B$4)^Parameters!B$65*E94+B94*Parameters!B$65-Parameters!$B$5*B94^2/E94*Parameters!B$65,0.0001)</f>
        <v>0.76981652889848606</v>
      </c>
      <c r="F95" s="9">
        <f>MAX((1-Parameters!$B$4)^Parameters!B$65*F94+C94*Parameters!B$65-Parameters!$B$5*C94^2/F94*Parameters!B$65,0.0001)</f>
        <v>0.1485365749666879</v>
      </c>
      <c r="G95" s="7">
        <f>MAX((1-Parameters!$B$4)^Parameters!B$65*G94+D94*Parameters!B$65-Parameters!$B$5*D94^2/G94*Parameters!B$65,0.0001)</f>
        <v>4.3883878051240597</v>
      </c>
      <c r="I95" s="7">
        <f>I94*(1+Parameters!$B$51)^Parameters!B$65</f>
        <v>10.620246772973491</v>
      </c>
      <c r="J95" s="7">
        <f>J94*(1+Parameters!$B$53)^Parameters!B$65</f>
        <v>54.700576193356447</v>
      </c>
      <c r="K95" s="7">
        <f>'6states'!$O$4</f>
        <v>0.98104277196026479</v>
      </c>
      <c r="L95" s="9">
        <f t="shared" si="25"/>
        <v>0.5</v>
      </c>
      <c r="N95" s="7">
        <f>(Parameters!$B$19*(E95+Parameters!$B$20)^L95+Parameters!$B$18*F95^L95)^(1/L95)</f>
        <v>0.53562578859790866</v>
      </c>
      <c r="O95" s="7">
        <f>(Parameters!$B$10*G95^Parameters!$B$9 + Parameters!$B$11*N95^Parameters!$B$9) ^ (Parameters!$B$7/Parameters!$B$9) * K95</f>
        <v>1.5070596339009783</v>
      </c>
      <c r="P95" s="7">
        <f t="shared" si="24"/>
        <v>1.1491646602858552</v>
      </c>
      <c r="Q95" s="7">
        <f>EXP(-Parameters!$B$55*A95)</f>
        <v>0.2530672538717339</v>
      </c>
      <c r="R95" s="7">
        <f>IF(P95&gt;0,P95^(1-Parameters!$B$52)/(1-Parameters!$B$52)*Q95,-10+P95*1000)</f>
        <v>-0.68870639619673901</v>
      </c>
      <c r="S95" s="7"/>
      <c r="T95" s="7"/>
      <c r="U95" s="7"/>
      <c r="V95" s="7"/>
    </row>
    <row r="96" spans="1:22" x14ac:dyDescent="0.25">
      <c r="A96">
        <f>A95+Parameters!$B$65</f>
        <v>92</v>
      </c>
      <c r="B96" s="46">
        <f t="shared" ref="B96:D111" si="31">B95</f>
        <v>5.191758263687303E-2</v>
      </c>
      <c r="C96" s="46">
        <f t="shared" si="30"/>
        <v>1.0017548050425843E-2</v>
      </c>
      <c r="D96" s="46">
        <f t="shared" si="30"/>
        <v>0.2959598429278244</v>
      </c>
      <c r="E96" s="7">
        <f>MAX((1-Parameters!$B$4)^Parameters!B$65*E95+B95*Parameters!B$65-Parameters!$B$5*B95^2/E95*Parameters!B$65,0.0001)</f>
        <v>0.76981125213709645</v>
      </c>
      <c r="F96" s="9">
        <f>MAX((1-Parameters!$B$4)^Parameters!B$65*F95+C95*Parameters!B$65-Parameters!$B$5*C95^2/F95*Parameters!B$65,0.0001)</f>
        <v>0.14853557272844162</v>
      </c>
      <c r="G96" s="7">
        <f>MAX((1-Parameters!$B$4)^Parameters!B$65*G95+D95*Parameters!B$65-Parameters!$B$5*D95^2/G95*Parameters!B$65,0.0001)</f>
        <v>4.3883580532784787</v>
      </c>
      <c r="I96" s="7">
        <f>I95*(1+Parameters!$B$51)^Parameters!B$65</f>
        <v>10.651045488615113</v>
      </c>
      <c r="J96" s="7">
        <f>J95*(1+Parameters!$B$53)^Parameters!B$65</f>
        <v>55.794587717223578</v>
      </c>
      <c r="K96" s="7">
        <f>'6states'!$O$4</f>
        <v>0.98104277196026479</v>
      </c>
      <c r="L96" s="9">
        <f t="shared" si="25"/>
        <v>0.5</v>
      </c>
      <c r="N96" s="7">
        <f>(Parameters!$B$19*(E96+Parameters!$B$20)^L96+Parameters!$B$18*F96^L96)^(1/L96)</f>
        <v>0.53562216584475797</v>
      </c>
      <c r="O96" s="7">
        <f>(Parameters!$B$10*G96^Parameters!$B$9 + Parameters!$B$11*N96^Parameters!$B$9) ^ (Parameters!$B$7/Parameters!$B$9) * K96</f>
        <v>1.5070565699509679</v>
      </c>
      <c r="P96" s="7">
        <f t="shared" si="24"/>
        <v>1.1491615963358446</v>
      </c>
      <c r="Q96" s="7">
        <f>EXP(-Parameters!$B$55*A96)</f>
        <v>0.24927464460072962</v>
      </c>
      <c r="R96" s="7">
        <f>IF(P96&gt;0,P96^(1-Parameters!$B$52)/(1-Parameters!$B$52)*Q96,-10+P96*1000)</f>
        <v>-0.67838568493664797</v>
      </c>
      <c r="S96" s="7"/>
      <c r="T96" s="7"/>
      <c r="U96" s="7"/>
      <c r="V96" s="7"/>
    </row>
    <row r="97" spans="1:22" x14ac:dyDescent="0.25">
      <c r="A97">
        <f>A96+Parameters!$B$65</f>
        <v>93</v>
      </c>
      <c r="B97" s="46">
        <f t="shared" si="31"/>
        <v>5.191758263687303E-2</v>
      </c>
      <c r="C97" s="46">
        <f t="shared" si="30"/>
        <v>1.0017548050425843E-2</v>
      </c>
      <c r="D97" s="46">
        <f t="shared" si="30"/>
        <v>0.2959598429278244</v>
      </c>
      <c r="E97" s="7">
        <f>MAX((1-Parameters!$B$4)^Parameters!B$65*E96+B96*Parameters!B$65-Parameters!$B$5*B96^2/E96*Parameters!B$65,0.0001)</f>
        <v>0.76980628328324363</v>
      </c>
      <c r="F97" s="9">
        <f>MAX((1-Parameters!$B$4)^Parameters!B$65*F96+C96*Parameters!B$65-Parameters!$B$5*C96^2/F96*Parameters!B$65,0.0001)</f>
        <v>0.14853462897239705</v>
      </c>
      <c r="G97" s="7">
        <f>MAX((1-Parameters!$B$4)^Parameters!B$65*G96+D96*Parameters!B$65-Parameters!$B$5*D96^2/G96*Parameters!B$65,0.0001)</f>
        <v>4.3883300375007304</v>
      </c>
      <c r="I97" s="7">
        <f>I96*(1+Parameters!$B$51)^Parameters!B$65</f>
        <v>10.681933520532095</v>
      </c>
      <c r="J97" s="7">
        <f>J96*(1+Parameters!$B$53)^Parameters!B$65</f>
        <v>56.910479471568053</v>
      </c>
      <c r="K97" s="7">
        <f>'6states'!$O$4</f>
        <v>0.98104277196026479</v>
      </c>
      <c r="L97" s="9">
        <f t="shared" si="25"/>
        <v>0.5</v>
      </c>
      <c r="N97" s="7">
        <f>(Parameters!$B$19*(E97+Parameters!$B$20)^L97+Parameters!$B$18*F97^L97)^(1/L97)</f>
        <v>0.53561875448508656</v>
      </c>
      <c r="O97" s="7">
        <f>(Parameters!$B$10*G97^Parameters!$B$9 + Parameters!$B$11*N97^Parameters!$B$9) ^ (Parameters!$B$7/Parameters!$B$9) * K97</f>
        <v>1.5070536847740641</v>
      </c>
      <c r="P97" s="7">
        <f t="shared" si="24"/>
        <v>1.149158711158941</v>
      </c>
      <c r="Q97" s="7">
        <f>EXP(-Parameters!$B$55*A97)</f>
        <v>0.24553887352140147</v>
      </c>
      <c r="R97" s="7">
        <f>IF(P97&gt;0,P97^(1-Parameters!$B$52)/(1-Parameters!$B$52)*Q97,-10+P97*1000)</f>
        <v>-0.66821959983482948</v>
      </c>
      <c r="S97" s="7"/>
      <c r="T97" s="7"/>
      <c r="U97" s="7"/>
      <c r="V97" s="7"/>
    </row>
    <row r="98" spans="1:22" x14ac:dyDescent="0.25">
      <c r="A98">
        <f>A97+Parameters!$B$65</f>
        <v>94</v>
      </c>
      <c r="B98" s="46">
        <f t="shared" si="31"/>
        <v>5.191758263687303E-2</v>
      </c>
      <c r="C98" s="46">
        <f t="shared" si="30"/>
        <v>1.0017548050425843E-2</v>
      </c>
      <c r="D98" s="46">
        <f t="shared" si="30"/>
        <v>0.2959598429278244</v>
      </c>
      <c r="E98" s="7">
        <f>MAX((1-Parameters!$B$4)^Parameters!B$65*E97+B97*Parameters!B$65-Parameters!$B$5*B97^2/E97*Parameters!B$65,0.0001)</f>
        <v>0.76980160436972556</v>
      </c>
      <c r="F98" s="9">
        <f>MAX((1-Parameters!$B$4)^Parameters!B$65*F97+C97*Parameters!B$65-Parameters!$B$5*C97^2/F97*Parameters!B$65,0.0001)</f>
        <v>0.14853374028596814</v>
      </c>
      <c r="G98" s="7">
        <f>MAX((1-Parameters!$B$4)^Parameters!B$65*G97+D97*Parameters!B$65-Parameters!$B$5*D97^2/G97*Parameters!B$65,0.0001)</f>
        <v>4.3883036564867997</v>
      </c>
      <c r="I98" s="7">
        <f>I97*(1+Parameters!$B$51)^Parameters!B$65</f>
        <v>10.712911127741636</v>
      </c>
      <c r="J98" s="7">
        <f>J97*(1+Parameters!$B$53)^Parameters!B$65</f>
        <v>58.048689060999415</v>
      </c>
      <c r="K98" s="7">
        <f>'6states'!$O$4</f>
        <v>0.98104277196026479</v>
      </c>
      <c r="L98" s="9">
        <f t="shared" si="25"/>
        <v>0.5</v>
      </c>
      <c r="N98" s="7">
        <f>(Parameters!$B$19*(E98+Parameters!$B$20)^L98+Parameters!$B$18*F98^L98)^(1/L98)</f>
        <v>0.53561554218353868</v>
      </c>
      <c r="O98" s="7">
        <f>(Parameters!$B$10*G98^Parameters!$B$9 + Parameters!$B$11*N98^Parameters!$B$9) ^ (Parameters!$B$7/Parameters!$B$9) * K98</f>
        <v>1.5070509679399025</v>
      </c>
      <c r="P98" s="7">
        <f t="shared" si="24"/>
        <v>1.1491559943247793</v>
      </c>
      <c r="Q98" s="7">
        <f>EXP(-Parameters!$B$55*A98)</f>
        <v>0.24185908882440066</v>
      </c>
      <c r="R98" s="7">
        <f>IF(P98&gt;0,P98^(1-Parameters!$B$52)/(1-Parameters!$B$52)*Q98,-10+P98*1000)</f>
        <v>-0.65820582689932772</v>
      </c>
      <c r="S98" s="7"/>
      <c r="T98" s="7"/>
      <c r="U98" s="7"/>
      <c r="V98" s="7"/>
    </row>
    <row r="99" spans="1:22" x14ac:dyDescent="0.25">
      <c r="A99">
        <f>A98+Parameters!$B$65</f>
        <v>95</v>
      </c>
      <c r="B99" s="46">
        <f t="shared" si="31"/>
        <v>5.191758263687303E-2</v>
      </c>
      <c r="C99" s="46">
        <f t="shared" si="30"/>
        <v>1.0017548050425843E-2</v>
      </c>
      <c r="D99" s="46">
        <f t="shared" si="30"/>
        <v>0.2959598429278244</v>
      </c>
      <c r="E99" s="7">
        <f>MAX((1-Parameters!$B$4)^Parameters!B$65*E98+B98*Parameters!B$65-Parameters!$B$5*B98^2/E98*Parameters!B$65,0.0001)</f>
        <v>0.76979719847780692</v>
      </c>
      <c r="F99" s="9">
        <f>MAX((1-Parameters!$B$4)^Parameters!B$65*F98+C98*Parameters!B$65-Parameters!$B$5*C98^2/F98*Parameters!B$65,0.0001)</f>
        <v>0.14853290345570827</v>
      </c>
      <c r="G99" s="7">
        <f>MAX((1-Parameters!$B$4)^Parameters!B$65*G98+D98*Parameters!B$65-Parameters!$B$5*D98^2/G98*Parameters!B$65,0.0001)</f>
        <v>4.3882788148442105</v>
      </c>
      <c r="I99" s="7">
        <f>I98*(1+Parameters!$B$51)^Parameters!B$65</f>
        <v>10.743978570012086</v>
      </c>
      <c r="J99" s="7">
        <f>J98*(1+Parameters!$B$53)^Parameters!B$65</f>
        <v>59.209662842219402</v>
      </c>
      <c r="K99" s="7">
        <f>'6states'!$O$4</f>
        <v>0.98104277196026479</v>
      </c>
      <c r="L99" s="9">
        <f t="shared" si="25"/>
        <v>0.5</v>
      </c>
      <c r="N99" s="7">
        <f>(Parameters!$B$19*(E99+Parameters!$B$20)^L99+Parameters!$B$18*F99^L99)^(1/L99)</f>
        <v>0.53561251732458148</v>
      </c>
      <c r="O99" s="7">
        <f>(Parameters!$B$10*G99^Parameters!$B$9 + Parameters!$B$11*N99^Parameters!$B$9) ^ (Parameters!$B$7/Parameters!$B$9) * K99</f>
        <v>1.5070484096266048</v>
      </c>
      <c r="P99" s="7">
        <f t="shared" si="24"/>
        <v>1.1491534360114817</v>
      </c>
      <c r="Q99" s="7">
        <f>EXP(-Parameters!$B$55*A99)</f>
        <v>0.23823445146607616</v>
      </c>
      <c r="R99" s="7">
        <f>IF(P99&gt;0,P99^(1-Parameters!$B$52)/(1-Parameters!$B$52)*Q99,-10+P99*1000)</f>
        <v>-0.64834208657623493</v>
      </c>
      <c r="S99" s="7"/>
      <c r="T99" s="7"/>
      <c r="U99" s="7"/>
      <c r="V99" s="7"/>
    </row>
    <row r="100" spans="1:22" x14ac:dyDescent="0.25">
      <c r="A100">
        <f>A99+Parameters!$B$65</f>
        <v>96</v>
      </c>
      <c r="B100" s="46">
        <f t="shared" si="31"/>
        <v>5.191758263687303E-2</v>
      </c>
      <c r="C100" s="46">
        <f t="shared" si="30"/>
        <v>1.0017548050425843E-2</v>
      </c>
      <c r="D100" s="46">
        <f t="shared" si="30"/>
        <v>0.2959598429278244</v>
      </c>
      <c r="E100" s="7">
        <f>MAX((1-Parameters!$B$4)^Parameters!B$65*E99+B99*Parameters!B$65-Parameters!$B$5*B99^2/E99*Parameters!B$65,0.0001)</f>
        <v>0.76979304967603268</v>
      </c>
      <c r="F100" s="9">
        <f>MAX((1-Parameters!$B$4)^Parameters!B$65*F99+C99*Parameters!B$65-Parameters!$B$5*C99^2/F99*Parameters!B$65,0.0001)</f>
        <v>0.14853211545568901</v>
      </c>
      <c r="G100" s="7">
        <f>MAX((1-Parameters!$B$4)^Parameters!B$65*G99+D99*Parameters!B$65-Parameters!$B$5*D99^2/G99*Parameters!B$65,0.0001)</f>
        <v>4.3882554227470392</v>
      </c>
      <c r="I100" s="7">
        <f>I99*(1+Parameters!$B$51)^Parameters!B$65</f>
        <v>10.775136107865119</v>
      </c>
      <c r="J100" s="7">
        <f>J99*(1+Parameters!$B$53)^Parameters!B$65</f>
        <v>60.39385609906379</v>
      </c>
      <c r="K100" s="7">
        <f>'6states'!$O$4</f>
        <v>0.98104277196026479</v>
      </c>
      <c r="L100" s="9">
        <f t="shared" si="25"/>
        <v>0.5</v>
      </c>
      <c r="N100" s="7">
        <f>(Parameters!$B$19*(E100+Parameters!$B$20)^L100+Parameters!$B$18*F100^L100)^(1/L100)</f>
        <v>0.53560966897049833</v>
      </c>
      <c r="O100" s="7">
        <f>(Parameters!$B$10*G100^Parameters!$B$9 + Parameters!$B$11*N100^Parameters!$B$9) ^ (Parameters!$B$7/Parameters!$B$9) * K100</f>
        <v>1.507046000585291</v>
      </c>
      <c r="P100" s="7">
        <f t="shared" si="24"/>
        <v>1.1491510269701677</v>
      </c>
      <c r="Q100" s="7">
        <f>EXP(-Parameters!$B$55*A100)</f>
        <v>0.23466413497716049</v>
      </c>
      <c r="R100" s="7">
        <f>IF(P100&gt;0,P100^(1-Parameters!$B$52)/(1-Parameters!$B$52)*Q100,-10+P100*1000)</f>
        <v>-0.63862613325101936</v>
      </c>
      <c r="S100" s="7"/>
      <c r="T100" s="7"/>
      <c r="U100" s="7"/>
      <c r="V100" s="7"/>
    </row>
    <row r="101" spans="1:22" x14ac:dyDescent="0.25">
      <c r="A101">
        <f>A100+Parameters!$B$65</f>
        <v>97</v>
      </c>
      <c r="B101" s="46">
        <f t="shared" si="31"/>
        <v>5.191758263687303E-2</v>
      </c>
      <c r="C101" s="46">
        <f t="shared" si="30"/>
        <v>1.0017548050425843E-2</v>
      </c>
      <c r="D101" s="46">
        <f t="shared" si="30"/>
        <v>0.2959598429278244</v>
      </c>
      <c r="E101" s="7">
        <f>MAX((1-Parameters!$B$4)^Parameters!B$65*E100+B100*Parameters!B$65-Parameters!$B$5*B100^2/E100*Parameters!B$65,0.0001)</f>
        <v>0.76978914296261269</v>
      </c>
      <c r="F101" s="9">
        <f>MAX((1-Parameters!$B$4)^Parameters!B$65*F100+C100*Parameters!B$65-Parameters!$B$5*C100^2/F100*Parameters!B$65,0.0001)</f>
        <v>0.14853137343655687</v>
      </c>
      <c r="G101" s="7">
        <f>MAX((1-Parameters!$B$4)^Parameters!B$65*G100+D100*Parameters!B$65-Parameters!$B$5*D100^2/G100*Parameters!B$65,0.0001)</f>
        <v>4.3882333956110662</v>
      </c>
      <c r="I101" s="7">
        <f>I100*(1+Parameters!$B$51)^Parameters!B$65</f>
        <v>10.806384002577927</v>
      </c>
      <c r="J101" s="7">
        <f>J100*(1+Parameters!$B$53)^Parameters!B$65</f>
        <v>61.601733221045066</v>
      </c>
      <c r="K101" s="7">
        <f>'6states'!$O$4</f>
        <v>0.98104277196026479</v>
      </c>
      <c r="L101" s="9">
        <f t="shared" si="25"/>
        <v>0.5</v>
      </c>
      <c r="N101" s="7">
        <f>(Parameters!$B$19*(E101+Parameters!$B$20)^L101+Parameters!$B$18*F101^L101)^(1/L101)</f>
        <v>0.53560698682183172</v>
      </c>
      <c r="O101" s="7">
        <f>(Parameters!$B$10*G101^Parameters!$B$9 + Parameters!$B$11*N101^Parameters!$B$9) ^ (Parameters!$B$7/Parameters!$B$9) * K101</f>
        <v>1.5070437321066557</v>
      </c>
      <c r="P101" s="7">
        <f t="shared" si="24"/>
        <v>1.1491487584915325</v>
      </c>
      <c r="Q101" s="7">
        <f>EXP(-Parameters!$B$55*A101)</f>
        <v>0.23114732527432291</v>
      </c>
      <c r="R101" s="7">
        <f>IF(P101&gt;0,P101^(1-Parameters!$B$52)/(1-Parameters!$B$52)*Q101,-10+P101*1000)</f>
        <v>-0.62905575475606423</v>
      </c>
      <c r="S101" s="7"/>
      <c r="T101" s="7"/>
      <c r="U101" s="7"/>
      <c r="V101" s="7"/>
    </row>
    <row r="102" spans="1:22" x14ac:dyDescent="0.25">
      <c r="A102">
        <f>A101+Parameters!$B$65</f>
        <v>98</v>
      </c>
      <c r="B102" s="46">
        <f t="shared" si="31"/>
        <v>5.191758263687303E-2</v>
      </c>
      <c r="C102" s="46">
        <f t="shared" si="30"/>
        <v>1.0017548050425843E-2</v>
      </c>
      <c r="D102" s="46">
        <f t="shared" si="30"/>
        <v>0.2959598429278244</v>
      </c>
      <c r="E102" s="7">
        <f>MAX((1-Parameters!$B$4)^Parameters!B$65*E101+B101*Parameters!B$65-Parameters!$B$5*B101^2/E101*Parameters!B$65,0.0001)</f>
        <v>0.76978546421116878</v>
      </c>
      <c r="F102" s="9">
        <f>MAX((1-Parameters!$B$4)^Parameters!B$65*F101+C101*Parameters!B$65-Parameters!$B$5*C101^2/F101*Parameters!B$65,0.0001)</f>
        <v>0.14853067471522893</v>
      </c>
      <c r="G102" s="7">
        <f>MAX((1-Parameters!$B$4)^Parameters!B$65*G101+D101*Parameters!B$65-Parameters!$B$5*D101^2/G101*Parameters!B$65,0.0001)</f>
        <v>4.3882126537878809</v>
      </c>
      <c r="I102" s="7">
        <f>I101*(1+Parameters!$B$51)^Parameters!B$65</f>
        <v>10.837722516185401</v>
      </c>
      <c r="J102" s="7">
        <f>J101*(1+Parameters!$B$53)^Parameters!B$65</f>
        <v>62.833767885465967</v>
      </c>
      <c r="K102" s="7">
        <f>'6states'!$O$4</f>
        <v>0.98104277196026479</v>
      </c>
      <c r="L102" s="9">
        <f t="shared" si="25"/>
        <v>0.5</v>
      </c>
      <c r="N102" s="7">
        <f>(Parameters!$B$19*(E102+Parameters!$B$20)^L102+Parameters!$B$18*F102^L102)^(1/L102)</f>
        <v>0.53560446118013771</v>
      </c>
      <c r="O102" s="7">
        <f>(Parameters!$B$10*G102^Parameters!$B$9 + Parameters!$B$11*N102^Parameters!$B$9) ^ (Parameters!$B$7/Parameters!$B$9) * K102</f>
        <v>1.5070415959894958</v>
      </c>
      <c r="P102" s="7">
        <f t="shared" si="24"/>
        <v>1.1491466223743725</v>
      </c>
      <c r="Q102" s="7">
        <f>EXP(-Parameters!$B$55*A102)</f>
        <v>0.22768322047454675</v>
      </c>
      <c r="R102" s="7">
        <f>IF(P102&gt;0,P102^(1-Parameters!$B$52)/(1-Parameters!$B$52)*Q102,-10+P102*1000)</f>
        <v>-0.61962877188441823</v>
      </c>
      <c r="S102" s="7"/>
      <c r="T102" s="7"/>
      <c r="U102" s="7"/>
      <c r="V102" s="7"/>
    </row>
    <row r="103" spans="1:22" x14ac:dyDescent="0.25">
      <c r="A103">
        <f>A102+Parameters!$B$65</f>
        <v>99</v>
      </c>
      <c r="B103" s="46">
        <f t="shared" si="31"/>
        <v>5.191758263687303E-2</v>
      </c>
      <c r="C103" s="46">
        <f t="shared" si="30"/>
        <v>1.0017548050425843E-2</v>
      </c>
      <c r="D103" s="46">
        <f t="shared" si="30"/>
        <v>0.2959598429278244</v>
      </c>
      <c r="E103" s="7">
        <f>MAX((1-Parameters!$B$4)^Parameters!B$65*E102+B102*Parameters!B$65-Parameters!$B$5*B102^2/E102*Parameters!B$65,0.0001)</f>
        <v>0.76978200011964837</v>
      </c>
      <c r="F103" s="9">
        <f>MAX((1-Parameters!$B$4)^Parameters!B$65*F102+C102*Parameters!B$65-Parameters!$B$5*C102^2/F102*Parameters!B$65,0.0001)</f>
        <v>0.1485300167651899</v>
      </c>
      <c r="G103" s="7">
        <f>MAX((1-Parameters!$B$4)^Parameters!B$65*G102+D102*Parameters!B$65-Parameters!$B$5*D102^2/G102*Parameters!B$65,0.0001)</f>
        <v>4.3881931222768493</v>
      </c>
      <c r="I103" s="7">
        <f>I102*(1+Parameters!$B$51)^Parameters!B$65</f>
        <v>10.869151911482337</v>
      </c>
      <c r="J103" s="7">
        <f>J102*(1+Parameters!$B$53)^Parameters!B$65</f>
        <v>64.090443243175287</v>
      </c>
      <c r="K103" s="7">
        <f>'6states'!$O$4</f>
        <v>0.98104277196026479</v>
      </c>
      <c r="L103" s="9">
        <f t="shared" si="25"/>
        <v>0.5</v>
      </c>
      <c r="N103" s="7">
        <f>(Parameters!$B$19*(E103+Parameters!$B$20)^L103+Parameters!$B$18*F103^L103)^(1/L103)</f>
        <v>0.53560208291291167</v>
      </c>
      <c r="O103" s="7">
        <f>(Parameters!$B$10*G103^Parameters!$B$9 + Parameters!$B$11*N103^Parameters!$B$9) ^ (Parameters!$B$7/Parameters!$B$9) * K103</f>
        <v>1.5070395845110729</v>
      </c>
      <c r="P103" s="7">
        <f t="shared" si="24"/>
        <v>1.1491446108959495</v>
      </c>
      <c r="Q103" s="7">
        <f>EXP(-Parameters!$B$55*A103)</f>
        <v>0.22427103071228871</v>
      </c>
      <c r="R103" s="7">
        <f>IF(P103&gt;0,P103^(1-Parameters!$B$52)/(1-Parameters!$B$52)*Q103,-10+P103*1000)</f>
        <v>-0.61034303790974387</v>
      </c>
      <c r="S103" s="7"/>
      <c r="T103" s="7"/>
      <c r="U103" s="7"/>
      <c r="V103" s="7"/>
    </row>
    <row r="104" spans="1:22" x14ac:dyDescent="0.25">
      <c r="A104">
        <f>A103+Parameters!$B$65</f>
        <v>100</v>
      </c>
      <c r="B104" s="9">
        <f t="shared" si="31"/>
        <v>5.191758263687303E-2</v>
      </c>
      <c r="C104" s="9">
        <f t="shared" si="30"/>
        <v>1.0017548050425843E-2</v>
      </c>
      <c r="D104" s="7">
        <f t="shared" si="30"/>
        <v>0.2959598429278244</v>
      </c>
      <c r="E104" s="7">
        <f>MAX((1-Parameters!$B$4)^Parameters!B$65*E103+B103*Parameters!B$65-Parameters!$B$5*B103^2/E103*Parameters!B$65,0.0001)</f>
        <v>0.7697787381622202</v>
      </c>
      <c r="F104" s="9">
        <f>MAX((1-Parameters!$B$4)^Parameters!B$65*F103+C103*Parameters!B$65-Parameters!$B$5*C103^2/F103*Parameters!B$65,0.0001)</f>
        <v>0.1485293972073552</v>
      </c>
      <c r="G104" s="7">
        <f>MAX((1-Parameters!$B$4)^Parameters!B$65*G103+D103*Parameters!B$65-Parameters!$B$5*D103^2/G103*Parameters!B$65,0.0001)</f>
        <v>4.3881747304538772</v>
      </c>
      <c r="I104" s="7">
        <f>I103*(1+Parameters!$B$51)^Parameters!B$65</f>
        <v>10.900672452025635</v>
      </c>
      <c r="J104" s="7">
        <f>J103*(1+Parameters!$B$53)^Parameters!B$65</f>
        <v>65.372252108038793</v>
      </c>
      <c r="K104" s="7">
        <f>'6states'!$O$4</f>
        <v>0.98104277196026479</v>
      </c>
      <c r="L104" s="9">
        <f t="shared" si="25"/>
        <v>0.5</v>
      </c>
      <c r="N104" s="7">
        <f>(Parameters!$B$19*(E104+Parameters!$B$20)^L104+Parameters!$B$18*F104^L104)^(1/L104)</f>
        <v>0.53559984342056188</v>
      </c>
      <c r="O104" s="7">
        <f>(Parameters!$B$10*G104^Parameters!$B$9 + Parameters!$B$11*N104^Parameters!$B$9) ^ (Parameters!$B$7/Parameters!$B$9) * K104</f>
        <v>1.5070376903992029</v>
      </c>
      <c r="P104" s="7">
        <f t="shared" si="24"/>
        <v>1.1491427167840795</v>
      </c>
      <c r="Q104" s="7">
        <f>EXP(-Parameters!$B$55*A104)</f>
        <v>0.22090997795937814</v>
      </c>
      <c r="R104" s="7">
        <f>IF(P104&gt;0,P104^(1-Parameters!$B$52)/(1-Parameters!$B$52)*Q104,-10+P104*1000)</f>
        <v>-0.60119643811245471</v>
      </c>
      <c r="S104" s="7"/>
      <c r="T104" s="7"/>
      <c r="U104" s="7"/>
      <c r="V104" s="7"/>
    </row>
    <row r="105" spans="1:22" x14ac:dyDescent="0.25">
      <c r="A105">
        <f>A104+Parameters!$B$65</f>
        <v>101</v>
      </c>
      <c r="B105" s="9">
        <f t="shared" si="31"/>
        <v>5.191758263687303E-2</v>
      </c>
      <c r="C105" s="9">
        <f>C104</f>
        <v>1.0017548050425843E-2</v>
      </c>
      <c r="D105" s="7">
        <f>D104</f>
        <v>0.2959598429278244</v>
      </c>
      <c r="E105" s="7">
        <f>MAX((1-Parameters!$B$4)^Parameters!B$65*E104+B104*Parameters!B$65-Parameters!$B$5*B104^2/E104*Parameters!B$65,0.0001)</f>
        <v>0.76977566654397622</v>
      </c>
      <c r="F105" s="9">
        <f>MAX((1-Parameters!$B$4)^Parameters!B$65*F104+C104*Parameters!B$65-Parameters!$B$5*C104^2/F104*Parameters!B$65,0.0001)</f>
        <v>0.14852881380146765</v>
      </c>
      <c r="G105" s="7">
        <f>MAX((1-Parameters!$B$4)^Parameters!B$65*G104+D104*Parameters!B$65-Parameters!$B$5*D104^2/G104*Parameters!B$65,0.0001)</f>
        <v>4.3881574118160218</v>
      </c>
      <c r="I105" s="7">
        <f>I104*(1+Parameters!$B$51)^Parameters!B$65</f>
        <v>10.932284402136508</v>
      </c>
      <c r="J105" s="7">
        <f>J104*(1+Parameters!$B$53)^Parameters!B$65</f>
        <v>66.679697150199573</v>
      </c>
      <c r="K105" s="7">
        <f>'6states'!$O$4</f>
        <v>0.98104277196026479</v>
      </c>
      <c r="L105" s="9">
        <f t="shared" si="25"/>
        <v>0.5</v>
      </c>
      <c r="N105" s="7">
        <f>(Parameters!$B$19*(E105+Parameters!$B$20)^L105+Parameters!$B$18*F105^L105)^(1/L105)</f>
        <v>0.53559773460531157</v>
      </c>
      <c r="O105" s="7">
        <f>(Parameters!$B$10*G105^Parameters!$B$9 + Parameters!$B$11*N105^Parameters!$B$9) ^ (Parameters!$B$7/Parameters!$B$9) * K105</f>
        <v>1.507035906805976</v>
      </c>
      <c r="P105" s="7">
        <f t="shared" si="24"/>
        <v>1.1491409331908526</v>
      </c>
      <c r="Q105" s="7">
        <f>EXP(-Parameters!$B$55*A105)</f>
        <v>0.21759929584761534</v>
      </c>
      <c r="R105" s="7">
        <f>IF(P105&gt;0,P105^(1-Parameters!$B$52)/(1-Parameters!$B$52)*Q105,-10+P105*1000)</f>
        <v>-0.59218688931201724</v>
      </c>
      <c r="S105" s="7"/>
      <c r="T105" s="7"/>
      <c r="U105" s="7"/>
      <c r="V105" s="7"/>
    </row>
    <row r="106" spans="1:22" x14ac:dyDescent="0.25">
      <c r="A106">
        <f>A105+Parameters!$B$65</f>
        <v>102</v>
      </c>
      <c r="B106" s="9">
        <f t="shared" si="31"/>
        <v>5.191758263687303E-2</v>
      </c>
      <c r="C106" s="9">
        <f t="shared" si="31"/>
        <v>1.0017548050425843E-2</v>
      </c>
      <c r="D106" s="7">
        <f t="shared" si="31"/>
        <v>0.2959598429278244</v>
      </c>
      <c r="E106" s="7">
        <f>MAX((1-Parameters!$B$4)^Parameters!B$65*E105+B105*Parameters!B$65-Parameters!$B$5*B105^2/E105*Parameters!B$65,0.0001)</f>
        <v>0.76977277415827849</v>
      </c>
      <c r="F106" s="9">
        <f>MAX((1-Parameters!$B$4)^Parameters!B$65*F105+C105*Parameters!B$65-Parameters!$B$5*C105^2/F105*Parameters!B$65,0.0001)</f>
        <v>0.14852826443799605</v>
      </c>
      <c r="G106" s="7">
        <f>MAX((1-Parameters!$B$4)^Parameters!B$65*G105+D105*Parameters!B$65-Parameters!$B$5*D105^2/G105*Parameters!B$65,0.0001)</f>
        <v>4.3881411037409919</v>
      </c>
      <c r="I106" s="7">
        <f>I105*(1+Parameters!$B$51)^Parameters!B$65</f>
        <v>10.963988026902703</v>
      </c>
      <c r="J106" s="7">
        <f>J105*(1+Parameters!$B$53)^Parameters!B$65</f>
        <v>68.013291093203563</v>
      </c>
      <c r="K106" s="7">
        <f>'6states'!$O$4</f>
        <v>0.98104277196026479</v>
      </c>
      <c r="L106" s="9">
        <f t="shared" si="25"/>
        <v>0.5</v>
      </c>
      <c r="N106" s="7">
        <f>(Parameters!$B$19*(E106+Parameters!$B$20)^L106+Parameters!$B$18*F106^L106)^(1/L106)</f>
        <v>0.53559574884191452</v>
      </c>
      <c r="O106" s="7">
        <f>(Parameters!$B$10*G106^Parameters!$B$9 + Parameters!$B$11*N106^Parameters!$B$9) ^ (Parameters!$B$7/Parameters!$B$9) * K106</f>
        <v>1.5070342272830033</v>
      </c>
      <c r="P106" s="7">
        <f t="shared" si="24"/>
        <v>1.1491392536678799</v>
      </c>
      <c r="Q106" s="7">
        <f>EXP(-Parameters!$B$55*A106)</f>
        <v>0.2143382294940287</v>
      </c>
      <c r="R106" s="7">
        <f>IF(P106&gt;0,P106^(1-Parameters!$B$52)/(1-Parameters!$B$52)*Q106,-10+P106*1000)</f>
        <v>-0.58331233940539728</v>
      </c>
      <c r="S106" s="7"/>
      <c r="T106" s="7"/>
      <c r="U106" s="7"/>
      <c r="V106" s="7"/>
    </row>
    <row r="107" spans="1:22" x14ac:dyDescent="0.25">
      <c r="A107">
        <f>A106+Parameters!$B$65</f>
        <v>103</v>
      </c>
      <c r="B107" s="9">
        <f t="shared" si="31"/>
        <v>5.191758263687303E-2</v>
      </c>
      <c r="C107" s="9">
        <f t="shared" si="31"/>
        <v>1.0017548050425843E-2</v>
      </c>
      <c r="D107" s="7">
        <f t="shared" si="31"/>
        <v>0.2959598429278244</v>
      </c>
      <c r="E107" s="7">
        <f>MAX((1-Parameters!$B$4)^Parameters!B$65*E106+B106*Parameters!B$65-Parameters!$B$5*B106^2/E106*Parameters!B$65,0.0001)</f>
        <v>0.76977005054659486</v>
      </c>
      <c r="F107" s="9">
        <f>MAX((1-Parameters!$B$4)^Parameters!B$65*F106+C106*Parameters!B$65-Parameters!$B$5*C106^2/F106*Parameters!B$65,0.0001)</f>
        <v>0.14852774713050654</v>
      </c>
      <c r="G107" s="7">
        <f>MAX((1-Parameters!$B$4)^Parameters!B$65*G106+D106*Parameters!B$65-Parameters!$B$5*D106^2/G106*Parameters!B$65,0.0001)</f>
        <v>4.3881257472606929</v>
      </c>
      <c r="I107" s="7">
        <f>I106*(1+Parameters!$B$51)^Parameters!B$65</f>
        <v>10.99578359218072</v>
      </c>
      <c r="J107" s="7">
        <f>J106*(1+Parameters!$B$53)^Parameters!B$65</f>
        <v>69.373556915067638</v>
      </c>
      <c r="K107" s="7">
        <f>'6states'!$O$4</f>
        <v>0.98104277196026479</v>
      </c>
      <c r="L107" s="9">
        <f t="shared" si="25"/>
        <v>0.5</v>
      </c>
      <c r="N107" s="7">
        <f>(Parameters!$B$19*(E107+Parameters!$B$20)^L107+Parameters!$B$18*F107^L107)^(1/L107)</f>
        <v>0.53559387895008037</v>
      </c>
      <c r="O107" s="7">
        <f>(Parameters!$B$10*G107^Parameters!$B$9 + Parameters!$B$11*N107^Parameters!$B$9) ^ (Parameters!$B$7/Parameters!$B$9) * K107</f>
        <v>1.5070326457581158</v>
      </c>
      <c r="P107" s="7">
        <f t="shared" si="24"/>
        <v>1.1491376721429925</v>
      </c>
      <c r="Q107" s="7">
        <f>EXP(-Parameters!$B$55*A107)</f>
        <v>0.21112603532875074</v>
      </c>
      <c r="R107" s="7">
        <f>IF(P107&gt;0,P107^(1-Parameters!$B$52)/(1-Parameters!$B$52)*Q107,-10+P107*1000)</f>
        <v>-0.57457076691161646</v>
      </c>
      <c r="S107" s="7"/>
      <c r="T107" s="7"/>
      <c r="U107" s="7"/>
      <c r="V107" s="7"/>
    </row>
    <row r="108" spans="1:22" x14ac:dyDescent="0.25">
      <c r="A108">
        <f>A107+Parameters!$B$65</f>
        <v>104</v>
      </c>
      <c r="B108" s="9">
        <f t="shared" si="31"/>
        <v>5.191758263687303E-2</v>
      </c>
      <c r="C108" s="9">
        <f t="shared" si="31"/>
        <v>1.0017548050425843E-2</v>
      </c>
      <c r="D108" s="7">
        <f t="shared" si="31"/>
        <v>0.2959598429278244</v>
      </c>
      <c r="E108" s="7">
        <f>MAX((1-Parameters!$B$4)^Parameters!B$65*E107+B107*Parameters!B$65-Parameters!$B$5*B107^2/E107*Parameters!B$65,0.0001)</f>
        <v>0.76976748586067811</v>
      </c>
      <c r="F108" s="9">
        <f>MAX((1-Parameters!$B$4)^Parameters!B$65*F107+C107*Parameters!B$65-Parameters!$B$5*C107^2/F107*Parameters!B$65,0.0001)</f>
        <v>0.14852726000847927</v>
      </c>
      <c r="G108" s="7">
        <f>MAX((1-Parameters!$B$4)^Parameters!B$65*G107+D107*Parameters!B$65-Parameters!$B$5*D107^2/G107*Parameters!B$65,0.0001)</f>
        <v>4.3881112868479857</v>
      </c>
      <c r="I108" s="7">
        <f>I107*(1+Parameters!$B$51)^Parameters!B$65</f>
        <v>11.027671364598042</v>
      </c>
      <c r="J108" s="7">
        <f>J107*(1+Parameters!$B$53)^Parameters!B$65</f>
        <v>70.761028053368989</v>
      </c>
      <c r="K108" s="7">
        <f>'6states'!$O$4</f>
        <v>0.98104277196026479</v>
      </c>
      <c r="L108" s="9">
        <f t="shared" si="25"/>
        <v>0.5</v>
      </c>
      <c r="N108" s="7">
        <f>(Parameters!$B$19*(E108+Parameters!$B$20)^L108+Parameters!$B$18*F108^L108)^(1/L108)</f>
        <v>0.53559211816850916</v>
      </c>
      <c r="O108" s="7">
        <f>(Parameters!$B$10*G108^Parameters!$B$9 + Parameters!$B$11*N108^Parameters!$B$9) ^ (Parameters!$B$7/Parameters!$B$9) * K108</f>
        <v>1.5070311565134136</v>
      </c>
      <c r="P108" s="7">
        <f t="shared" si="24"/>
        <v>1.1491361828982902</v>
      </c>
      <c r="Q108" s="7">
        <f>EXP(-Parameters!$B$55*A108)</f>
        <v>0.20796198092547327</v>
      </c>
      <c r="R108" s="7">
        <f>IF(P108&gt;0,P108^(1-Parameters!$B$52)/(1-Parameters!$B$52)*Q108,-10+P108*1000)</f>
        <v>-0.56596018052239061</v>
      </c>
      <c r="S108" s="7"/>
      <c r="T108" s="7"/>
      <c r="U108" s="7"/>
      <c r="V108" s="7"/>
    </row>
    <row r="109" spans="1:22" x14ac:dyDescent="0.25">
      <c r="A109">
        <f>A108+Parameters!$B$65</f>
        <v>105</v>
      </c>
      <c r="B109" s="9">
        <f t="shared" si="31"/>
        <v>5.191758263687303E-2</v>
      </c>
      <c r="C109" s="9">
        <f t="shared" si="31"/>
        <v>1.0017548050425843E-2</v>
      </c>
      <c r="D109" s="7">
        <f t="shared" si="31"/>
        <v>0.2959598429278244</v>
      </c>
      <c r="E109" s="7">
        <f>MAX((1-Parameters!$B$4)^Parameters!B$65*E108+B108*Parameters!B$65-Parameters!$B$5*B108^2/E108*Parameters!B$65,0.0001)</f>
        <v>0.769765070826953</v>
      </c>
      <c r="F109" s="9">
        <f>MAX((1-Parameters!$B$4)^Parameters!B$65*F108+C108*Parameters!B$65-Parameters!$B$5*C108^2/F108*Parameters!B$65,0.0001)</f>
        <v>0.14852680131054427</v>
      </c>
      <c r="G109" s="7">
        <f>MAX((1-Parameters!$B$4)^Parameters!B$65*G108+D108*Parameters!B$65-Parameters!$B$5*D108^2/G108*Parameters!B$65,0.0001)</f>
        <v>4.3880976702158891</v>
      </c>
      <c r="I109" s="7">
        <f>I108*(1+Parameters!$B$51)^Parameters!B$65</f>
        <v>11.059651611555376</v>
      </c>
      <c r="J109" s="7">
        <f>J108*(1+Parameters!$B$53)^Parameters!B$65</f>
        <v>72.176248614436375</v>
      </c>
      <c r="K109" s="7">
        <f>'6states'!$O$4</f>
        <v>0.98104277196026479</v>
      </c>
      <c r="L109" s="9">
        <f t="shared" si="25"/>
        <v>0.5</v>
      </c>
      <c r="N109" s="7">
        <f>(Parameters!$B$19*(E109+Parameters!$B$20)^L109+Parameters!$B$18*F109^L109)^(1/L109)</f>
        <v>0.53559046013044087</v>
      </c>
      <c r="O109" s="7">
        <f>(Parameters!$B$10*G109^Parameters!$B$9 + Parameters!$B$11*N109^Parameters!$B$9) ^ (Parameters!$B$7/Parameters!$B$9) * K109</f>
        <v>1.5070297541646014</v>
      </c>
      <c r="P109" s="7">
        <f t="shared" si="24"/>
        <v>1.149134780549478</v>
      </c>
      <c r="Q109" s="7">
        <f>EXP(-Parameters!$B$55*A109)</f>
        <v>0.2048453448344438</v>
      </c>
      <c r="R109" s="7">
        <f>IF(P109&gt;0,P109^(1-Parameters!$B$52)/(1-Parameters!$B$52)*Q109,-10+P109*1000)</f>
        <v>-0.5574786186588081</v>
      </c>
      <c r="S109" s="7"/>
      <c r="T109" s="7"/>
      <c r="U109" s="7"/>
      <c r="V109" s="7"/>
    </row>
    <row r="110" spans="1:22" x14ac:dyDescent="0.25">
      <c r="A110">
        <f>A109+Parameters!$B$65</f>
        <v>106</v>
      </c>
      <c r="B110" s="9">
        <f t="shared" si="31"/>
        <v>5.191758263687303E-2</v>
      </c>
      <c r="C110" s="9">
        <f t="shared" si="31"/>
        <v>1.0017548050425843E-2</v>
      </c>
      <c r="D110" s="7">
        <f t="shared" si="31"/>
        <v>0.2959598429278244</v>
      </c>
      <c r="E110" s="7">
        <f>MAX((1-Parameters!$B$4)^Parameters!B$65*E109+B109*Parameters!B$65-Parameters!$B$5*B109^2/E109*Parameters!B$65,0.0001)</f>
        <v>0.76976279671298153</v>
      </c>
      <c r="F110" s="9">
        <f>MAX((1-Parameters!$B$4)^Parameters!B$65*F109+C109*Parameters!B$65-Parameters!$B$5*C109^2/F109*Parameters!B$65,0.0001)</f>
        <v>0.14852636937811201</v>
      </c>
      <c r="G110" s="7">
        <f>MAX((1-Parameters!$B$4)^Parameters!B$65*G109+D109*Parameters!B$65-Parameters!$B$5*D109^2/G109*Parameters!B$65,0.0001)</f>
        <v>4.3880848481285026</v>
      </c>
      <c r="I110" s="7">
        <f>I109*(1+Parameters!$B$51)^Parameters!B$65</f>
        <v>11.091724601228885</v>
      </c>
      <c r="J110" s="7">
        <f>J109*(1+Parameters!$B$53)^Parameters!B$65</f>
        <v>73.619773586725103</v>
      </c>
      <c r="K110" s="7">
        <f>'6states'!$O$4</f>
        <v>0.98104277196026479</v>
      </c>
      <c r="L110" s="9">
        <f t="shared" si="25"/>
        <v>0.5</v>
      </c>
      <c r="N110" s="7">
        <f>(Parameters!$B$19*(E110+Parameters!$B$20)^L110+Parameters!$B$18*F110^L110)^(1/L110)</f>
        <v>0.53558889884063299</v>
      </c>
      <c r="O110" s="7">
        <f>(Parameters!$B$10*G110^Parameters!$B$9 + Parameters!$B$11*N110^Parameters!$B$9) ^ (Parameters!$B$7/Parameters!$B$9) * K110</f>
        <v>1.5070284336415247</v>
      </c>
      <c r="P110" s="7">
        <f t="shared" si="24"/>
        <v>1.1491334600264014</v>
      </c>
      <c r="Q110" s="7">
        <f>EXP(-Parameters!$B$55*A110)</f>
        <v>0.20177541641796462</v>
      </c>
      <c r="R110" s="7">
        <f>IF(P110&gt;0,P110^(1-Parameters!$B$52)/(1-Parameters!$B$52)*Q110,-10+P110*1000)</f>
        <v>-0.54912414903401141</v>
      </c>
      <c r="S110" s="7"/>
      <c r="T110" s="7"/>
      <c r="U110" s="7"/>
      <c r="V110" s="7"/>
    </row>
    <row r="111" spans="1:22" x14ac:dyDescent="0.25">
      <c r="A111">
        <f>A110+Parameters!$B$65</f>
        <v>107</v>
      </c>
      <c r="B111" s="9">
        <f t="shared" si="31"/>
        <v>5.191758263687303E-2</v>
      </c>
      <c r="C111" s="9">
        <f t="shared" si="31"/>
        <v>1.0017548050425843E-2</v>
      </c>
      <c r="D111" s="7">
        <f t="shared" si="31"/>
        <v>0.2959598429278244</v>
      </c>
      <c r="E111" s="7">
        <f>MAX((1-Parameters!$B$4)^Parameters!B$65*E110+B110*Parameters!B$65-Parameters!$B$5*B110^2/E110*Parameters!B$65,0.0001)</f>
        <v>0.76976065529588511</v>
      </c>
      <c r="F111" s="9">
        <f>MAX((1-Parameters!$B$4)^Parameters!B$65*F110+C110*Parameters!B$65-Parameters!$B$5*C110^2/F110*Parameters!B$65,0.0001)</f>
        <v>0.1485259626493757</v>
      </c>
      <c r="G111" s="7">
        <f>MAX((1-Parameters!$B$4)^Parameters!B$65*G110+D110*Parameters!B$65-Parameters!$B$5*D110^2/G110*Parameters!B$65,0.0001)</f>
        <v>4.3880727742229606</v>
      </c>
      <c r="I111" s="7">
        <f>I110*(1+Parameters!$B$51)^Parameters!B$65</f>
        <v>11.123890602572446</v>
      </c>
      <c r="J111" s="7">
        <f>J110*(1+Parameters!$B$53)^Parameters!B$65</f>
        <v>75.092169058459604</v>
      </c>
      <c r="K111" s="7">
        <f>'6states'!$O$4</f>
        <v>0.98104277196026479</v>
      </c>
      <c r="L111" s="9">
        <f t="shared" si="25"/>
        <v>0.5</v>
      </c>
      <c r="N111" s="7">
        <f>(Parameters!$B$19*(E111+Parameters!$B$20)^L111+Parameters!$B$18*F111^L111)^(1/L111)</f>
        <v>0.53558742865367981</v>
      </c>
      <c r="O111" s="7">
        <f>(Parameters!$B$10*G111^Parameters!$B$9 + Parameters!$B$11*N111^Parameters!$B$9) ^ (Parameters!$B$7/Parameters!$B$9) * K111</f>
        <v>1.5070271901698455</v>
      </c>
      <c r="P111" s="7">
        <f t="shared" si="24"/>
        <v>1.1491322165547224</v>
      </c>
      <c r="Q111" s="7">
        <f>EXP(-Parameters!$B$55*A111)</f>
        <v>0.19875149568835732</v>
      </c>
      <c r="R111" s="7">
        <f>IF(P111&gt;0,P111^(1-Parameters!$B$52)/(1-Parameters!$B$52)*Q111,-10+P111*1000)</f>
        <v>-0.54089486822183708</v>
      </c>
      <c r="S111" s="7"/>
      <c r="T111" s="7"/>
      <c r="U111" s="7"/>
      <c r="V111" s="7"/>
    </row>
    <row r="112" spans="1:22" x14ac:dyDescent="0.25">
      <c r="A112">
        <f>A111+Parameters!$B$65</f>
        <v>108</v>
      </c>
      <c r="B112" s="9">
        <f t="shared" ref="B112:D127" si="32">B111</f>
        <v>5.191758263687303E-2</v>
      </c>
      <c r="C112" s="9">
        <f t="shared" si="32"/>
        <v>1.0017548050425843E-2</v>
      </c>
      <c r="D112" s="7">
        <f t="shared" si="32"/>
        <v>0.2959598429278244</v>
      </c>
      <c r="E112" s="7">
        <f>MAX((1-Parameters!$B$4)^Parameters!B$65*E111+B111*Parameters!B$65-Parameters!$B$5*B111^2/E111*Parameters!B$65,0.0001)</f>
        <v>0.76975863883260953</v>
      </c>
      <c r="F112" s="9">
        <f>MAX((1-Parameters!$B$4)^Parameters!B$65*F111+C111*Parameters!B$65-Parameters!$B$5*C111^2/F111*Parameters!B$65,0.0001)</f>
        <v>0.1485255796536637</v>
      </c>
      <c r="G112" s="7">
        <f>MAX((1-Parameters!$B$4)^Parameters!B$65*G111+D111*Parameters!B$65-Parameters!$B$5*D111^2/G111*Parameters!B$65,0.0001)</f>
        <v>4.3880614048417792</v>
      </c>
      <c r="I112" s="7">
        <f>I111*(1+Parameters!$B$51)^Parameters!B$65</f>
        <v>11.156149885319905</v>
      </c>
      <c r="J112" s="7">
        <f>J111*(1+Parameters!$B$53)^Parameters!B$65</f>
        <v>76.594012439628798</v>
      </c>
      <c r="K112" s="7">
        <f>'6states'!$O$4</f>
        <v>0.98104277196026479</v>
      </c>
      <c r="L112" s="9">
        <f t="shared" si="25"/>
        <v>0.5</v>
      </c>
      <c r="N112" s="7">
        <f>(Parameters!$B$19*(E112+Parameters!$B$20)^L112+Parameters!$B$18*F112^L112)^(1/L112)</f>
        <v>0.53558604425359824</v>
      </c>
      <c r="O112" s="7">
        <f>(Parameters!$B$10*G112^Parameters!$B$9 + Parameters!$B$11*N112^Parameters!$B$9) ^ (Parameters!$B$7/Parameters!$B$9) * K112</f>
        <v>1.5070260192537845</v>
      </c>
      <c r="P112" s="7">
        <f t="shared" si="24"/>
        <v>1.1491310456386614</v>
      </c>
      <c r="Q112" s="7">
        <f>EXP(-Parameters!$B$55*A112)</f>
        <v>0.19577289314835553</v>
      </c>
      <c r="R112" s="7">
        <f>IF(P112&gt;0,P112^(1-Parameters!$B$52)/(1-Parameters!$B$52)*Q112,-10+P112*1000)</f>
        <v>-0.53278890123136735</v>
      </c>
      <c r="S112" s="7"/>
      <c r="T112" s="7"/>
      <c r="U112" s="7"/>
      <c r="V112" s="7"/>
    </row>
    <row r="113" spans="1:22" x14ac:dyDescent="0.25">
      <c r="A113">
        <f>A112+Parameters!$B$65</f>
        <v>109</v>
      </c>
      <c r="B113" s="9">
        <f t="shared" si="32"/>
        <v>5.191758263687303E-2</v>
      </c>
      <c r="C113" s="9">
        <f t="shared" si="32"/>
        <v>1.0017548050425843E-2</v>
      </c>
      <c r="D113" s="7">
        <f t="shared" si="32"/>
        <v>0.2959598429278244</v>
      </c>
      <c r="E113" s="7">
        <f>MAX((1-Parameters!$B$4)^Parameters!B$65*E112+B112*Parameters!B$65-Parameters!$B$5*B112^2/E112*Parameters!B$65,0.0001)</f>
        <v>0.7697567400319254</v>
      </c>
      <c r="F113" s="9">
        <f>MAX((1-Parameters!$B$4)^Parameters!B$65*F112+C112*Parameters!B$65-Parameters!$B$5*C112^2/F112*Parameters!B$65,0.0001)</f>
        <v>0.14852521900612126</v>
      </c>
      <c r="G113" s="7">
        <f>MAX((1-Parameters!$B$4)^Parameters!B$65*G112+D112*Parameters!B$65-Parameters!$B$5*D112^2/G112*Parameters!B$65,0.0001)</f>
        <v>4.3880506988749879</v>
      </c>
      <c r="I113" s="7">
        <f>I112*(1+Parameters!$B$51)^Parameters!B$65</f>
        <v>11.188502719987332</v>
      </c>
      <c r="J113" s="7">
        <f>J112*(1+Parameters!$B$53)^Parameters!B$65</f>
        <v>78.125892688421374</v>
      </c>
      <c r="K113" s="7">
        <f>'6states'!$O$4</f>
        <v>0.98104277196026479</v>
      </c>
      <c r="L113" s="9">
        <f t="shared" si="25"/>
        <v>0.5</v>
      </c>
      <c r="N113" s="7">
        <f>(Parameters!$B$19*(E113+Parameters!$B$20)^L113+Parameters!$B$18*F113^L113)^(1/L113)</f>
        <v>0.53558474063460537</v>
      </c>
      <c r="O113" s="7">
        <f>(Parameters!$B$10*G113^Parameters!$B$9 + Parameters!$B$11*N113^Parameters!$B$9) ^ (Parameters!$B$7/Parameters!$B$9) * K113</f>
        <v>1.5070249166598682</v>
      </c>
      <c r="P113" s="7">
        <f t="shared" si="24"/>
        <v>1.1491299430447448</v>
      </c>
      <c r="Q113" s="7">
        <f>EXP(-Parameters!$B$55*A113)</f>
        <v>0.19283892963388949</v>
      </c>
      <c r="R113" s="7">
        <f>IF(P113&gt;0,P113^(1-Parameters!$B$52)/(1-Parameters!$B$52)*Q113,-10+P113*1000)</f>
        <v>-0.52480440108734494</v>
      </c>
      <c r="S113" s="7"/>
      <c r="T113" s="7"/>
      <c r="U113" s="7"/>
      <c r="V113" s="7"/>
    </row>
    <row r="114" spans="1:22" x14ac:dyDescent="0.25">
      <c r="A114">
        <f>A113+Parameters!$B$65</f>
        <v>110</v>
      </c>
      <c r="B114" s="9">
        <f t="shared" si="32"/>
        <v>5.191758263687303E-2</v>
      </c>
      <c r="C114" s="9">
        <f t="shared" si="32"/>
        <v>1.0017548050425843E-2</v>
      </c>
      <c r="D114" s="7">
        <f t="shared" si="32"/>
        <v>0.2959598429278244</v>
      </c>
      <c r="E114" s="7">
        <f>MAX((1-Parameters!$B$4)^Parameters!B$65*E113+B113*Parameters!B$65-Parameters!$B$5*B113^2/E113*Parameters!B$65,0.0001)</f>
        <v>0.76975495202806221</v>
      </c>
      <c r="F114" s="9">
        <f>MAX((1-Parameters!$B$4)^Parameters!B$65*F113+C113*Parameters!B$65-Parameters!$B$5*C113^2/F113*Parameters!B$65,0.0001)</f>
        <v>0.14852487940270284</v>
      </c>
      <c r="G114" s="7">
        <f>MAX((1-Parameters!$B$4)^Parameters!B$65*G113+D113*Parameters!B$65-Parameters!$B$5*D113^2/G113*Parameters!B$65,0.0001)</f>
        <v>4.3880406176114697</v>
      </c>
      <c r="I114" s="7">
        <f>I113*(1+Parameters!$B$51)^Parameters!B$65</f>
        <v>11.220949377875295</v>
      </c>
      <c r="J114" s="7">
        <f>J113*(1+Parameters!$B$53)^Parameters!B$65</f>
        <v>79.6884105421898</v>
      </c>
      <c r="K114" s="7">
        <f>'6states'!$O$4</f>
        <v>0.98104277196026479</v>
      </c>
      <c r="L114" s="9">
        <f t="shared" si="25"/>
        <v>0.5</v>
      </c>
      <c r="N114" s="7">
        <f>(Parameters!$B$19*(E114+Parameters!$B$20)^L114+Parameters!$B$18*F114^L114)^(1/L114)</f>
        <v>0.53558351308301588</v>
      </c>
      <c r="O114" s="7">
        <f>(Parameters!$B$10*G114^Parameters!$B$9 + Parameters!$B$11*N114^Parameters!$B$9) ^ (Parameters!$B$7/Parameters!$B$9) * K114</f>
        <v>1.5070238784016281</v>
      </c>
      <c r="P114" s="7">
        <f t="shared" si="24"/>
        <v>1.149128904786505</v>
      </c>
      <c r="Q114" s="7">
        <f>EXP(-Parameters!$B$55*A114)</f>
        <v>0.18994893615922709</v>
      </c>
      <c r="R114" s="7">
        <f>IF(P114&gt;0,P114^(1-Parameters!$B$52)/(1-Parameters!$B$52)*Q114,-10+P114*1000)</f>
        <v>-0.51693954841640155</v>
      </c>
      <c r="S114" s="7"/>
      <c r="T114" s="7"/>
      <c r="U114" s="7"/>
      <c r="V114" s="7"/>
    </row>
    <row r="115" spans="1:22" x14ac:dyDescent="0.25">
      <c r="A115">
        <f>A114+Parameters!$B$65</f>
        <v>111</v>
      </c>
      <c r="B115" s="9">
        <f t="shared" si="32"/>
        <v>5.191758263687303E-2</v>
      </c>
      <c r="C115" s="9">
        <f t="shared" si="32"/>
        <v>1.0017548050425843E-2</v>
      </c>
      <c r="D115" s="7">
        <f t="shared" si="32"/>
        <v>0.2959598429278244</v>
      </c>
      <c r="E115" s="7">
        <f>MAX((1-Parameters!$B$4)^Parameters!B$65*E114+B114*Parameters!B$65-Parameters!$B$5*B114^2/E114*Parameters!B$65,0.0001)</f>
        <v>0.76975326835588131</v>
      </c>
      <c r="F115" s="9">
        <f>MAX((1-Parameters!$B$4)^Parameters!B$65*F114+C114*Parameters!B$65-Parameters!$B$5*C114^2/F114*Parameters!B$65,0.0001)</f>
        <v>0.14852455961545677</v>
      </c>
      <c r="G115" s="7">
        <f>MAX((1-Parameters!$B$4)^Parameters!B$65*G114+D114*Parameters!B$65-Parameters!$B$5*D114^2/G114*Parameters!B$65,0.0001)</f>
        <v>4.3880311245989807</v>
      </c>
      <c r="I115" s="7">
        <f>I114*(1+Parameters!$B$51)^Parameters!B$65</f>
        <v>11.253490131071132</v>
      </c>
      <c r="J115" s="7">
        <f>J114*(1+Parameters!$B$53)^Parameters!B$65</f>
        <v>81.282178753033591</v>
      </c>
      <c r="K115" s="7">
        <f>'6states'!$O$4</f>
        <v>0.98104277196026479</v>
      </c>
      <c r="L115" s="9">
        <f t="shared" si="25"/>
        <v>0.5</v>
      </c>
      <c r="N115" s="7">
        <f>(Parameters!$B$19*(E115+Parameters!$B$20)^L115+Parameters!$B$18*F115^L115)^(1/L115)</f>
        <v>0.5355823571601982</v>
      </c>
      <c r="O115" s="7">
        <f>(Parameters!$B$10*G115^Parameters!$B$9 + Parameters!$B$11*N115^Parameters!$B$9) ^ (Parameters!$B$7/Parameters!$B$9) * K115</f>
        <v>1.507022900725189</v>
      </c>
      <c r="P115" s="7">
        <f t="shared" si="24"/>
        <v>1.1491279271100656</v>
      </c>
      <c r="Q115" s="7">
        <f>EXP(-Parameters!$B$55*A115)</f>
        <v>0.18710225376443562</v>
      </c>
      <c r="R115" s="7">
        <f>IF(P115&gt;0,P115^(1-Parameters!$B$52)/(1-Parameters!$B$52)*Q115,-10+P115*1000)</f>
        <v>-0.50919255103904704</v>
      </c>
      <c r="S115" s="7"/>
      <c r="T115" s="7"/>
      <c r="U115" s="7"/>
      <c r="V115" s="7"/>
    </row>
    <row r="116" spans="1:22" x14ac:dyDescent="0.25">
      <c r="A116">
        <f>A115+Parameters!$B$65</f>
        <v>112</v>
      </c>
      <c r="B116" s="9">
        <f t="shared" si="32"/>
        <v>5.191758263687303E-2</v>
      </c>
      <c r="C116" s="9">
        <f t="shared" si="32"/>
        <v>1.0017548050425843E-2</v>
      </c>
      <c r="D116" s="7">
        <f t="shared" si="32"/>
        <v>0.2959598429278244</v>
      </c>
      <c r="E116" s="7">
        <f>MAX((1-Parameters!$B$4)^Parameters!B$65*E115+B115*Parameters!B$65-Parameters!$B$5*B115^2/E115*Parameters!B$65,0.0001)</f>
        <v>0.76975168292749796</v>
      </c>
      <c r="F116" s="9">
        <f>MAX((1-Parameters!$B$4)^Parameters!B$65*F115+C115*Parameters!B$65-Parameters!$B$5*C115^2/F115*Parameters!B$65,0.0001)</f>
        <v>0.14852425848808465</v>
      </c>
      <c r="G116" s="7">
        <f>MAX((1-Parameters!$B$4)^Parameters!B$65*G115+D115*Parameters!B$65-Parameters!$B$5*D115^2/G115*Parameters!B$65,0.0001)</f>
        <v>4.3880221855123391</v>
      </c>
      <c r="I116" s="7">
        <f>I115*(1+Parameters!$B$51)^Parameters!B$65</f>
        <v>11.286125252451237</v>
      </c>
      <c r="J116" s="7">
        <f>J115*(1+Parameters!$B$53)^Parameters!B$65</f>
        <v>82.907822328094269</v>
      </c>
      <c r="K116" s="7">
        <f>'6states'!$O$4</f>
        <v>0.98104277196026479</v>
      </c>
      <c r="L116" s="9">
        <f t="shared" si="25"/>
        <v>0.5</v>
      </c>
      <c r="N116" s="7">
        <f>(Parameters!$B$19*(E116+Parameters!$B$20)^L116+Parameters!$B$18*F116^L116)^(1/L116)</f>
        <v>0.53558126868652334</v>
      </c>
      <c r="O116" s="7">
        <f>(Parameters!$B$10*G116^Parameters!$B$9 + Parameters!$B$11*N116^Parameters!$B$9) ^ (Parameters!$B$7/Parameters!$B$9) * K116</f>
        <v>1.5070219800957003</v>
      </c>
      <c r="P116" s="7">
        <f t="shared" si="24"/>
        <v>1.149127006480577</v>
      </c>
      <c r="Q116" s="7">
        <f>EXP(-Parameters!$B$55*A116)</f>
        <v>0.18429823336512921</v>
      </c>
      <c r="R116" s="7">
        <f>IF(P116&gt;0,P116^(1-Parameters!$B$52)/(1-Parameters!$B$52)*Q116,-10+P116*1000)</f>
        <v>-0.50156164356736177</v>
      </c>
      <c r="S116" s="7"/>
      <c r="T116" s="7"/>
      <c r="U116" s="7"/>
      <c r="V116" s="7"/>
    </row>
    <row r="117" spans="1:22" x14ac:dyDescent="0.25">
      <c r="A117">
        <f>A116+Parameters!$B$65</f>
        <v>113</v>
      </c>
      <c r="B117" s="9">
        <f t="shared" si="32"/>
        <v>5.191758263687303E-2</v>
      </c>
      <c r="C117" s="9">
        <f t="shared" si="32"/>
        <v>1.0017548050425843E-2</v>
      </c>
      <c r="D117" s="7">
        <f t="shared" si="32"/>
        <v>0.2959598429278244</v>
      </c>
      <c r="E117" s="7">
        <f>MAX((1-Parameters!$B$4)^Parameters!B$65*E116+B116*Parameters!B$65-Parameters!$B$5*B116^2/E116*Parameters!B$65,0.0001)</f>
        <v>0.7697501900102669</v>
      </c>
      <c r="F117" s="9">
        <f>MAX((1-Parameters!$B$4)^Parameters!B$65*F116+C116*Parameters!B$65-Parameters!$B$5*C116^2/F116*Parameters!B$65,0.0001)</f>
        <v>0.14852397493176026</v>
      </c>
      <c r="G117" s="7">
        <f>MAX((1-Parameters!$B$4)^Parameters!B$65*G116+D116*Parameters!B$65-Parameters!$B$5*D116^2/G116*Parameters!B$65,0.0001)</f>
        <v>4.3880137680293005</v>
      </c>
      <c r="I117" s="7">
        <f>I116*(1+Parameters!$B$51)^Parameters!B$65</f>
        <v>11.318855015683344</v>
      </c>
      <c r="J117" s="7">
        <f>J116*(1+Parameters!$B$53)^Parameters!B$65</f>
        <v>84.565978774656159</v>
      </c>
      <c r="K117" s="7">
        <f>'6states'!$O$4</f>
        <v>0.98104277196026479</v>
      </c>
      <c r="L117" s="9">
        <f t="shared" si="25"/>
        <v>0.5</v>
      </c>
      <c r="N117" s="7">
        <f>(Parameters!$B$19*(E117+Parameters!$B$20)^L117+Parameters!$B$18*F117^L117)^(1/L117)</f>
        <v>0.53558024372625213</v>
      </c>
      <c r="O117" s="7">
        <f>(Parameters!$B$10*G117^Parameters!$B$9 + Parameters!$B$11*N117^Parameters!$B$9) ^ (Parameters!$B$7/Parameters!$B$9) * K117</f>
        <v>1.5070211131845561</v>
      </c>
      <c r="P117" s="7">
        <f t="shared" si="24"/>
        <v>1.1491261395694328</v>
      </c>
      <c r="Q117" s="7">
        <f>EXP(-Parameters!$B$55*A117)</f>
        <v>0.18153623560446847</v>
      </c>
      <c r="R117" s="7">
        <f>IF(P117&gt;0,P117^(1-Parameters!$B$52)/(1-Parameters!$B$52)*Q117,-10+P117*1000)</f>
        <v>-0.49404508700834171</v>
      </c>
      <c r="S117" s="7"/>
      <c r="T117" s="7"/>
      <c r="U117" s="7"/>
      <c r="V117" s="7"/>
    </row>
    <row r="118" spans="1:22" x14ac:dyDescent="0.25">
      <c r="A118">
        <f>A117+Parameters!$B$65</f>
        <v>114</v>
      </c>
      <c r="B118" s="9">
        <f t="shared" si="32"/>
        <v>5.191758263687303E-2</v>
      </c>
      <c r="C118" s="9">
        <f t="shared" si="32"/>
        <v>1.0017548050425843E-2</v>
      </c>
      <c r="D118" s="7">
        <f t="shared" si="32"/>
        <v>0.2959598429278244</v>
      </c>
      <c r="E118" s="7">
        <f>MAX((1-Parameters!$B$4)^Parameters!B$65*E117+B117*Parameters!B$65-Parameters!$B$5*B117^2/E117*Parameters!B$65,0.0001)</f>
        <v>0.76974878420605308</v>
      </c>
      <c r="F118" s="9">
        <f>MAX((1-Parameters!$B$4)^Parameters!B$65*F117+C117*Parameters!B$65-Parameters!$B$5*C117^2/F117*Parameters!B$65,0.0001)</f>
        <v>0.14852370792119243</v>
      </c>
      <c r="G118" s="7">
        <f>MAX((1-Parameters!$B$4)^Parameters!B$65*G117+D117*Parameters!B$65-Parameters!$B$5*D117^2/G117*Parameters!B$65,0.0001)</f>
        <v>4.3880058417136825</v>
      </c>
      <c r="I118" s="7">
        <f>I117*(1+Parameters!$B$51)^Parameters!B$65</f>
        <v>11.351679695228825</v>
      </c>
      <c r="J118" s="7">
        <f>J117*(1+Parameters!$B$53)^Parameters!B$65</f>
        <v>86.257298350149284</v>
      </c>
      <c r="K118" s="7">
        <f>'6states'!$O$4</f>
        <v>0.98104277196026479</v>
      </c>
      <c r="L118" s="9">
        <f t="shared" si="25"/>
        <v>0.5</v>
      </c>
      <c r="N118" s="7">
        <f>(Parameters!$B$19*(E118+Parameters!$B$20)^L118+Parameters!$B$18*F118^L118)^(1/L118)</f>
        <v>0.53557927857330212</v>
      </c>
      <c r="O118" s="7">
        <f>(Parameters!$B$10*G118^Parameters!$B$9 + Parameters!$B$11*N118^Parameters!$B$9) ^ (Parameters!$B$7/Parameters!$B$9) * K118</f>
        <v>1.5070202968573643</v>
      </c>
      <c r="P118" s="7">
        <f t="shared" si="24"/>
        <v>1.1491253232422411</v>
      </c>
      <c r="Q118" s="7">
        <f>EXP(-Parameters!$B$55*A118)</f>
        <v>0.17881563070737777</v>
      </c>
      <c r="R118" s="7">
        <f>IF(P118&gt;0,P118^(1-Parameters!$B$52)/(1-Parameters!$B$52)*Q118,-10+P118*1000)</f>
        <v>-0.486641168372834</v>
      </c>
      <c r="S118" s="7"/>
      <c r="T118" s="7"/>
      <c r="U118" s="7"/>
      <c r="V118" s="7"/>
    </row>
    <row r="119" spans="1:22" x14ac:dyDescent="0.25">
      <c r="A119">
        <f>A118+Parameters!$B$65</f>
        <v>115</v>
      </c>
      <c r="B119" s="9">
        <f t="shared" si="32"/>
        <v>5.191758263687303E-2</v>
      </c>
      <c r="C119" s="9">
        <f t="shared" si="32"/>
        <v>1.0017548050425843E-2</v>
      </c>
      <c r="D119" s="7">
        <f t="shared" si="32"/>
        <v>0.2959598429278244</v>
      </c>
      <c r="E119" s="7">
        <f>MAX((1-Parameters!$B$4)^Parameters!B$65*E118+B118*Parameters!B$65-Parameters!$B$5*B118^2/E118*Parameters!B$65,0.0001)</f>
        <v>0.76974746043171227</v>
      </c>
      <c r="F119" s="9">
        <f>MAX((1-Parameters!$B$4)^Parameters!B$65*F118+C118*Parameters!B$65-Parameters!$B$5*C118^2/F118*Parameters!B$65,0.0001)</f>
        <v>0.14852345649091744</v>
      </c>
      <c r="G119" s="7">
        <f>MAX((1-Parameters!$B$4)^Parameters!B$65*G118+D118*Parameters!B$65-Parameters!$B$5*D118^2/G118*Parameters!B$65,0.0001)</f>
        <v>4.3879983779053058</v>
      </c>
      <c r="I119" s="7">
        <f>I118*(1+Parameters!$B$51)^Parameters!B$65</f>
        <v>11.384599566344987</v>
      </c>
      <c r="J119" s="7">
        <f>J118*(1+Parameters!$B$53)^Parameters!B$65</f>
        <v>87.982444317152272</v>
      </c>
      <c r="K119" s="7">
        <f>'6states'!$O$4</f>
        <v>0.98104277196026479</v>
      </c>
      <c r="L119" s="9">
        <f t="shared" si="25"/>
        <v>0.5</v>
      </c>
      <c r="N119" s="7">
        <f>(Parameters!$B$19*(E119+Parameters!$B$20)^L119+Parameters!$B$18*F119^L119)^(1/L119)</f>
        <v>0.535578369737848</v>
      </c>
      <c r="O119" s="7">
        <f>(Parameters!$B$10*G119^Parameters!$B$9 + Parameters!$B$11*N119^Parameters!$B$9) ^ (Parameters!$B$7/Parameters!$B$9) * K119</f>
        <v>1.507019528162614</v>
      </c>
      <c r="P119" s="7">
        <f t="shared" si="24"/>
        <v>1.1491245545474906</v>
      </c>
      <c r="Q119" s="7">
        <f>EXP(-Parameters!$B$55*A119)</f>
        <v>0.17613579833694784</v>
      </c>
      <c r="R119" s="7">
        <f>IF(P119&gt;0,P119^(1-Parameters!$B$52)/(1-Parameters!$B$52)*Q119,-10+P119*1000)</f>
        <v>-0.47934820029000902</v>
      </c>
      <c r="S119" s="7"/>
      <c r="T119" s="7"/>
      <c r="U119" s="7"/>
      <c r="V119" s="7"/>
    </row>
    <row r="120" spans="1:22" x14ac:dyDescent="0.25">
      <c r="A120">
        <f>A119+Parameters!$B$65</f>
        <v>116</v>
      </c>
      <c r="B120" s="9">
        <f t="shared" si="32"/>
        <v>5.191758263687303E-2</v>
      </c>
      <c r="C120" s="9">
        <f t="shared" si="32"/>
        <v>1.0017548050425843E-2</v>
      </c>
      <c r="D120" s="7">
        <f t="shared" si="32"/>
        <v>0.2959598429278244</v>
      </c>
      <c r="E120" s="7">
        <f>MAX((1-Parameters!$B$4)^Parameters!B$65*E119+B119*Parameters!B$65-Parameters!$B$5*B119^2/E119*Parameters!B$65,0.0001)</f>
        <v>0.76974621390071019</v>
      </c>
      <c r="F120" s="9">
        <f>MAX((1-Parameters!$B$4)^Parameters!B$65*F119+C119*Parameters!B$65-Parameters!$B$5*C119^2/F119*Parameters!B$65,0.0001)</f>
        <v>0.14852321973180804</v>
      </c>
      <c r="G120" s="7">
        <f>MAX((1-Parameters!$B$4)^Parameters!B$65*G119+D119*Parameters!B$65-Parameters!$B$5*D119^2/G119*Parameters!B$65,0.0001)</f>
        <v>4.3879913496163621</v>
      </c>
      <c r="I120" s="7">
        <f>I119*(1+Parameters!$B$51)^Parameters!B$65</f>
        <v>11.417614905087387</v>
      </c>
      <c r="J120" s="7">
        <f>J119*(1+Parameters!$B$53)^Parameters!B$65</f>
        <v>89.742093203495315</v>
      </c>
      <c r="K120" s="7">
        <f>'6states'!$O$4</f>
        <v>0.98104277196026479</v>
      </c>
      <c r="L120" s="9">
        <f t="shared" si="25"/>
        <v>0.5</v>
      </c>
      <c r="N120" s="7">
        <f>(Parameters!$B$19*(E120+Parameters!$B$20)^L120+Parameters!$B$18*F120^L120)^(1/L120)</f>
        <v>0.53557751393370145</v>
      </c>
      <c r="O120" s="7">
        <f>(Parameters!$B$10*G120^Parameters!$B$9 + Parameters!$B$11*N120^Parameters!$B$9) ^ (Parameters!$B$7/Parameters!$B$9) * K120</f>
        <v>1.507018804321006</v>
      </c>
      <c r="P120" s="7">
        <f t="shared" si="24"/>
        <v>1.1491238307058826</v>
      </c>
      <c r="Q120" s="7">
        <f>EXP(-Parameters!$B$55*A120)</f>
        <v>0.17349612745298973</v>
      </c>
      <c r="R120" s="7">
        <f>IF(P120&gt;0,P120^(1-Parameters!$B$52)/(1-Parameters!$B$52)*Q120,-10+P120*1000)</f>
        <v>-0.47216452062730446</v>
      </c>
      <c r="S120" s="7"/>
      <c r="T120" s="7"/>
      <c r="U120" s="7"/>
      <c r="V120" s="7"/>
    </row>
    <row r="121" spans="1:22" x14ac:dyDescent="0.25">
      <c r="A121">
        <f>A120+Parameters!$B$65</f>
        <v>117</v>
      </c>
      <c r="B121" s="9">
        <f t="shared" si="32"/>
        <v>5.191758263687303E-2</v>
      </c>
      <c r="C121" s="9">
        <f t="shared" si="32"/>
        <v>1.0017548050425843E-2</v>
      </c>
      <c r="D121" s="7">
        <f t="shared" si="32"/>
        <v>0.2959598429278244</v>
      </c>
      <c r="E121" s="7">
        <f>MAX((1-Parameters!$B$4)^Parameters!B$65*E120+B120*Parameters!B$65-Parameters!$B$5*B120^2/E120*Parameters!B$65,0.0001)</f>
        <v>0.76974504010581446</v>
      </c>
      <c r="F121" s="9">
        <f>MAX((1-Parameters!$B$4)^Parameters!B$65*F120+C120*Parameters!B$65-Parameters!$B$5*C120^2/F120*Parameters!B$65,0.0001)</f>
        <v>0.14852299678778597</v>
      </c>
      <c r="G121" s="7">
        <f>MAX((1-Parameters!$B$4)^Parameters!B$65*G120+D120*Parameters!B$65-Parameters!$B$5*D120^2/G120*Parameters!B$65,0.0001)</f>
        <v>4.3879847314338241</v>
      </c>
      <c r="I121" s="7">
        <f>I120*(1+Parameters!$B$51)^Parameters!B$65</f>
        <v>11.450725988312138</v>
      </c>
      <c r="J121" s="7">
        <f>J120*(1+Parameters!$B$53)^Parameters!B$65</f>
        <v>91.536935067565224</v>
      </c>
      <c r="K121" s="7">
        <f>'6states'!$O$4</f>
        <v>0.98104277196026479</v>
      </c>
      <c r="L121" s="9">
        <f t="shared" si="25"/>
        <v>0.5</v>
      </c>
      <c r="N121" s="7">
        <f>(Parameters!$B$19*(E121+Parameters!$B$20)^L121+Parameters!$B$18*F121^L121)^(1/L121)</f>
        <v>0.5355767080664281</v>
      </c>
      <c r="O121" s="7">
        <f>(Parameters!$B$10*G121^Parameters!$B$9 + Parameters!$B$11*N121^Parameters!$B$9) ^ (Parameters!$B$7/Parameters!$B$9) * K121</f>
        <v>1.5070181227154065</v>
      </c>
      <c r="P121" s="7">
        <f t="shared" si="24"/>
        <v>1.1491231491002831</v>
      </c>
      <c r="Q121" s="7">
        <f>EXP(-Parameters!$B$55*A121)</f>
        <v>0.17089601617270908</v>
      </c>
      <c r="R121" s="7">
        <f>IF(P121&gt;0,P121^(1-Parameters!$B$52)/(1-Parameters!$B$52)*Q121,-10+P121*1000)</f>
        <v>-0.46508849211578751</v>
      </c>
      <c r="S121" s="7"/>
      <c r="T121" s="7"/>
      <c r="U121" s="7"/>
      <c r="V121" s="7"/>
    </row>
    <row r="122" spans="1:22" x14ac:dyDescent="0.25">
      <c r="A122">
        <f>A121+Parameters!$B$65</f>
        <v>118</v>
      </c>
      <c r="B122" s="9">
        <f t="shared" si="32"/>
        <v>5.191758263687303E-2</v>
      </c>
      <c r="C122" s="9">
        <f t="shared" si="32"/>
        <v>1.0017548050425843E-2</v>
      </c>
      <c r="D122" s="7">
        <f t="shared" si="32"/>
        <v>0.2959598429278244</v>
      </c>
      <c r="E122" s="7">
        <f>MAX((1-Parameters!$B$4)^Parameters!B$65*E121+B121*Parameters!B$65-Parameters!$B$5*B121^2/E121*Parameters!B$65,0.0001)</f>
        <v>0.76974393480279679</v>
      </c>
      <c r="F122" s="9">
        <f>MAX((1-Parameters!$B$4)^Parameters!B$65*F121+C121*Parameters!B$65-Parameters!$B$5*C121^2/F121*Parameters!B$65,0.0001)</f>
        <v>0.14852278685272643</v>
      </c>
      <c r="G122" s="7">
        <f>MAX((1-Parameters!$B$4)^Parameters!B$65*G121+D121*Parameters!B$65-Parameters!$B$5*D121^2/G121*Parameters!B$65,0.0001)</f>
        <v>4.3879784994275548</v>
      </c>
      <c r="I122" s="7">
        <f>I121*(1+Parameters!$B$51)^Parameters!B$65</f>
        <v>11.483933093678242</v>
      </c>
      <c r="J122" s="7">
        <f>J121*(1+Parameters!$B$53)^Parameters!B$65</f>
        <v>93.367673768916532</v>
      </c>
      <c r="K122" s="7">
        <f>'6states'!$O$4</f>
        <v>0.98104277196026479</v>
      </c>
      <c r="L122" s="9">
        <f t="shared" si="25"/>
        <v>0.5</v>
      </c>
      <c r="N122" s="7">
        <f>(Parameters!$B$19*(E122+Parameters!$B$20)^L122+Parameters!$B$18*F122^L122)^(1/L122)</f>
        <v>0.53557594922215923</v>
      </c>
      <c r="O122" s="7">
        <f>(Parameters!$B$10*G122^Parameters!$B$9 + Parameters!$B$11*N122^Parameters!$B$9) ^ (Parameters!$B$7/Parameters!$B$9) * K122</f>
        <v>1.5070174808813837</v>
      </c>
      <c r="P122" s="7">
        <f t="shared" si="24"/>
        <v>1.1491225072662603</v>
      </c>
      <c r="Q122" s="7">
        <f>EXP(-Parameters!$B$55*A122)</f>
        <v>0.16833487163346803</v>
      </c>
      <c r="R122" s="7">
        <f>IF(P122&gt;0,P122^(1-Parameters!$B$52)/(1-Parameters!$B$52)*Q122,-10+P122*1000)</f>
        <v>-0.45811850198086823</v>
      </c>
      <c r="S122" s="7"/>
      <c r="T122" s="7"/>
      <c r="U122" s="7"/>
      <c r="V122" s="7"/>
    </row>
    <row r="123" spans="1:22" x14ac:dyDescent="0.25">
      <c r="A123">
        <f>A122+Parameters!$B$65</f>
        <v>119</v>
      </c>
      <c r="B123" s="9">
        <f t="shared" si="32"/>
        <v>5.191758263687303E-2</v>
      </c>
      <c r="C123" s="9">
        <f t="shared" si="32"/>
        <v>1.0017548050425843E-2</v>
      </c>
      <c r="D123" s="7">
        <f t="shared" si="32"/>
        <v>0.2959598429278244</v>
      </c>
      <c r="E123" s="7">
        <f>MAX((1-Parameters!$B$4)^Parameters!B$65*E122+B122*Parameters!B$65-Parameters!$B$5*B122^2/E122*Parameters!B$65,0.0001)</f>
        <v>0.76974289399508622</v>
      </c>
      <c r="F123" s="9">
        <f>MAX((1-Parameters!$B$4)^Parameters!B$65*F122+C122*Parameters!B$65-Parameters!$B$5*C122^2/F122*Parameters!B$65,0.0001)</f>
        <v>0.14852258916754327</v>
      </c>
      <c r="G123" s="7">
        <f>MAX((1-Parameters!$B$4)^Parameters!B$65*G122+D122*Parameters!B$65-Parameters!$B$5*D122^2/G122*Parameters!B$65,0.0001)</f>
        <v>4.3879726310637741</v>
      </c>
      <c r="I123" s="7">
        <f>I122*(1+Parameters!$B$51)^Parameters!B$65</f>
        <v>11.517236499649908</v>
      </c>
      <c r="J123" s="7">
        <f>J122*(1+Parameters!$B$53)^Parameters!B$65</f>
        <v>95.235027244294869</v>
      </c>
      <c r="K123" s="7">
        <f>'6states'!$O$4</f>
        <v>0.98104277196026479</v>
      </c>
      <c r="L123" s="9">
        <f t="shared" si="25"/>
        <v>0.5</v>
      </c>
      <c r="N123" s="7">
        <f>(Parameters!$B$19*(E123+Parameters!$B$20)^L123+Parameters!$B$18*F123^L123)^(1/L123)</f>
        <v>0.53557523465705437</v>
      </c>
      <c r="O123" s="7">
        <f>(Parameters!$B$10*G123^Parameters!$B$9 + Parameters!$B$11*N123^Parameters!$B$9) ^ (Parameters!$B$7/Parameters!$B$9) * K123</f>
        <v>1.5070168764983003</v>
      </c>
      <c r="P123" s="7">
        <f t="shared" si="24"/>
        <v>1.1491219028831772</v>
      </c>
      <c r="Q123" s="7">
        <f>EXP(-Parameters!$B$55*A123)</f>
        <v>0.16581210985760431</v>
      </c>
      <c r="R123" s="7">
        <f>IF(P123&gt;0,P123^(1-Parameters!$B$52)/(1-Parameters!$B$52)*Q123,-10+P123*1000)</f>
        <v>-0.45125296157830813</v>
      </c>
      <c r="S123" s="7"/>
      <c r="T123" s="7"/>
      <c r="U123" s="7"/>
      <c r="V123" s="7"/>
    </row>
    <row r="124" spans="1:22" x14ac:dyDescent="0.25">
      <c r="A124">
        <f>A123+Parameters!$B$65</f>
        <v>120</v>
      </c>
      <c r="B124" s="9">
        <f t="shared" si="32"/>
        <v>5.191758263687303E-2</v>
      </c>
      <c r="C124" s="9">
        <f t="shared" si="32"/>
        <v>1.0017548050425843E-2</v>
      </c>
      <c r="D124" s="7">
        <f t="shared" si="32"/>
        <v>0.2959598429278244</v>
      </c>
      <c r="E124" s="7">
        <f>MAX((1-Parameters!$B$4)^Parameters!B$65*E123+B123*Parameters!B$65-Parameters!$B$5*B123^2/E123*Parameters!B$65,0.0001)</f>
        <v>0.76974191391931712</v>
      </c>
      <c r="F124" s="9">
        <f>MAX((1-Parameters!$B$4)^Parameters!B$65*F123+C123*Parameters!B$65-Parameters!$B$5*C123^2/F123*Parameters!B$65,0.0001)</f>
        <v>0.14852240301744404</v>
      </c>
      <c r="G124" s="7">
        <f>MAX((1-Parameters!$B$4)^Parameters!B$65*G123+D123*Parameters!B$65-Parameters!$B$5*D123^2/G123*Parameters!B$65,0.0001)</f>
        <v>4.3879671051235833</v>
      </c>
      <c r="I124" s="7">
        <f>I123*(1+Parameters!$B$51)^Parameters!B$65</f>
        <v>11.550636485498892</v>
      </c>
      <c r="J124" s="7">
        <f>J123*(1+Parameters!$B$53)^Parameters!B$65</f>
        <v>97.139727789180768</v>
      </c>
      <c r="K124" s="7">
        <f>'6states'!$O$4</f>
        <v>0.98104277196026479</v>
      </c>
      <c r="L124" s="9">
        <f t="shared" si="25"/>
        <v>0.5</v>
      </c>
      <c r="N124" s="7">
        <f>(Parameters!$B$19*(E124+Parameters!$B$20)^L124+Parameters!$B$18*F124^L124)^(1/L124)</f>
        <v>0.53557456178738017</v>
      </c>
      <c r="O124" s="7">
        <f>(Parameters!$B$10*G124^Parameters!$B$9 + Parameters!$B$11*N124^Parameters!$B$9) ^ (Parameters!$B$7/Parameters!$B$9) * K124</f>
        <v>1.5070163073809233</v>
      </c>
      <c r="P124" s="7">
        <f t="shared" si="24"/>
        <v>1.1491213337657999</v>
      </c>
      <c r="Q124" s="7">
        <f>EXP(-Parameters!$B$55*A124)</f>
        <v>0.16332715561927577</v>
      </c>
      <c r="R124" s="7">
        <f>IF(P124&gt;0,P124^(1-Parameters!$B$52)/(1-Parameters!$B$52)*Q124,-10+P124*1000)</f>
        <v>-0.44449030603545786</v>
      </c>
      <c r="S124" s="7"/>
      <c r="T124" s="7"/>
      <c r="U124" s="7"/>
      <c r="V124" s="7"/>
    </row>
    <row r="125" spans="1:22" x14ac:dyDescent="0.25">
      <c r="A125">
        <f>A124+Parameters!$B$65</f>
        <v>121</v>
      </c>
      <c r="B125" s="9">
        <f t="shared" si="32"/>
        <v>5.191758263687303E-2</v>
      </c>
      <c r="C125" s="9">
        <f t="shared" si="32"/>
        <v>1.0017548050425843E-2</v>
      </c>
      <c r="D125" s="7">
        <f t="shared" si="32"/>
        <v>0.2959598429278244</v>
      </c>
      <c r="E125" s="7">
        <f>MAX((1-Parameters!$B$4)^Parameters!B$65*E124+B124*Parameters!B$65-Parameters!$B$5*B124^2/E124*Parameters!B$65,0.0001)</f>
        <v>0.76974099103172167</v>
      </c>
      <c r="F125" s="9">
        <f>MAX((1-Parameters!$B$4)^Parameters!B$65*F124+C124*Parameters!B$65-Parameters!$B$5*C124^2/F124*Parameters!B$65,0.0001)</f>
        <v>0.14852222772934551</v>
      </c>
      <c r="G125" s="7">
        <f>MAX((1-Parameters!$B$4)^Parameters!B$65*G124+D124*Parameters!B$65-Parameters!$B$5*D124^2/G124*Parameters!B$65,0.0001)</f>
        <v>4.3879619016262339</v>
      </c>
      <c r="I125" s="7">
        <f>I124*(1+Parameters!$B$51)^Parameters!B$65</f>
        <v>11.584133331306838</v>
      </c>
      <c r="J125" s="7">
        <f>J124*(1+Parameters!$B$53)^Parameters!B$65</f>
        <v>99.082522344964389</v>
      </c>
      <c r="K125" s="7">
        <f>'6states'!$O$4</f>
        <v>0.98104277196026479</v>
      </c>
      <c r="L125" s="9">
        <f t="shared" si="25"/>
        <v>0.5</v>
      </c>
      <c r="N125" s="7">
        <f>(Parameters!$B$19*(E125+Parameters!$B$20)^L125+Parameters!$B$18*F125^L125)^(1/L125)</f>
        <v>0.53557392818016802</v>
      </c>
      <c r="O125" s="7">
        <f>(Parameters!$B$10*G125^Parameters!$B$9 + Parameters!$B$11*N125^Parameters!$B$9) ^ (Parameters!$B$7/Parameters!$B$9) * K125</f>
        <v>1.5070157714715227</v>
      </c>
      <c r="P125" s="7">
        <f t="shared" si="24"/>
        <v>1.1491207978563995</v>
      </c>
      <c r="Q125" s="7">
        <f>EXP(-Parameters!$B$55*A125)</f>
        <v>0.16087944231330067</v>
      </c>
      <c r="R125" s="7">
        <f>IF(P125&gt;0,P125^(1-Parameters!$B$52)/(1-Parameters!$B$52)*Q125,-10+P125*1000)</f>
        <v>-0.4378289938976645</v>
      </c>
      <c r="S125" s="7"/>
      <c r="T125" s="7"/>
      <c r="U125" s="7"/>
      <c r="V125" s="7"/>
    </row>
    <row r="126" spans="1:22" x14ac:dyDescent="0.25">
      <c r="A126">
        <f>A125+Parameters!$B$65</f>
        <v>122</v>
      </c>
      <c r="B126" s="9">
        <f t="shared" si="32"/>
        <v>5.191758263687303E-2</v>
      </c>
      <c r="C126" s="9">
        <f t="shared" si="32"/>
        <v>1.0017548050425843E-2</v>
      </c>
      <c r="D126" s="7">
        <f t="shared" si="32"/>
        <v>0.2959598429278244</v>
      </c>
      <c r="E126" s="7">
        <f>MAX((1-Parameters!$B$4)^Parameters!B$65*E125+B125*Parameters!B$65-Parameters!$B$5*B125^2/E125*Parameters!B$65,0.0001)</f>
        <v>0.76974012199531561</v>
      </c>
      <c r="F126" s="9">
        <f>MAX((1-Parameters!$B$4)^Parameters!B$65*F125+C125*Parameters!B$65-Parameters!$B$5*C125^2/F125*Parameters!B$65,0.0001)</f>
        <v>0.14852206266943963</v>
      </c>
      <c r="G126" s="7">
        <f>MAX((1-Parameters!$B$4)^Parameters!B$65*G125+D125*Parameters!B$65-Parameters!$B$5*D125^2/G125*Parameters!B$65,0.0001)</f>
        <v>4.3879570017568819</v>
      </c>
      <c r="I126" s="7">
        <f>I125*(1+Parameters!$B$51)^Parameters!B$65</f>
        <v>11.617727317967626</v>
      </c>
      <c r="J126" s="7">
        <f>J125*(1+Parameters!$B$53)^Parameters!B$65</f>
        <v>101.06417279186368</v>
      </c>
      <c r="K126" s="7">
        <f>'6states'!$O$4</f>
        <v>0.98104277196026479</v>
      </c>
      <c r="L126" s="9">
        <f t="shared" si="25"/>
        <v>0.5</v>
      </c>
      <c r="N126" s="7">
        <f>(Parameters!$B$19*(E126+Parameters!$B$20)^L126+Parameters!$B$18*F126^L126)^(1/L126)</f>
        <v>0.53557333154441533</v>
      </c>
      <c r="O126" s="7">
        <f>(Parameters!$B$10*G126^Parameters!$B$9 + Parameters!$B$11*N126^Parameters!$B$9) ^ (Parameters!$B$7/Parameters!$B$9) * K126</f>
        <v>1.5070152668324333</v>
      </c>
      <c r="P126" s="7">
        <f t="shared" si="24"/>
        <v>1.1491202932173099</v>
      </c>
      <c r="Q126" s="7">
        <f>EXP(-Parameters!$B$55*A126)</f>
        <v>0.15846841182596355</v>
      </c>
      <c r="R126" s="7">
        <f>IF(P126&gt;0,P126^(1-Parameters!$B$52)/(1-Parameters!$B$52)*Q126,-10+P126*1000)</f>
        <v>-0.4312675067797842</v>
      </c>
      <c r="S126" s="7"/>
      <c r="T126" s="7"/>
      <c r="U126" s="7"/>
      <c r="V126" s="7"/>
    </row>
    <row r="127" spans="1:22" x14ac:dyDescent="0.25">
      <c r="A127">
        <f>A126+Parameters!$B$65</f>
        <v>123</v>
      </c>
      <c r="B127" s="9">
        <f t="shared" si="32"/>
        <v>5.191758263687303E-2</v>
      </c>
      <c r="C127" s="9">
        <f t="shared" si="32"/>
        <v>1.0017548050425843E-2</v>
      </c>
      <c r="D127" s="7">
        <f t="shared" si="32"/>
        <v>0.2959598429278244</v>
      </c>
      <c r="E127" s="7">
        <f>MAX((1-Parameters!$B$4)^Parameters!B$65*E126+B126*Parameters!B$65-Parameters!$B$5*B126^2/E126*Parameters!B$65,0.0001)</f>
        <v>0.76973930366783216</v>
      </c>
      <c r="F127" s="9">
        <f>MAX((1-Parameters!$B$4)^Parameters!B$65*F126+C126*Parameters!B$65-Parameters!$B$5*C126^2/F126*Parameters!B$65,0.0001)</f>
        <v>0.14852190724090195</v>
      </c>
      <c r="G127" s="7">
        <f>MAX((1-Parameters!$B$4)^Parameters!B$65*G126+D126*Parameters!B$65-Parameters!$B$5*D126^2/G126*Parameters!B$65,0.0001)</f>
        <v>4.3879523877985527</v>
      </c>
      <c r="I127" s="7">
        <f>I126*(1+Parameters!$B$51)^Parameters!B$65</f>
        <v>11.65141872718973</v>
      </c>
      <c r="J127" s="7">
        <f>J126*(1+Parameters!$B$53)^Parameters!B$65</f>
        <v>103.08545624770096</v>
      </c>
      <c r="K127" s="7">
        <f>'6states'!$O$4</f>
        <v>0.98104277196026479</v>
      </c>
      <c r="L127" s="9">
        <f t="shared" si="25"/>
        <v>0.5</v>
      </c>
      <c r="N127" s="7">
        <f>(Parameters!$B$19*(E127+Parameters!$B$20)^L127+Parameters!$B$18*F127^L127)^(1/L127)</f>
        <v>0.53557276972280399</v>
      </c>
      <c r="O127" s="7">
        <f>(Parameters!$B$10*G127^Parameters!$B$9 + Parameters!$B$11*N127^Parameters!$B$9) ^ (Parameters!$B$7/Parameters!$B$9) * K127</f>
        <v>1.5070147916390504</v>
      </c>
      <c r="P127" s="7">
        <f t="shared" si="24"/>
        <v>1.149119818023927</v>
      </c>
      <c r="Q127" s="7">
        <f>EXP(-Parameters!$B$55*A127)</f>
        <v>0.15609351440775748</v>
      </c>
      <c r="R127" s="7">
        <f>IF(P127&gt;0,P127^(1-Parameters!$B$52)/(1-Parameters!$B$52)*Q127,-10+P127*1000)</f>
        <v>-0.42480434902274045</v>
      </c>
      <c r="S127" s="7"/>
      <c r="T127" s="7"/>
      <c r="U127" s="7"/>
      <c r="V127" s="7"/>
    </row>
    <row r="128" spans="1:22" x14ac:dyDescent="0.25">
      <c r="A128">
        <f>A127+Parameters!$B$65</f>
        <v>124</v>
      </c>
      <c r="B128" s="9">
        <f t="shared" ref="B128:D143" si="33">B127</f>
        <v>5.191758263687303E-2</v>
      </c>
      <c r="C128" s="9">
        <f t="shared" si="33"/>
        <v>1.0017548050425843E-2</v>
      </c>
      <c r="D128" s="7">
        <f t="shared" si="33"/>
        <v>0.2959598429278244</v>
      </c>
      <c r="E128" s="7">
        <f>MAX((1-Parameters!$B$4)^Parameters!B$65*E127+B127*Parameters!B$65-Parameters!$B$5*B127^2/E127*Parameters!B$65,0.0001)</f>
        <v>0.76973853309035967</v>
      </c>
      <c r="F128" s="9">
        <f>MAX((1-Parameters!$B$4)^Parameters!B$65*F127+C127*Parameters!B$65-Parameters!$B$5*C127^2/F127*Parameters!B$65,0.0001)</f>
        <v>0.14852176088173347</v>
      </c>
      <c r="G128" s="7">
        <f>MAX((1-Parameters!$B$4)^Parameters!B$65*G127+D127*Parameters!B$65-Parameters!$B$5*D127^2/G127*Parameters!B$65,0.0001)</f>
        <v>4.3879480430680795</v>
      </c>
      <c r="I128" s="7">
        <f>I127*(1+Parameters!$B$51)^Parameters!B$65</f>
        <v>11.685207841498579</v>
      </c>
      <c r="J128" s="7">
        <f>J127*(1+Parameters!$B$53)^Parameters!B$65</f>
        <v>105.14716537265498</v>
      </c>
      <c r="K128" s="7">
        <f>'6states'!$O$4</f>
        <v>0.98104277196026479</v>
      </c>
      <c r="L128" s="9">
        <f t="shared" si="25"/>
        <v>0.5</v>
      </c>
      <c r="N128" s="7">
        <f>(Parameters!$B$19*(E128+Parameters!$B$20)^L128+Parameters!$B$18*F128^L128)^(1/L128)</f>
        <v>0.53557224068389686</v>
      </c>
      <c r="O128" s="7">
        <f>(Parameters!$B$10*G128^Parameters!$B$9 + Parameters!$B$11*N128^Parameters!$B$9) ^ (Parameters!$B$7/Parameters!$B$9) * K128</f>
        <v>1.5070143441732302</v>
      </c>
      <c r="P128" s="7">
        <f t="shared" si="24"/>
        <v>1.1491193705581071</v>
      </c>
      <c r="Q128" s="7">
        <f>EXP(-Parameters!$B$55*A128)</f>
        <v>0.15375420854803312</v>
      </c>
      <c r="R128" s="7">
        <f>IF(P128&gt;0,P128^(1-Parameters!$B$52)/(1-Parameters!$B$52)*Q128,-10+P128*1000)</f>
        <v>-0.41843804735506152</v>
      </c>
      <c r="S128" s="7"/>
      <c r="T128" s="7"/>
      <c r="U128" s="7"/>
      <c r="V128" s="7"/>
    </row>
    <row r="129" spans="1:22" x14ac:dyDescent="0.25">
      <c r="A129">
        <f>A128+Parameters!$B$65</f>
        <v>125</v>
      </c>
      <c r="B129" s="9">
        <f t="shared" si="33"/>
        <v>5.191758263687303E-2</v>
      </c>
      <c r="C129" s="9">
        <f t="shared" si="33"/>
        <v>1.0017548050425843E-2</v>
      </c>
      <c r="D129" s="7">
        <f t="shared" si="33"/>
        <v>0.2959598429278244</v>
      </c>
      <c r="E129" s="7">
        <f>MAX((1-Parameters!$B$4)^Parameters!B$65*E128+B128*Parameters!B$65-Parameters!$B$5*B128^2/E128*Parameters!B$65,0.0001)</f>
        <v>0.76973780747664267</v>
      </c>
      <c r="F129" s="9">
        <f>MAX((1-Parameters!$B$4)^Parameters!B$65*F128+C128*Parameters!B$65-Parameters!$B$5*C128^2/F128*Parameters!B$65,0.0001)</f>
        <v>0.14852162306272845</v>
      </c>
      <c r="G129" s="7">
        <f>MAX((1-Parameters!$B$4)^Parameters!B$65*G128+D128*Parameters!B$65-Parameters!$B$5*D128^2/G128*Parameters!B$65,0.0001)</f>
        <v>4.387943951855779</v>
      </c>
      <c r="I129" s="7">
        <f>I128*(1+Parameters!$B$51)^Parameters!B$65</f>
        <v>11.719094944238924</v>
      </c>
      <c r="J129" s="7">
        <f>J128*(1+Parameters!$B$53)^Parameters!B$65</f>
        <v>107.25010868010808</v>
      </c>
      <c r="K129" s="7">
        <f>'6states'!$O$4</f>
        <v>0.98104277196026479</v>
      </c>
      <c r="L129" s="9">
        <f t="shared" si="25"/>
        <v>0.5</v>
      </c>
      <c r="N129" s="7">
        <f>(Parameters!$B$19*(E129+Parameters!$B$20)^L129+Parameters!$B$18*F129^L129)^(1/L129)</f>
        <v>0.53557174251479411</v>
      </c>
      <c r="O129" s="7">
        <f>(Parameters!$B$10*G129^Parameters!$B$9 + Parameters!$B$11*N129^Parameters!$B$9) ^ (Parameters!$B$7/Parameters!$B$9) * K129</f>
        <v>1.5070139228170825</v>
      </c>
      <c r="P129" s="7">
        <f t="shared" si="24"/>
        <v>1.1491189492019593</v>
      </c>
      <c r="Q129" s="7">
        <f>EXP(-Parameters!$B$55*A129)</f>
        <v>0.15144996085152654</v>
      </c>
      <c r="R129" s="7">
        <f>IF(P129&gt;0,P129^(1-Parameters!$B$52)/(1-Parameters!$B$52)*Q129,-10+P129*1000)</f>
        <v>-0.412167150559337</v>
      </c>
      <c r="S129" s="7"/>
      <c r="T129" s="7"/>
      <c r="U129" s="7"/>
      <c r="V129" s="7"/>
    </row>
    <row r="130" spans="1:22" x14ac:dyDescent="0.25">
      <c r="A130">
        <f>A129+Parameters!$B$65</f>
        <v>126</v>
      </c>
      <c r="B130" s="9">
        <f t="shared" si="33"/>
        <v>5.191758263687303E-2</v>
      </c>
      <c r="C130" s="9">
        <f t="shared" si="33"/>
        <v>1.0017548050425843E-2</v>
      </c>
      <c r="D130" s="7">
        <f t="shared" si="33"/>
        <v>0.2959598429278244</v>
      </c>
      <c r="E130" s="7">
        <f>MAX((1-Parameters!$B$4)^Parameters!B$65*E129+B129*Parameters!B$65-Parameters!$B$5*B129^2/E129*Parameters!B$65,0.0001)</f>
        <v>0.76973712420300688</v>
      </c>
      <c r="F130" s="9">
        <f>MAX((1-Parameters!$B$4)^Parameters!B$65*F129+C129*Parameters!B$65-Parameters!$B$5*C129^2/F129*Parameters!B$65,0.0001)</f>
        <v>0.148521493285561</v>
      </c>
      <c r="G130" s="7">
        <f>MAX((1-Parameters!$B$4)^Parameters!B$65*G129+D129*Parameters!B$65-Parameters!$B$5*D129^2/G129*Parameters!B$65,0.0001)</f>
        <v>4.387940099368647</v>
      </c>
      <c r="I130" s="7">
        <f>I129*(1+Parameters!$B$51)^Parameters!B$65</f>
        <v>11.753080319577215</v>
      </c>
      <c r="J130" s="7">
        <f>J129*(1+Parameters!$B$53)^Parameters!B$65</f>
        <v>109.39511085371025</v>
      </c>
      <c r="K130" s="7">
        <f>'6states'!$O$4</f>
        <v>0.98104277196026479</v>
      </c>
      <c r="L130" s="9">
        <f t="shared" si="25"/>
        <v>0.5</v>
      </c>
      <c r="N130" s="7">
        <f>(Parameters!$B$19*(E130+Parameters!$B$20)^L130+Parameters!$B$18*F130^L130)^(1/L130)</f>
        <v>0.53557127341421595</v>
      </c>
      <c r="O130" s="7">
        <f>(Parameters!$B$10*G130^Parameters!$B$9 + Parameters!$B$11*N130^Parameters!$B$9) ^ (Parameters!$B$7/Parameters!$B$9) * K130</f>
        <v>1.5070135260471158</v>
      </c>
      <c r="P130" s="7">
        <f t="shared" si="24"/>
        <v>1.1491185524319927</v>
      </c>
      <c r="Q130" s="7">
        <f>EXP(-Parameters!$B$55*A130)</f>
        <v>0.14918024591673743</v>
      </c>
      <c r="R130" s="7">
        <f>IF(P130&gt;0,P130^(1-Parameters!$B$52)/(1-Parameters!$B$52)*Q130,-10+P130*1000)</f>
        <v>-0.40599022914353111</v>
      </c>
      <c r="S130" s="7"/>
      <c r="T130" s="7"/>
      <c r="U130" s="7"/>
      <c r="V130" s="7"/>
    </row>
    <row r="131" spans="1:22" x14ac:dyDescent="0.25">
      <c r="A131">
        <f>A130+Parameters!$B$65</f>
        <v>127</v>
      </c>
      <c r="B131" s="9">
        <f t="shared" si="33"/>
        <v>5.191758263687303E-2</v>
      </c>
      <c r="C131" s="9">
        <f t="shared" si="33"/>
        <v>1.0017548050425843E-2</v>
      </c>
      <c r="D131" s="7">
        <f t="shared" si="33"/>
        <v>0.2959598429278244</v>
      </c>
      <c r="E131" s="7">
        <f>MAX((1-Parameters!$B$4)^Parameters!B$65*E130+B130*Parameters!B$65-Parameters!$B$5*B130^2/E130*Parameters!B$65,0.0001)</f>
        <v>0.76973648079887247</v>
      </c>
      <c r="F131" s="9">
        <f>MAX((1-Parameters!$B$4)^Parameters!B$65*F130+C130*Parameters!B$65-Parameters!$B$5*C130^2/F130*Parameters!B$65,0.0001)</f>
        <v>0.14852137108098307</v>
      </c>
      <c r="G131" s="7">
        <f>MAX((1-Parameters!$B$4)^Parameters!B$65*G130+D130*Parameters!B$65-Parameters!$B$5*D130^2/G130*Parameters!B$65,0.0001)</f>
        <v>4.3879364716768663</v>
      </c>
      <c r="I131" s="7">
        <f>I130*(1+Parameters!$B$51)^Parameters!B$65</f>
        <v>11.787164252503988</v>
      </c>
      <c r="J131" s="7">
        <f>J130*(1+Parameters!$B$53)^Parameters!B$65</f>
        <v>111.58301307078446</v>
      </c>
      <c r="K131" s="7">
        <f>'6states'!$O$4</f>
        <v>0.98104277196026479</v>
      </c>
      <c r="L131" s="9">
        <f t="shared" si="25"/>
        <v>0.5</v>
      </c>
      <c r="N131" s="7">
        <f>(Parameters!$B$19*(E131+Parameters!$B$20)^L131+Parameters!$B$18*F131^L131)^(1/L131)</f>
        <v>0.53557083168598918</v>
      </c>
      <c r="O131" s="7">
        <f>(Parameters!$B$10*G131^Parameters!$B$9 + Parameters!$B$11*N131^Parameters!$B$9) ^ (Parameters!$B$7/Parameters!$B$9) * K131</f>
        <v>1.5070131524287349</v>
      </c>
      <c r="P131" s="7">
        <f t="shared" si="24"/>
        <v>1.1491181788136116</v>
      </c>
      <c r="Q131" s="7">
        <f>EXP(-Parameters!$B$55*A131)</f>
        <v>0.14694454621613023</v>
      </c>
      <c r="R131" s="7">
        <f>IF(P131&gt;0,P131^(1-Parameters!$B$52)/(1-Parameters!$B$52)*Q131,-10+P131*1000)</f>
        <v>-0.3999058750170888</v>
      </c>
      <c r="S131" s="7"/>
      <c r="T131" s="7"/>
      <c r="U131" s="7"/>
      <c r="V131" s="7"/>
    </row>
    <row r="132" spans="1:22" x14ac:dyDescent="0.25">
      <c r="A132">
        <f>A131+Parameters!$B$65</f>
        <v>128</v>
      </c>
      <c r="B132" s="9">
        <f t="shared" si="33"/>
        <v>5.191758263687303E-2</v>
      </c>
      <c r="C132" s="9">
        <f t="shared" si="33"/>
        <v>1.0017548050425843E-2</v>
      </c>
      <c r="D132" s="7">
        <f t="shared" si="33"/>
        <v>0.2959598429278244</v>
      </c>
      <c r="E132" s="7">
        <f>MAX((1-Parameters!$B$4)^Parameters!B$65*E131+B131*Parameters!B$65-Parameters!$B$5*B131^2/E131*Parameters!B$65,0.0001)</f>
        <v>0.7697358749378207</v>
      </c>
      <c r="F132" s="9">
        <f>MAX((1-Parameters!$B$4)^Parameters!B$65*F131+C131*Parameters!B$65-Parameters!$B$5*C131^2/F131*Parameters!B$65,0.0001)</f>
        <v>0.14852125600712776</v>
      </c>
      <c r="G132" s="7">
        <f>MAX((1-Parameters!$B$4)^Parameters!B$65*G131+D131*Parameters!B$65-Parameters!$B$5*D131^2/G131*Parameters!B$65,0.0001)</f>
        <v>4.3879330556634413</v>
      </c>
      <c r="I132" s="7">
        <f>I131*(1+Parameters!$B$51)^Parameters!B$65</f>
        <v>11.821347028836248</v>
      </c>
      <c r="J132" s="7">
        <f>J131*(1+Parameters!$B$53)^Parameters!B$65</f>
        <v>113.81467333220016</v>
      </c>
      <c r="K132" s="7">
        <f>'6states'!$O$4</f>
        <v>0.98104277196026479</v>
      </c>
      <c r="L132" s="9">
        <f t="shared" si="25"/>
        <v>0.5</v>
      </c>
      <c r="N132" s="7">
        <f>(Parameters!$B$19*(E132+Parameters!$B$20)^L132+Parameters!$B$18*F132^L132)^(1/L132)</f>
        <v>0.53557041573291442</v>
      </c>
      <c r="O132" s="7">
        <f>(Parameters!$B$10*G132^Parameters!$B$9 + Parameters!$B$11*N132^Parameters!$B$9) ^ (Parameters!$B$7/Parameters!$B$9) * K132</f>
        <v>1.5070128006110513</v>
      </c>
      <c r="P132" s="7">
        <f t="shared" ref="P132:P195" si="34">O132-B132-C132-D132</f>
        <v>1.1491178269959281</v>
      </c>
      <c r="Q132" s="7">
        <f>EXP(-Parameters!$B$55*A132)</f>
        <v>0.14474235197813023</v>
      </c>
      <c r="R132" s="7">
        <f>IF(P132&gt;0,P132^(1-Parameters!$B$52)/(1-Parameters!$B$52)*Q132,-10+P132*1000)</f>
        <v>-0.39391270117177218</v>
      </c>
      <c r="S132" s="7"/>
      <c r="T132" s="7"/>
      <c r="U132" s="7"/>
      <c r="V132" s="7"/>
    </row>
    <row r="133" spans="1:22" x14ac:dyDescent="0.25">
      <c r="A133">
        <f>A132+Parameters!$B$65</f>
        <v>129</v>
      </c>
      <c r="B133" s="9">
        <f t="shared" si="33"/>
        <v>5.191758263687303E-2</v>
      </c>
      <c r="C133" s="9">
        <f t="shared" si="33"/>
        <v>1.0017548050425843E-2</v>
      </c>
      <c r="D133" s="7">
        <f t="shared" si="33"/>
        <v>0.2959598429278244</v>
      </c>
      <c r="E133" s="7">
        <f>MAX((1-Parameters!$B$4)^Parameters!B$65*E132+B132*Parameters!B$65-Parameters!$B$5*B132^2/E132*Parameters!B$65,0.0001)</f>
        <v>0.76973530442918192</v>
      </c>
      <c r="F133" s="9">
        <f>MAX((1-Parameters!$B$4)^Parameters!B$65*F132+C132*Parameters!B$65-Parameters!$B$5*C132^2/F132*Parameters!B$65,0.0001)</f>
        <v>0.14852114764791158</v>
      </c>
      <c r="G133" s="7">
        <f>MAX((1-Parameters!$B$4)^Parameters!B$65*G132+D132*Parameters!B$65-Parameters!$B$5*D132^2/G132*Parameters!B$65,0.0001)</f>
        <v>4.3879298389767669</v>
      </c>
      <c r="I133" s="7">
        <f>I132*(1+Parameters!$B$51)^Parameters!B$65</f>
        <v>11.855628935219872</v>
      </c>
      <c r="J133" s="7">
        <f>J132*(1+Parameters!$B$53)^Parameters!B$65</f>
        <v>116.09096679884416</v>
      </c>
      <c r="K133" s="7">
        <f>'6states'!$O$4</f>
        <v>0.98104277196026479</v>
      </c>
      <c r="L133" s="9">
        <f t="shared" si="25"/>
        <v>0.5</v>
      </c>
      <c r="N133" s="7">
        <f>(Parameters!$B$19*(E133+Parameters!$B$20)^L133+Parameters!$B$18*F133^L133)^(1/L133)</f>
        <v>0.53557002405099008</v>
      </c>
      <c r="O133" s="7">
        <f>(Parameters!$B$10*G133^Parameters!$B$9 + Parameters!$B$11*N133^Parameters!$B$9) ^ (Parameters!$B$7/Parameters!$B$9) * K133</f>
        <v>1.5070124693219977</v>
      </c>
      <c r="P133" s="7">
        <f t="shared" si="34"/>
        <v>1.1491174957068746</v>
      </c>
      <c r="Q133" s="7">
        <f>EXP(-Parameters!$B$55*A133)</f>
        <v>0.14257316107088844</v>
      </c>
      <c r="R133" s="7">
        <f>IF(P133&gt;0,P133^(1-Parameters!$B$52)/(1-Parameters!$B$52)*Q133,-10+P133*1000)</f>
        <v>-0.38800934136716864</v>
      </c>
      <c r="S133" s="7"/>
      <c r="T133" s="7"/>
      <c r="U133" s="7"/>
      <c r="V133" s="7"/>
    </row>
    <row r="134" spans="1:22" x14ac:dyDescent="0.25">
      <c r="A134">
        <f>A133+Parameters!$B$65</f>
        <v>130</v>
      </c>
      <c r="B134" s="9">
        <f t="shared" si="33"/>
        <v>5.191758263687303E-2</v>
      </c>
      <c r="C134" s="9">
        <f t="shared" si="33"/>
        <v>1.0017548050425843E-2</v>
      </c>
      <c r="D134" s="7">
        <f t="shared" si="33"/>
        <v>0.2959598429278244</v>
      </c>
      <c r="E134" s="7">
        <f>MAX((1-Parameters!$B$4)^Parameters!B$65*E133+B133*Parameters!B$65-Parameters!$B$5*B133^2/E133*Parameters!B$65,0.0001)</f>
        <v>0.76973476721011436</v>
      </c>
      <c r="F134" s="9">
        <f>MAX((1-Parameters!$B$4)^Parameters!B$65*F133+C133*Parameters!B$65-Parameters!$B$5*C133^2/F133*Parameters!B$65,0.0001)</f>
        <v>0.14852104561152996</v>
      </c>
      <c r="G134" s="7">
        <f>MAX((1-Parameters!$B$4)^Parameters!B$65*G133+D133*Parameters!B$65-Parameters!$B$5*D133^2/G133*Parameters!B$65,0.0001)</f>
        <v>4.3879268099859665</v>
      </c>
      <c r="I134" s="7">
        <f>I133*(1+Parameters!$B$51)^Parameters!B$65</f>
        <v>11.890010259132008</v>
      </c>
      <c r="J134" s="7">
        <f>J133*(1+Parameters!$B$53)^Parameters!B$65</f>
        <v>118.41278613482105</v>
      </c>
      <c r="K134" s="7">
        <f>'6states'!$O$4</f>
        <v>0.98104277196026479</v>
      </c>
      <c r="L134" s="9">
        <f t="shared" ref="L134:L197" si="35">L133</f>
        <v>0.5</v>
      </c>
      <c r="N134" s="7">
        <f>(Parameters!$B$19*(E134+Parameters!$B$20)^L134+Parameters!$B$18*F134^L134)^(1/L134)</f>
        <v>0.53556965522397493</v>
      </c>
      <c r="O134" s="7">
        <f>(Parameters!$B$10*G134^Parameters!$B$9 + Parameters!$B$11*N134^Parameters!$B$9) ^ (Parameters!$B$7/Parameters!$B$9) * K134</f>
        <v>1.5070121573637323</v>
      </c>
      <c r="P134" s="7">
        <f t="shared" si="34"/>
        <v>1.1491171837486092</v>
      </c>
      <c r="Q134" s="7">
        <f>EXP(-Parameters!$B$55*A134)</f>
        <v>0.14043647888778818</v>
      </c>
      <c r="R134" s="7">
        <f>IF(P134&gt;0,P134^(1-Parameters!$B$52)/(1-Parameters!$B$52)*Q134,-10+P134*1000)</f>
        <v>-0.38219444982080408</v>
      </c>
      <c r="S134" s="7"/>
      <c r="T134" s="7"/>
      <c r="U134" s="7"/>
      <c r="V134" s="7"/>
    </row>
    <row r="135" spans="1:22" x14ac:dyDescent="0.25">
      <c r="A135">
        <f>A134+Parameters!$B$65</f>
        <v>131</v>
      </c>
      <c r="B135" s="9">
        <f t="shared" si="33"/>
        <v>5.191758263687303E-2</v>
      </c>
      <c r="C135" s="9">
        <f t="shared" si="33"/>
        <v>1.0017548050425843E-2</v>
      </c>
      <c r="D135" s="7">
        <f t="shared" si="33"/>
        <v>0.2959598429278244</v>
      </c>
      <c r="E135" s="7">
        <f>MAX((1-Parameters!$B$4)^Parameters!B$65*E134+B134*Parameters!B$65-Parameters!$B$5*B134^2/E134*Parameters!B$65,0.0001)</f>
        <v>0.76973426133814515</v>
      </c>
      <c r="F135" s="9">
        <f>MAX((1-Parameters!$B$4)^Parameters!B$65*F134+C134*Parameters!B$65-Parameters!$B$5*C134^2/F134*Parameters!B$65,0.0001)</f>
        <v>0.14852094952904049</v>
      </c>
      <c r="G135" s="7">
        <f>MAX((1-Parameters!$B$4)^Parameters!B$65*G134+D134*Parameters!B$65-Parameters!$B$5*D134^2/G134*Parameters!B$65,0.0001)</f>
        <v>4.3879239577388374</v>
      </c>
      <c r="I135" s="7">
        <f>I134*(1+Parameters!$B$51)^Parameters!B$65</f>
        <v>11.924491288883489</v>
      </c>
      <c r="J135" s="7">
        <f>J134*(1+Parameters!$B$53)^Parameters!B$65</f>
        <v>120.78104185751747</v>
      </c>
      <c r="K135" s="7">
        <f>'6states'!$O$4</f>
        <v>0.98104277196026479</v>
      </c>
      <c r="L135" s="9">
        <f t="shared" si="35"/>
        <v>0.5</v>
      </c>
      <c r="N135" s="7">
        <f>(Parameters!$B$19*(E135+Parameters!$B$20)^L135+Parameters!$B$18*F135^L135)^(1/L135)</f>
        <v>0.53556930791826729</v>
      </c>
      <c r="O135" s="7">
        <f>(Parameters!$B$10*G135^Parameters!$B$9 + Parameters!$B$11*N135^Parameters!$B$9) ^ (Parameters!$B$7/Parameters!$B$9) * K135</f>
        <v>1.5070118636083059</v>
      </c>
      <c r="P135" s="7">
        <f t="shared" si="34"/>
        <v>1.1491168899931825</v>
      </c>
      <c r="Q135" s="7">
        <f>EXP(-Parameters!$B$55*A135)</f>
        <v>0.13833181823466795</v>
      </c>
      <c r="R135" s="7">
        <f>IF(P135&gt;0,P135^(1-Parameters!$B$52)/(1-Parameters!$B$52)*Q135,-10+P135*1000)</f>
        <v>-0.37646670090280332</v>
      </c>
      <c r="S135" s="7"/>
      <c r="T135" s="7"/>
      <c r="U135" s="7"/>
      <c r="V135" s="7"/>
    </row>
    <row r="136" spans="1:22" x14ac:dyDescent="0.25">
      <c r="A136">
        <f>A135+Parameters!$B$65</f>
        <v>132</v>
      </c>
      <c r="B136" s="9">
        <f t="shared" si="33"/>
        <v>5.191758263687303E-2</v>
      </c>
      <c r="C136" s="9">
        <f t="shared" si="33"/>
        <v>1.0017548050425843E-2</v>
      </c>
      <c r="D136" s="7">
        <f t="shared" si="33"/>
        <v>0.2959598429278244</v>
      </c>
      <c r="E136" s="7">
        <f>MAX((1-Parameters!$B$4)^Parameters!B$65*E135+B135*Parameters!B$65-Parameters!$B$5*B135^2/E135*Parameters!B$65,0.0001)</f>
        <v>0.76973378498414657</v>
      </c>
      <c r="F136" s="9">
        <f>MAX((1-Parameters!$B$4)^Parameters!B$65*F135+C135*Parameters!B$65-Parameters!$B$5*C135^2/F135*Parameters!B$65,0.0001)</f>
        <v>0.14852085905302892</v>
      </c>
      <c r="G136" s="7">
        <f>MAX((1-Parameters!$B$4)^Parameters!B$65*G135+D135*Parameters!B$65-Parameters!$B$5*D135^2/G135*Parameters!B$65,0.0001)</f>
        <v>4.3879212719222496</v>
      </c>
      <c r="I136" s="7">
        <f>I135*(1+Parameters!$B$51)^Parameters!B$65</f>
        <v>11.959072313621251</v>
      </c>
      <c r="J136" s="7">
        <f>J135*(1+Parameters!$B$53)^Parameters!B$65</f>
        <v>123.19666269466782</v>
      </c>
      <c r="K136" s="7">
        <f>'6states'!$O$4</f>
        <v>0.98104277196026479</v>
      </c>
      <c r="L136" s="9">
        <f t="shared" si="35"/>
        <v>0.5</v>
      </c>
      <c r="N136" s="7">
        <f>(Parameters!$B$19*(E136+Parameters!$B$20)^L136+Parameters!$B$18*F136^L136)^(1/L136)</f>
        <v>0.53556898087808191</v>
      </c>
      <c r="O136" s="7">
        <f>(Parameters!$B$10*G136^Parameters!$B$9 + Parameters!$B$11*N136^Parameters!$B$9) ^ (Parameters!$B$7/Parameters!$B$9) * K136</f>
        <v>1.507011586993585</v>
      </c>
      <c r="P136" s="7">
        <f t="shared" si="34"/>
        <v>1.1491166133784616</v>
      </c>
      <c r="Q136" s="7">
        <f>EXP(-Parameters!$B$55*A136)</f>
        <v>0.13625869921873399</v>
      </c>
      <c r="R136" s="7">
        <f>IF(P136&gt;0,P136^(1-Parameters!$B$52)/(1-Parameters!$B$52)*Q136,-10+P136*1000)</f>
        <v>-0.37082478883503567</v>
      </c>
      <c r="S136" s="7"/>
      <c r="T136" s="7"/>
      <c r="U136" s="7"/>
      <c r="V136" s="7"/>
    </row>
    <row r="137" spans="1:22" x14ac:dyDescent="0.25">
      <c r="A137">
        <f>A136+Parameters!$B$65</f>
        <v>133</v>
      </c>
      <c r="B137" s="9">
        <f t="shared" si="33"/>
        <v>5.191758263687303E-2</v>
      </c>
      <c r="C137" s="9">
        <f t="shared" si="33"/>
        <v>1.0017548050425843E-2</v>
      </c>
      <c r="D137" s="7">
        <f t="shared" si="33"/>
        <v>0.2959598429278244</v>
      </c>
      <c r="E137" s="7">
        <f>MAX((1-Parameters!$B$4)^Parameters!B$65*E136+B136*Parameters!B$65-Parameters!$B$5*B136^2/E136*Parameters!B$65,0.0001)</f>
        <v>0.76973333642572239</v>
      </c>
      <c r="F137" s="9">
        <f>MAX((1-Parameters!$B$4)^Parameters!B$65*F136+C136*Parameters!B$65-Parameters!$B$5*C136^2/F136*Parameters!B$65,0.0001)</f>
        <v>0.14852077385635301</v>
      </c>
      <c r="G137" s="7">
        <f>MAX((1-Parameters!$B$4)^Parameters!B$65*G136+D136*Parameters!B$65-Parameters!$B$5*D136^2/G136*Parameters!B$65,0.0001)</f>
        <v>4.3879187428248532</v>
      </c>
      <c r="I137" s="7">
        <f>I136*(1+Parameters!$B$51)^Parameters!B$65</f>
        <v>11.99375362333075</v>
      </c>
      <c r="J137" s="7">
        <f>J136*(1+Parameters!$B$53)^Parameters!B$65</f>
        <v>125.66059594856118</v>
      </c>
      <c r="K137" s="7">
        <f>'6states'!$O$4</f>
        <v>0.98104277196026479</v>
      </c>
      <c r="L137" s="9">
        <f t="shared" si="35"/>
        <v>0.5</v>
      </c>
      <c r="N137" s="7">
        <f>(Parameters!$B$19*(E137+Parameters!$B$20)^L137+Parameters!$B$18*F137^L137)^(1/L137)</f>
        <v>0.53556867292090993</v>
      </c>
      <c r="O137" s="7">
        <f>(Parameters!$B$10*G137^Parameters!$B$9 + Parameters!$B$11*N137^Parameters!$B$9) ^ (Parameters!$B$7/Parameters!$B$9) * K137</f>
        <v>1.5070113265194089</v>
      </c>
      <c r="P137" s="7">
        <f t="shared" si="34"/>
        <v>1.1491163529042856</v>
      </c>
      <c r="Q137" s="7">
        <f>EXP(-Parameters!$B$55*A137)</f>
        <v>0.13421664913913783</v>
      </c>
      <c r="R137" s="7">
        <f>IF(P137&gt;0,P137^(1-Parameters!$B$52)/(1-Parameters!$B$52)*Q137,-10+P137*1000)</f>
        <v>-0.36526742739468493</v>
      </c>
      <c r="S137" s="7"/>
      <c r="T137" s="7"/>
      <c r="U137" s="7"/>
      <c r="V137" s="7"/>
    </row>
    <row r="138" spans="1:22" x14ac:dyDescent="0.25">
      <c r="A138">
        <f>A137+Parameters!$B$65</f>
        <v>134</v>
      </c>
      <c r="B138" s="9">
        <f t="shared" si="33"/>
        <v>5.191758263687303E-2</v>
      </c>
      <c r="C138" s="9">
        <f t="shared" si="33"/>
        <v>1.0017548050425843E-2</v>
      </c>
      <c r="D138" s="7">
        <f t="shared" si="33"/>
        <v>0.2959598429278244</v>
      </c>
      <c r="E138" s="7">
        <f>MAX((1-Parameters!$B$4)^Parameters!B$65*E137+B137*Parameters!B$65-Parameters!$B$5*B137^2/E137*Parameters!B$65,0.0001)</f>
        <v>0.76973291404097977</v>
      </c>
      <c r="F138" s="9">
        <f>MAX((1-Parameters!$B$4)^Parameters!B$65*F137+C137*Parameters!B$65-Parameters!$B$5*C137^2/F137*Parameters!B$65,0.0001)</f>
        <v>0.14852069363095954</v>
      </c>
      <c r="G138" s="7">
        <f>MAX((1-Parameters!$B$4)^Parameters!B$65*G137+D137*Parameters!B$65-Parameters!$B$5*D137^2/G137*Parameters!B$65,0.0001)</f>
        <v>4.3879163613019649</v>
      </c>
      <c r="I138" s="7">
        <f>I137*(1+Parameters!$B$51)^Parameters!B$65</f>
        <v>12.028535508838408</v>
      </c>
      <c r="J138" s="7">
        <f>J137*(1+Parameters!$B$53)^Parameters!B$65</f>
        <v>128.17380786753242</v>
      </c>
      <c r="K138" s="7">
        <f>'6states'!$O$4</f>
        <v>0.98104277196026479</v>
      </c>
      <c r="L138" s="9">
        <f t="shared" si="35"/>
        <v>0.5</v>
      </c>
      <c r="N138" s="7">
        <f>(Parameters!$B$19*(E138+Parameters!$B$20)^L138+Parameters!$B$18*F138^L138)^(1/L138)</f>
        <v>0.53556838293324316</v>
      </c>
      <c r="O138" s="7">
        <f>(Parameters!$B$10*G138^Parameters!$B$9 + Parameters!$B$11*N138^Parameters!$B$9) ^ (Parameters!$B$7/Parameters!$B$9) * K138</f>
        <v>1.5070110812439776</v>
      </c>
      <c r="P138" s="7">
        <f t="shared" si="34"/>
        <v>1.1491161076288545</v>
      </c>
      <c r="Q138" s="7">
        <f>EXP(-Parameters!$B$55*A138)</f>
        <v>0.13220520237919381</v>
      </c>
      <c r="R138" s="7">
        <f>IF(P138&gt;0,P138^(1-Parameters!$B$52)/(1-Parameters!$B$52)*Q138,-10+P138*1000)</f>
        <v>-0.3597933496221829</v>
      </c>
      <c r="S138" s="7"/>
      <c r="T138" s="7"/>
      <c r="U138" s="7"/>
      <c r="V138" s="7"/>
    </row>
    <row r="139" spans="1:22" x14ac:dyDescent="0.25">
      <c r="A139">
        <f>A138+Parameters!$B$65</f>
        <v>135</v>
      </c>
      <c r="B139" s="9">
        <f t="shared" si="33"/>
        <v>5.191758263687303E-2</v>
      </c>
      <c r="C139" s="9">
        <f t="shared" si="33"/>
        <v>1.0017548050425843E-2</v>
      </c>
      <c r="D139" s="7">
        <f t="shared" si="33"/>
        <v>0.2959598429278244</v>
      </c>
      <c r="E139" s="7">
        <f>MAX((1-Parameters!$B$4)^Parameters!B$65*E138+B138*Parameters!B$65-Parameters!$B$5*B138^2/E138*Parameters!B$65,0.0001)</f>
        <v>0.76973251630266482</v>
      </c>
      <c r="F139" s="9">
        <f>MAX((1-Parameters!$B$4)^Parameters!B$65*F138+C138*Parameters!B$65-Parameters!$B$5*C138^2/F138*Parameters!B$65,0.0001)</f>
        <v>0.1485206180867705</v>
      </c>
      <c r="G139" s="7">
        <f>MAX((1-Parameters!$B$4)^Parameters!B$65*G138+D138*Parameters!B$65-Parameters!$B$5*D138^2/G138*Parameters!B$65,0.0001)</f>
        <v>4.3879141187425024</v>
      </c>
      <c r="I139" s="7">
        <f>I138*(1+Parameters!$B$51)^Parameters!B$65</f>
        <v>12.063418261814038</v>
      </c>
      <c r="J139" s="7">
        <f>J138*(1+Parameters!$B$53)^Parameters!B$65</f>
        <v>130.73728402488308</v>
      </c>
      <c r="K139" s="7">
        <f>'6states'!$O$4</f>
        <v>0.98104277196026479</v>
      </c>
      <c r="L139" s="9">
        <f t="shared" si="35"/>
        <v>0.5</v>
      </c>
      <c r="N139" s="7">
        <f>(Parameters!$B$19*(E139+Parameters!$B$20)^L139+Parameters!$B$18*F139^L139)^(1/L139)</f>
        <v>0.53556810986654746</v>
      </c>
      <c r="O139" s="7">
        <f>(Parameters!$B$10*G139^Parameters!$B$9 + Parameters!$B$11*N139^Parameters!$B$9) ^ (Parameters!$B$7/Parameters!$B$9) * K139</f>
        <v>1.5070108502804442</v>
      </c>
      <c r="P139" s="7">
        <f t="shared" si="34"/>
        <v>1.1491158766653209</v>
      </c>
      <c r="Q139" s="7">
        <f>EXP(-Parameters!$B$55*A139)</f>
        <v>0.13022390030021183</v>
      </c>
      <c r="R139" s="7">
        <f>IF(P139&gt;0,P139^(1-Parameters!$B$52)/(1-Parameters!$B$52)*Q139,-10+P139*1000)</f>
        <v>-0.35440130753344901</v>
      </c>
      <c r="S139" s="7"/>
      <c r="T139" s="7"/>
      <c r="U139" s="7"/>
      <c r="V139" s="7"/>
    </row>
    <row r="140" spans="1:22" x14ac:dyDescent="0.25">
      <c r="A140">
        <f>A139+Parameters!$B$65</f>
        <v>136</v>
      </c>
      <c r="B140" s="9">
        <f t="shared" si="33"/>
        <v>5.191758263687303E-2</v>
      </c>
      <c r="C140" s="9">
        <f t="shared" si="33"/>
        <v>1.0017548050425843E-2</v>
      </c>
      <c r="D140" s="7">
        <f t="shared" si="33"/>
        <v>0.2959598429278244</v>
      </c>
      <c r="E140" s="7">
        <f>MAX((1-Parameters!$B$4)^Parameters!B$65*E139+B139*Parameters!B$65-Parameters!$B$5*B139^2/E139*Parameters!B$65,0.0001)</f>
        <v>0.76973214177264038</v>
      </c>
      <c r="F140" s="9">
        <f>MAX((1-Parameters!$B$4)^Parameters!B$65*F139+C139*Parameters!B$65-Parameters!$B$5*C139^2/F139*Parameters!B$65,0.0001)</f>
        <v>0.14852054695063413</v>
      </c>
      <c r="G140" s="7">
        <f>MAX((1-Parameters!$B$4)^Parameters!B$65*G139+D139*Parameters!B$65-Parameters!$B$5*D139^2/G139*Parameters!B$65,0.0001)</f>
        <v>4.3879120070378477</v>
      </c>
      <c r="I140" s="7">
        <f>I139*(1+Parameters!$B$51)^Parameters!B$65</f>
        <v>12.098402174773296</v>
      </c>
      <c r="J140" s="7">
        <f>J139*(1+Parameters!$B$53)^Parameters!B$65</f>
        <v>133.35202970538074</v>
      </c>
      <c r="K140" s="7">
        <f>'6states'!$O$4</f>
        <v>0.98104277196026479</v>
      </c>
      <c r="L140" s="9">
        <f t="shared" si="35"/>
        <v>0.5</v>
      </c>
      <c r="N140" s="7">
        <f>(Parameters!$B$19*(E140+Parameters!$B$20)^L140+Parameters!$B$18*F140^L140)^(1/L140)</f>
        <v>0.53556785273347174</v>
      </c>
      <c r="O140" s="7">
        <f>(Parameters!$B$10*G140^Parameters!$B$9 + Parameters!$B$11*N140^Parameters!$B$9) ^ (Parameters!$B$7/Parameters!$B$9) * K140</f>
        <v>1.5070106327937078</v>
      </c>
      <c r="P140" s="7">
        <f t="shared" si="34"/>
        <v>1.1491156591785847</v>
      </c>
      <c r="Q140" s="7">
        <f>EXP(-Parameters!$B$55*A140)</f>
        <v>0.12827229113692101</v>
      </c>
      <c r="R140" s="7">
        <f>IF(P140&gt;0,P140^(1-Parameters!$B$52)/(1-Parameters!$B$52)*Q140,-10+P140*1000)</f>
        <v>-0.34909007183637336</v>
      </c>
      <c r="S140" s="7"/>
      <c r="T140" s="7"/>
      <c r="U140" s="7"/>
      <c r="V140" s="7"/>
    </row>
    <row r="141" spans="1:22" x14ac:dyDescent="0.25">
      <c r="A141">
        <f>A140+Parameters!$B$65</f>
        <v>137</v>
      </c>
      <c r="B141" s="9">
        <f t="shared" si="33"/>
        <v>5.191758263687303E-2</v>
      </c>
      <c r="C141" s="9">
        <f t="shared" si="33"/>
        <v>1.0017548050425843E-2</v>
      </c>
      <c r="D141" s="7">
        <f t="shared" si="33"/>
        <v>0.2959598429278244</v>
      </c>
      <c r="E141" s="7">
        <f>MAX((1-Parameters!$B$4)^Parameters!B$65*E140+B140*Parameters!B$65-Parameters!$B$5*B140^2/E140*Parameters!B$65,0.0001)</f>
        <v>0.76973178909668583</v>
      </c>
      <c r="F141" s="9">
        <f>MAX((1-Parameters!$B$4)^Parameters!B$65*F140+C140*Parameters!B$65-Parameters!$B$5*C140^2/F140*Parameters!B$65,0.0001)</f>
        <v>0.14852047996533738</v>
      </c>
      <c r="G141" s="7">
        <f>MAX((1-Parameters!$B$4)^Parameters!B$65*G140+D140*Parameters!B$65-Parameters!$B$5*D140^2/G140*Parameters!B$65,0.0001)</f>
        <v>4.3879100185525282</v>
      </c>
      <c r="I141" s="7">
        <f>I140*(1+Parameters!$B$51)^Parameters!B$65</f>
        <v>12.133487541080138</v>
      </c>
      <c r="J141" s="7">
        <f>J140*(1+Parameters!$B$53)^Parameters!B$65</f>
        <v>136.01907029948836</v>
      </c>
      <c r="K141" s="7">
        <f>'6states'!$O$4</f>
        <v>0.98104277196026479</v>
      </c>
      <c r="L141" s="9">
        <f t="shared" si="35"/>
        <v>0.5</v>
      </c>
      <c r="N141" s="7">
        <f>(Parameters!$B$19*(E141+Parameters!$B$20)^L141+Parameters!$B$18*F141^L141)^(1/L141)</f>
        <v>0.53556761060427793</v>
      </c>
      <c r="O141" s="7">
        <f>(Parameters!$B$10*G141^Parameters!$B$9 + Parameters!$B$11*N141^Parameters!$B$9) ^ (Parameters!$B$7/Parameters!$B$9) * K141</f>
        <v>1.5070104279973962</v>
      </c>
      <c r="P141" s="7">
        <f t="shared" si="34"/>
        <v>1.1491154543822728</v>
      </c>
      <c r="Q141" s="7">
        <f>EXP(-Parameters!$B$55*A141)</f>
        <v>0.12634992989446087</v>
      </c>
      <c r="R141" s="7">
        <f>IF(P141&gt;0,P141^(1-Parameters!$B$52)/(1-Parameters!$B$52)*Q141,-10+P141*1000)</f>
        <v>-0.34385843165148755</v>
      </c>
      <c r="S141" s="7"/>
      <c r="T141" s="7"/>
      <c r="U141" s="7"/>
      <c r="V141" s="7"/>
    </row>
    <row r="142" spans="1:22" x14ac:dyDescent="0.25">
      <c r="A142">
        <f>A141+Parameters!$B$65</f>
        <v>138</v>
      </c>
      <c r="B142" s="9">
        <f t="shared" si="33"/>
        <v>5.191758263687303E-2</v>
      </c>
      <c r="C142" s="9">
        <f t="shared" si="33"/>
        <v>1.0017548050425843E-2</v>
      </c>
      <c r="D142" s="7">
        <f t="shared" si="33"/>
        <v>0.2959598429278244</v>
      </c>
      <c r="E142" s="7">
        <f>MAX((1-Parameters!$B$4)^Parameters!B$65*E141+B141*Parameters!B$65-Parameters!$B$5*B141^2/E141*Parameters!B$65,0.0001)</f>
        <v>0.76973145699960055</v>
      </c>
      <c r="F142" s="9">
        <f>MAX((1-Parameters!$B$4)^Parameters!B$65*F141+C141*Parameters!B$65-Parameters!$B$5*C141^2/F141*Parameters!B$65,0.0001)</f>
        <v>0.14852041688867579</v>
      </c>
      <c r="G142" s="7">
        <f>MAX((1-Parameters!$B$4)^Parameters!B$65*G141+D141*Parameters!B$65-Parameters!$B$5*D141^2/G141*Parameters!B$65,0.0001)</f>
        <v>4.3879081460966072</v>
      </c>
      <c r="I142" s="7">
        <f>I141*(1+Parameters!$B$51)^Parameters!B$65</f>
        <v>12.168674654949269</v>
      </c>
      <c r="J142" s="7">
        <f>J141*(1+Parameters!$B$53)^Parameters!B$65</f>
        <v>138.73945170547813</v>
      </c>
      <c r="K142" s="7">
        <f>'6states'!$O$4</f>
        <v>0.98104277196026479</v>
      </c>
      <c r="L142" s="9">
        <f t="shared" si="35"/>
        <v>0.5</v>
      </c>
      <c r="N142" s="7">
        <f>(Parameters!$B$19*(E142+Parameters!$B$20)^L142+Parameters!$B$18*F142^L142)^(1/L142)</f>
        <v>0.53556738260347847</v>
      </c>
      <c r="O142" s="7">
        <f>(Parameters!$B$10*G142^Parameters!$B$9 + Parameters!$B$11*N142^Parameters!$B$9) ^ (Parameters!$B$7/Parameters!$B$9) * K142</f>
        <v>1.5070102351510224</v>
      </c>
      <c r="P142" s="7">
        <f t="shared" si="34"/>
        <v>1.1491152615358993</v>
      </c>
      <c r="Q142" s="7">
        <f>EXP(-Parameters!$B$55*A142)</f>
        <v>0.12445637824691602</v>
      </c>
      <c r="R142" s="7">
        <f>IF(P142&gt;0,P142^(1-Parameters!$B$52)/(1-Parameters!$B$52)*Q142,-10+P142*1000)</f>
        <v>-0.33870519423676326</v>
      </c>
      <c r="S142" s="7"/>
      <c r="T142" s="7"/>
      <c r="U142" s="7"/>
      <c r="V142" s="7"/>
    </row>
    <row r="143" spans="1:22" x14ac:dyDescent="0.25">
      <c r="A143">
        <f>A142+Parameters!$B$65</f>
        <v>139</v>
      </c>
      <c r="B143" s="9">
        <f t="shared" si="33"/>
        <v>5.191758263687303E-2</v>
      </c>
      <c r="C143" s="9">
        <f t="shared" si="33"/>
        <v>1.0017548050425843E-2</v>
      </c>
      <c r="D143" s="7">
        <f t="shared" si="33"/>
        <v>0.2959598429278244</v>
      </c>
      <c r="E143" s="7">
        <f>MAX((1-Parameters!$B$4)^Parameters!B$65*E142+B142*Parameters!B$65-Parameters!$B$5*B142^2/E142*Parameters!B$65,0.0001)</f>
        <v>0.76973114428059286</v>
      </c>
      <c r="F143" s="9">
        <f>MAX((1-Parameters!$B$4)^Parameters!B$65*F142+C142*Parameters!B$65-Parameters!$B$5*C142^2/F142*Parameters!B$65,0.0001)</f>
        <v>0.14852035749257772</v>
      </c>
      <c r="G143" s="7">
        <f>MAX((1-Parameters!$B$4)^Parameters!B$65*G142+D142*Parameters!B$65-Parameters!$B$5*D142^2/G142*Parameters!B$65,0.0001)</f>
        <v>4.3879063828996863</v>
      </c>
      <c r="I143" s="7">
        <f>I142*(1+Parameters!$B$51)^Parameters!B$65</f>
        <v>12.20396381144862</v>
      </c>
      <c r="J143" s="7">
        <f>J142*(1+Parameters!$B$53)^Parameters!B$65</f>
        <v>141.51424073958771</v>
      </c>
      <c r="K143" s="7">
        <f>'6states'!$O$4</f>
        <v>0.98104277196026479</v>
      </c>
      <c r="L143" s="9">
        <f t="shared" si="35"/>
        <v>0.5</v>
      </c>
      <c r="N143" s="7">
        <f>(Parameters!$B$19*(E143+Parameters!$B$20)^L143+Parameters!$B$18*F143^L143)^(1/L143)</f>
        <v>0.53556716790667147</v>
      </c>
      <c r="O143" s="7">
        <f>(Parameters!$B$10*G143^Parameters!$B$9 + Parameters!$B$11*N143^Parameters!$B$9) ^ (Parameters!$B$7/Parameters!$B$9) * K143</f>
        <v>1.5070100535573048</v>
      </c>
      <c r="P143" s="7">
        <f t="shared" si="34"/>
        <v>1.1491150799421814</v>
      </c>
      <c r="Q143" s="7">
        <f>EXP(-Parameters!$B$55*A143)</f>
        <v>0.12259120443737162</v>
      </c>
      <c r="R143" s="7">
        <f>IF(P143&gt;0,P143^(1-Parameters!$B$52)/(1-Parameters!$B$52)*Q143,-10+P143*1000)</f>
        <v>-0.33362918471648167</v>
      </c>
      <c r="S143" s="7"/>
      <c r="T143" s="7"/>
      <c r="U143" s="7"/>
      <c r="V143" s="7"/>
    </row>
    <row r="144" spans="1:22" x14ac:dyDescent="0.25">
      <c r="A144">
        <f>A143+Parameters!$B$65</f>
        <v>140</v>
      </c>
      <c r="B144" s="9">
        <f t="shared" ref="B144:D159" si="36">B143</f>
        <v>5.191758263687303E-2</v>
      </c>
      <c r="C144" s="9">
        <f t="shared" si="36"/>
        <v>1.0017548050425843E-2</v>
      </c>
      <c r="D144" s="7">
        <f t="shared" si="36"/>
        <v>0.2959598429278244</v>
      </c>
      <c r="E144" s="7">
        <f>MAX((1-Parameters!$B$4)^Parameters!B$65*E143+B143*Parameters!B$65-Parameters!$B$5*B143^2/E143*Parameters!B$65,0.0001)</f>
        <v>0.76973084980893824</v>
      </c>
      <c r="F144" s="9">
        <f>MAX((1-Parameters!$B$4)^Parameters!B$65*F143+C143*Parameters!B$65-Parameters!$B$5*C143^2/F143*Parameters!B$65,0.0001)</f>
        <v>0.14852030156227974</v>
      </c>
      <c r="G144" s="7">
        <f>MAX((1-Parameters!$B$4)^Parameters!B$65*G143+D143*Parameters!B$65-Parameters!$B$5*D143^2/G143*Parameters!B$65,0.0001)</f>
        <v>4.3879047225864269</v>
      </c>
      <c r="I144" s="7">
        <f>I143*(1+Parameters!$B$51)^Parameters!B$65</f>
        <v>12.239355306501819</v>
      </c>
      <c r="J144" s="7">
        <f>J143*(1+Parameters!$B$53)^Parameters!B$65</f>
        <v>144.34452555437946</v>
      </c>
      <c r="K144" s="7">
        <f>'6states'!$O$4</f>
        <v>0.98104277196026479</v>
      </c>
      <c r="L144" s="9">
        <f t="shared" si="35"/>
        <v>0.5</v>
      </c>
      <c r="N144" s="7">
        <f>(Parameters!$B$19*(E144+Parameters!$B$20)^L144+Parameters!$B$18*F144^L144)^(1/L144)</f>
        <v>0.53556696573756013</v>
      </c>
      <c r="O144" s="7">
        <f>(Parameters!$B$10*G144^Parameters!$B$9 + Parameters!$B$11*N144^Parameters!$B$9) ^ (Parameters!$B$7/Parameters!$B$9) * K144</f>
        <v>1.5070098825596498</v>
      </c>
      <c r="P144" s="7">
        <f t="shared" si="34"/>
        <v>1.1491149089445267</v>
      </c>
      <c r="Q144" s="7">
        <f>EXP(-Parameters!$B$55*A144)</f>
        <v>0.12075398317946676</v>
      </c>
      <c r="R144" s="7">
        <f>IF(P144&gt;0,P144^(1-Parameters!$B$52)/(1-Parameters!$B$52)*Q144,-10+P144*1000)</f>
        <v>-0.32862924581411695</v>
      </c>
      <c r="S144" s="7"/>
      <c r="T144" s="7"/>
      <c r="U144" s="7"/>
      <c r="V144" s="7"/>
    </row>
    <row r="145" spans="1:22" x14ac:dyDescent="0.25">
      <c r="A145">
        <f>A144+Parameters!$B$65</f>
        <v>141</v>
      </c>
      <c r="B145" s="9">
        <f t="shared" si="36"/>
        <v>5.191758263687303E-2</v>
      </c>
      <c r="C145" s="9">
        <f t="shared" si="36"/>
        <v>1.0017548050425843E-2</v>
      </c>
      <c r="D145" s="7">
        <f t="shared" si="36"/>
        <v>0.2959598429278244</v>
      </c>
      <c r="E145" s="7">
        <f>MAX((1-Parameters!$B$4)^Parameters!B$65*E144+B144*Parameters!B$65-Parameters!$B$5*B144^2/E144*Parameters!B$65,0.0001)</f>
        <v>0.76973057251989119</v>
      </c>
      <c r="F145" s="9">
        <f>MAX((1-Parameters!$B$4)^Parameters!B$65*F144+C144*Parameters!B$65-Parameters!$B$5*C144^2/F144*Parameters!B$65,0.0001)</f>
        <v>0.14852024889555002</v>
      </c>
      <c r="G145" s="7">
        <f>MAX((1-Parameters!$B$4)^Parameters!B$65*G144+D144*Parameters!B$65-Parameters!$B$5*D144^2/G144*Parameters!B$65,0.0001)</f>
        <v>4.3879031591534963</v>
      </c>
      <c r="I145" s="7">
        <f>I144*(1+Parameters!$B$51)^Parameters!B$65</f>
        <v>12.274849436890673</v>
      </c>
      <c r="J145" s="7">
        <f>J144*(1+Parameters!$B$53)^Parameters!B$65</f>
        <v>147.23141606546704</v>
      </c>
      <c r="K145" s="7">
        <f>'6states'!$O$4</f>
        <v>0.98104277196026479</v>
      </c>
      <c r="L145" s="9">
        <f t="shared" si="35"/>
        <v>0.5</v>
      </c>
      <c r="N145" s="7">
        <f>(Parameters!$B$19*(E145+Parameters!$B$20)^L145+Parameters!$B$18*F145^L145)^(1/L145)</f>
        <v>0.53556677536514419</v>
      </c>
      <c r="O145" s="7">
        <f>(Parameters!$B$10*G145^Parameters!$B$9 + Parameters!$B$11*N145^Parameters!$B$9) ^ (Parameters!$B$7/Parameters!$B$9) * K145</f>
        <v>1.5070097215397746</v>
      </c>
      <c r="P145" s="7">
        <f t="shared" si="34"/>
        <v>1.1491147479246515</v>
      </c>
      <c r="Q145" s="7">
        <f>EXP(-Parameters!$B$55*A145)</f>
        <v>0.11894429556042277</v>
      </c>
      <c r="R145" s="7">
        <f>IF(P145&gt;0,P145^(1-Parameters!$B$52)/(1-Parameters!$B$52)*Q145,-10+P145*1000)</f>
        <v>-0.3237042375891751</v>
      </c>
      <c r="S145" s="7"/>
      <c r="T145" s="7"/>
      <c r="U145" s="7"/>
      <c r="V145" s="7"/>
    </row>
    <row r="146" spans="1:22" x14ac:dyDescent="0.25">
      <c r="A146">
        <f>A145+Parameters!$B$65</f>
        <v>142</v>
      </c>
      <c r="B146" s="9">
        <f t="shared" si="36"/>
        <v>5.191758263687303E-2</v>
      </c>
      <c r="C146" s="9">
        <f t="shared" si="36"/>
        <v>1.0017548050425843E-2</v>
      </c>
      <c r="D146" s="7">
        <f t="shared" si="36"/>
        <v>0.2959598429278244</v>
      </c>
      <c r="E146" s="7">
        <f>MAX((1-Parameters!$B$4)^Parameters!B$65*E145+B145*Parameters!B$65-Parameters!$B$5*B145^2/E145*Parameters!B$65,0.0001)</f>
        <v>0.76973031141083459</v>
      </c>
      <c r="F146" s="9">
        <f>MAX((1-Parameters!$B$4)^Parameters!B$65*F145+C145*Parameters!B$65-Parameters!$B$5*C145^2/F145*Parameters!B$65,0.0001)</f>
        <v>0.14852019930195709</v>
      </c>
      <c r="G146" s="7">
        <f>MAX((1-Parameters!$B$4)^Parameters!B$65*G145+D145*Parameters!B$65-Parameters!$B$5*D145^2/G145*Parameters!B$65,0.0001)</f>
        <v>4.3879016869478606</v>
      </c>
      <c r="I146" s="7">
        <f>I145*(1+Parameters!$B$51)^Parameters!B$65</f>
        <v>12.310446500257655</v>
      </c>
      <c r="J146" s="7">
        <f>J145*(1+Parameters!$B$53)^Parameters!B$65</f>
        <v>150.1760443867764</v>
      </c>
      <c r="K146" s="7">
        <f>'6states'!$O$4</f>
        <v>0.98104277196026479</v>
      </c>
      <c r="L146" s="9">
        <f t="shared" si="35"/>
        <v>0.5</v>
      </c>
      <c r="N146" s="7">
        <f>(Parameters!$B$19*(E146+Parameters!$B$20)^L146+Parameters!$B$18*F146^L146)^(1/L146)</f>
        <v>0.53556659610107848</v>
      </c>
      <c r="O146" s="7">
        <f>(Parameters!$B$10*G146^Parameters!$B$9 + Parameters!$B$11*N146^Parameters!$B$9) ^ (Parameters!$B$7/Parameters!$B$9) * K146</f>
        <v>1.5070095699154737</v>
      </c>
      <c r="P146" s="7">
        <f t="shared" si="34"/>
        <v>1.1491145963003504</v>
      </c>
      <c r="Q146" s="7">
        <f>EXP(-Parameters!$B$55*A146)</f>
        <v>0.11716172894552528</v>
      </c>
      <c r="R146" s="7">
        <f>IF(P146&gt;0,P146^(1-Parameters!$B$52)/(1-Parameters!$B$52)*Q146,-10+P146*1000)</f>
        <v>-0.31885303717793534</v>
      </c>
      <c r="S146" s="7"/>
      <c r="T146" s="7"/>
      <c r="U146" s="7"/>
      <c r="V146" s="7"/>
    </row>
    <row r="147" spans="1:22" x14ac:dyDescent="0.25">
      <c r="A147">
        <f>A146+Parameters!$B$65</f>
        <v>143</v>
      </c>
      <c r="B147" s="9">
        <f t="shared" si="36"/>
        <v>5.191758263687303E-2</v>
      </c>
      <c r="C147" s="9">
        <f t="shared" si="36"/>
        <v>1.0017548050425843E-2</v>
      </c>
      <c r="D147" s="7">
        <f t="shared" si="36"/>
        <v>0.2959598429278244</v>
      </c>
      <c r="E147" s="7">
        <f>MAX((1-Parameters!$B$4)^Parameters!B$65*E146+B146*Parameters!B$65-Parameters!$B$5*B146^2/E146*Parameters!B$65,0.0001)</f>
        <v>0.76973006553765511</v>
      </c>
      <c r="F147" s="9">
        <f>MAX((1-Parameters!$B$4)^Parameters!B$65*F146+C146*Parameters!B$65-Parameters!$B$5*C146^2/F146*Parameters!B$65,0.0001)</f>
        <v>0.14852015260218132</v>
      </c>
      <c r="G147" s="7">
        <f>MAX((1-Parameters!$B$4)^Parameters!B$65*G146+D146*Parameters!B$65-Parameters!$B$5*D146^2/G146*Parameters!B$65,0.0001)</f>
        <v>4.3879003006463453</v>
      </c>
      <c r="I147" s="7">
        <f>I146*(1+Parameters!$B$51)^Parameters!B$65</f>
        <v>12.346146795108401</v>
      </c>
      <c r="J147" s="7">
        <f>J146*(1+Parameters!$B$53)^Parameters!B$65</f>
        <v>153.17956527451193</v>
      </c>
      <c r="K147" s="7">
        <f>'6states'!$O$4</f>
        <v>0.98104277196026479</v>
      </c>
      <c r="L147" s="9">
        <f t="shared" si="35"/>
        <v>0.5</v>
      </c>
      <c r="N147" s="7">
        <f>(Parameters!$B$19*(E147+Parameters!$B$20)^L147+Parameters!$B$18*F147^L147)^(1/L147)</f>
        <v>0.53556642729718362</v>
      </c>
      <c r="O147" s="7">
        <f>(Parameters!$B$10*G147^Parameters!$B$9 + Parameters!$B$11*N147^Parameters!$B$9) ^ (Parameters!$B$7/Parameters!$B$9) * K147</f>
        <v>1.507009427138513</v>
      </c>
      <c r="P147" s="7">
        <f t="shared" si="34"/>
        <v>1.1491144535233899</v>
      </c>
      <c r="Q147" s="7">
        <f>EXP(-Parameters!$B$55*A147)</f>
        <v>0.11540587688403768</v>
      </c>
      <c r="R147" s="7">
        <f>IF(P147&gt;0,P147^(1-Parameters!$B$52)/(1-Parameters!$B$52)*Q147,-10+P147*1000)</f>
        <v>-0.31407453853803691</v>
      </c>
      <c r="S147" s="7"/>
      <c r="T147" s="7"/>
      <c r="U147" s="7"/>
      <c r="V147" s="7"/>
    </row>
    <row r="148" spans="1:22" x14ac:dyDescent="0.25">
      <c r="A148">
        <f>A147+Parameters!$B$65</f>
        <v>144</v>
      </c>
      <c r="B148" s="9">
        <f t="shared" si="36"/>
        <v>5.191758263687303E-2</v>
      </c>
      <c r="C148" s="9">
        <f t="shared" si="36"/>
        <v>1.0017548050425843E-2</v>
      </c>
      <c r="D148" s="7">
        <f t="shared" si="36"/>
        <v>0.2959598429278244</v>
      </c>
      <c r="E148" s="7">
        <f>MAX((1-Parameters!$B$4)^Parameters!B$65*E147+B147*Parameters!B$65-Parameters!$B$5*B147^2/E147*Parameters!B$65,0.0001)</f>
        <v>0.76972983401132888</v>
      </c>
      <c r="F148" s="9">
        <f>MAX((1-Parameters!$B$4)^Parameters!B$65*F147+C147*Parameters!B$65-Parameters!$B$5*C147^2/F147*Parameters!B$65,0.0001)</f>
        <v>0.14852010862736656</v>
      </c>
      <c r="G148" s="7">
        <f>MAX((1-Parameters!$B$4)^Parameters!B$65*G147+D147*Parameters!B$65-Parameters!$B$5*D147^2/G147*Parameters!B$65,0.0001)</f>
        <v>4.3878989952363874</v>
      </c>
      <c r="I148" s="7">
        <f>I147*(1+Parameters!$B$51)^Parameters!B$65</f>
        <v>12.381950620814214</v>
      </c>
      <c r="J148" s="7">
        <f>J147*(1+Parameters!$B$53)^Parameters!B$65</f>
        <v>156.24315658000216</v>
      </c>
      <c r="K148" s="7">
        <f>'6states'!$O$4</f>
        <v>0.98104277196026479</v>
      </c>
      <c r="L148" s="9">
        <f t="shared" si="35"/>
        <v>0.5</v>
      </c>
      <c r="N148" s="7">
        <f>(Parameters!$B$19*(E148+Parameters!$B$20)^L148+Parameters!$B$18*F148^L148)^(1/L148)</f>
        <v>0.53556626834310095</v>
      </c>
      <c r="O148" s="7">
        <f>(Parameters!$B$10*G148^Parameters!$B$9 + Parameters!$B$11*N148^Parameters!$B$9) ^ (Parameters!$B$7/Parameters!$B$9) * K148</f>
        <v>1.5070092926926486</v>
      </c>
      <c r="P148" s="7">
        <f t="shared" si="34"/>
        <v>1.1491143190775253</v>
      </c>
      <c r="Q148" s="7">
        <f>EXP(-Parameters!$B$55*A148)</f>
        <v>0.11367633901652432</v>
      </c>
      <c r="R148" s="7">
        <f>IF(P148&gt;0,P148^(1-Parameters!$B$52)/(1-Parameters!$B$52)*Q148,-10+P148*1000)</f>
        <v>-0.30936765219685608</v>
      </c>
      <c r="S148" s="7"/>
      <c r="T148" s="7"/>
      <c r="U148" s="7"/>
      <c r="V148" s="7"/>
    </row>
    <row r="149" spans="1:22" x14ac:dyDescent="0.25">
      <c r="A149">
        <f>A148+Parameters!$B$65</f>
        <v>145</v>
      </c>
      <c r="B149" s="9">
        <f t="shared" si="36"/>
        <v>5.191758263687303E-2</v>
      </c>
      <c r="C149" s="9">
        <f t="shared" si="36"/>
        <v>1.0017548050425843E-2</v>
      </c>
      <c r="D149" s="7">
        <f t="shared" si="36"/>
        <v>0.2959598429278244</v>
      </c>
      <c r="E149" s="7">
        <f>MAX((1-Parameters!$B$4)^Parameters!B$65*E148+B148*Parameters!B$65-Parameters!$B$5*B148^2/E148*Parameters!B$65,0.0001)</f>
        <v>0.76972961599470746</v>
      </c>
      <c r="F149" s="9">
        <f>MAX((1-Parameters!$B$4)^Parameters!B$65*F148+C148*Parameters!B$65-Parameters!$B$5*C148^2/F148*Parameters!B$65,0.0001)</f>
        <v>0.14852006721850947</v>
      </c>
      <c r="G149" s="7">
        <f>MAX((1-Parameters!$B$4)^Parameters!B$65*G148+D148*Parameters!B$65-Parameters!$B$5*D148^2/G148*Parameters!B$65,0.0001)</f>
        <v>4.3878977659979093</v>
      </c>
      <c r="I149" s="7">
        <f>I148*(1+Parameters!$B$51)^Parameters!B$65</f>
        <v>12.417858277614574</v>
      </c>
      <c r="J149" s="7">
        <f>J148*(1+Parameters!$B$53)^Parameters!B$65</f>
        <v>159.36801971160222</v>
      </c>
      <c r="K149" s="7">
        <f>'6states'!$O$4</f>
        <v>0.98104277196026479</v>
      </c>
      <c r="L149" s="9">
        <f t="shared" si="35"/>
        <v>0.5</v>
      </c>
      <c r="N149" s="7">
        <f>(Parameters!$B$19*(E149+Parameters!$B$20)^L149+Parameters!$B$18*F149^L149)^(1/L149)</f>
        <v>0.53556611866408788</v>
      </c>
      <c r="O149" s="7">
        <f>(Parameters!$B$10*G149^Parameters!$B$9 + Parameters!$B$11*N149^Parameters!$B$9) ^ (Parameters!$B$7/Parameters!$B$9) * K149</f>
        <v>1.5070091660917575</v>
      </c>
      <c r="P149" s="7">
        <f t="shared" si="34"/>
        <v>1.1491141924766342</v>
      </c>
      <c r="Q149" s="7">
        <f>EXP(-Parameters!$B$55*A149)</f>
        <v>0.11197272098356298</v>
      </c>
      <c r="R149" s="7">
        <f>IF(P149&gt;0,P149^(1-Parameters!$B$52)/(1-Parameters!$B$52)*Q149,-10+P149*1000)</f>
        <v>-0.30473130500362061</v>
      </c>
      <c r="S149" s="7"/>
      <c r="T149" s="7"/>
      <c r="U149" s="7"/>
      <c r="V149" s="7"/>
    </row>
    <row r="150" spans="1:22" x14ac:dyDescent="0.25">
      <c r="A150">
        <f>A149+Parameters!$B$65</f>
        <v>146</v>
      </c>
      <c r="B150" s="9">
        <f t="shared" si="36"/>
        <v>5.191758263687303E-2</v>
      </c>
      <c r="C150" s="9">
        <f t="shared" si="36"/>
        <v>1.0017548050425843E-2</v>
      </c>
      <c r="D150" s="7">
        <f t="shared" si="36"/>
        <v>0.2959598429278244</v>
      </c>
      <c r="E150" s="7">
        <f>MAX((1-Parameters!$B$4)^Parameters!B$65*E149+B149*Parameters!B$65-Parameters!$B$5*B149^2/E149*Parameters!B$65,0.0001)</f>
        <v>0.76972941069949063</v>
      </c>
      <c r="F150" s="9">
        <f>MAX((1-Parameters!$B$4)^Parameters!B$65*F149+C149*Parameters!B$65-Parameters!$B$5*C149^2/F149*Parameters!B$65,0.0001)</f>
        <v>0.14852002822588478</v>
      </c>
      <c r="G150" s="7">
        <f>MAX((1-Parameters!$B$4)^Parameters!B$65*G149+D149*Parameters!B$65-Parameters!$B$5*D149^2/G149*Parameters!B$65,0.0001)</f>
        <v>4.3878966084862556</v>
      </c>
      <c r="I150" s="7">
        <f>I149*(1+Parameters!$B$51)^Parameters!B$65</f>
        <v>12.453870066619654</v>
      </c>
      <c r="J150" s="7">
        <f>J149*(1+Parameters!$B$53)^Parameters!B$65</f>
        <v>162.55538010583427</v>
      </c>
      <c r="K150" s="7">
        <f>'6states'!$O$4</f>
        <v>0.98104277196026479</v>
      </c>
      <c r="L150" s="9">
        <f t="shared" si="35"/>
        <v>0.5</v>
      </c>
      <c r="N150" s="7">
        <f>(Parameters!$B$19*(E150+Parameters!$B$20)^L150+Parameters!$B$18*F150^L150)^(1/L150)</f>
        <v>0.53556597771893744</v>
      </c>
      <c r="O150" s="7">
        <f>(Parameters!$B$10*G150^Parameters!$B$9 + Parameters!$B$11*N150^Parameters!$B$9) ^ (Parameters!$B$7/Parameters!$B$9) * K150</f>
        <v>1.5070090468780841</v>
      </c>
      <c r="P150" s="7">
        <f t="shared" si="34"/>
        <v>1.149114073262961</v>
      </c>
      <c r="Q150" s="7">
        <f>EXP(-Parameters!$B$55*A150)</f>
        <v>0.11029463433582516</v>
      </c>
      <c r="R150" s="7">
        <f>IF(P150&gt;0,P150^(1-Parameters!$B$52)/(1-Parameters!$B$52)*Q150,-10+P150*1000)</f>
        <v>-0.30016443988520697</v>
      </c>
      <c r="S150" s="7"/>
      <c r="T150" s="7"/>
      <c r="U150" s="7"/>
      <c r="V150" s="7"/>
    </row>
    <row r="151" spans="1:22" x14ac:dyDescent="0.25">
      <c r="A151">
        <f>A150+Parameters!$B$65</f>
        <v>147</v>
      </c>
      <c r="B151" s="9">
        <f t="shared" si="36"/>
        <v>5.191758263687303E-2</v>
      </c>
      <c r="C151" s="9">
        <f t="shared" si="36"/>
        <v>1.0017548050425843E-2</v>
      </c>
      <c r="D151" s="7">
        <f t="shared" si="36"/>
        <v>0.2959598429278244</v>
      </c>
      <c r="E151" s="7">
        <f>MAX((1-Parameters!$B$4)^Parameters!B$65*E150+B150*Parameters!B$65-Parameters!$B$5*B150^2/E150*Parameters!B$65,0.0001)</f>
        <v>0.76972921738337596</v>
      </c>
      <c r="F151" s="9">
        <f>MAX((1-Parameters!$B$4)^Parameters!B$65*F150+C150*Parameters!B$65-Parameters!$B$5*C150^2/F150*Parameters!B$65,0.0001)</f>
        <v>0.1485199915085037</v>
      </c>
      <c r="G151" s="7">
        <f>MAX((1-Parameters!$B$4)^Parameters!B$65*G150+D150*Parameters!B$65-Parameters!$B$5*D150^2/G150*Parameters!B$65,0.0001)</f>
        <v>4.3878955185161193</v>
      </c>
      <c r="I151" s="7">
        <f>I150*(1+Parameters!$B$51)^Parameters!B$65</f>
        <v>12.489986289812849</v>
      </c>
      <c r="J151" s="7">
        <f>J150*(1+Parameters!$B$53)^Parameters!B$65</f>
        <v>165.80648770795096</v>
      </c>
      <c r="K151" s="7">
        <f>'6states'!$O$4</f>
        <v>0.98104277196026479</v>
      </c>
      <c r="L151" s="9">
        <f t="shared" si="35"/>
        <v>0.5</v>
      </c>
      <c r="N151" s="7">
        <f>(Parameters!$B$19*(E151+Parameters!$B$20)^L151+Parameters!$B$18*F151^L151)^(1/L151)</f>
        <v>0.53556584499802318</v>
      </c>
      <c r="O151" s="7">
        <f>(Parameters!$B$10*G151^Parameters!$B$9 + Parameters!$B$11*N151^Parameters!$B$9) ^ (Parameters!$B$7/Parameters!$B$9) * K151</f>
        <v>1.5070089346205819</v>
      </c>
      <c r="P151" s="7">
        <f t="shared" si="34"/>
        <v>1.1491139610054586</v>
      </c>
      <c r="Q151" s="7">
        <f>EXP(-Parameters!$B$55*A151)</f>
        <v>0.1086416964455041</v>
      </c>
      <c r="R151" s="7">
        <f>IF(P151&gt;0,P151^(1-Parameters!$B$52)/(1-Parameters!$B$52)*Q151,-10+P151*1000)</f>
        <v>-0.29566601560556843</v>
      </c>
      <c r="S151" s="7"/>
      <c r="T151" s="7"/>
      <c r="U151" s="7"/>
      <c r="V151" s="7"/>
    </row>
    <row r="152" spans="1:22" x14ac:dyDescent="0.25">
      <c r="A152">
        <f>A151+Parameters!$B$65</f>
        <v>148</v>
      </c>
      <c r="B152" s="9">
        <f t="shared" si="36"/>
        <v>5.191758263687303E-2</v>
      </c>
      <c r="C152" s="9">
        <f t="shared" si="36"/>
        <v>1.0017548050425843E-2</v>
      </c>
      <c r="D152" s="7">
        <f t="shared" si="36"/>
        <v>0.2959598429278244</v>
      </c>
      <c r="E152" s="7">
        <f>MAX((1-Parameters!$B$4)^Parameters!B$65*E151+B151*Parameters!B$65-Parameters!$B$5*B151^2/E151*Parameters!B$65,0.0001)</f>
        <v>0.76972903534737525</v>
      </c>
      <c r="F152" s="9">
        <f>MAX((1-Parameters!$B$4)^Parameters!B$65*F151+C151*Parameters!B$65-Parameters!$B$5*C151^2/F151*Parameters!B$65,0.0001)</f>
        <v>0.14851995693360431</v>
      </c>
      <c r="G152" s="7">
        <f>MAX((1-Parameters!$B$4)^Parameters!B$65*G151+D151*Parameters!B$65-Parameters!$B$5*D151^2/G151*Parameters!B$65,0.0001)</f>
        <v>4.3878944921464074</v>
      </c>
      <c r="I152" s="7">
        <f>I151*(1+Parameters!$B$51)^Parameters!B$65</f>
        <v>12.526207250053305</v>
      </c>
      <c r="J152" s="7">
        <f>J151*(1+Parameters!$B$53)^Parameters!B$65</f>
        <v>169.12261746210999</v>
      </c>
      <c r="K152" s="7">
        <f>'6states'!$O$4</f>
        <v>0.98104277196026479</v>
      </c>
      <c r="L152" s="9">
        <f t="shared" si="35"/>
        <v>0.5</v>
      </c>
      <c r="N152" s="7">
        <f>(Parameters!$B$19*(E152+Parameters!$B$20)^L152+Parameters!$B$18*F152^L152)^(1/L152)</f>
        <v>0.53556572002145608</v>
      </c>
      <c r="O152" s="7">
        <f>(Parameters!$B$10*G152^Parameters!$B$9 + Parameters!$B$11*N152^Parameters!$B$9) ^ (Parameters!$B$7/Parameters!$B$9) * K152</f>
        <v>1.5070088289133561</v>
      </c>
      <c r="P152" s="7">
        <f t="shared" si="34"/>
        <v>1.149113855298233</v>
      </c>
      <c r="Q152" s="7">
        <f>EXP(-Parameters!$B$55*A152)</f>
        <v>0.10701353041907032</v>
      </c>
      <c r="R152" s="7">
        <f>IF(P152&gt;0,P152^(1-Parameters!$B$52)/(1-Parameters!$B$52)*Q152,-10+P152*1000)</f>
        <v>-0.29123500652874096</v>
      </c>
      <c r="S152" s="7"/>
      <c r="T152" s="7"/>
      <c r="U152" s="7"/>
      <c r="V152" s="7"/>
    </row>
    <row r="153" spans="1:22" x14ac:dyDescent="0.25">
      <c r="A153">
        <f>A152+Parameters!$B$65</f>
        <v>149</v>
      </c>
      <c r="B153" s="9">
        <f t="shared" si="36"/>
        <v>5.191758263687303E-2</v>
      </c>
      <c r="C153" s="9">
        <f t="shared" si="36"/>
        <v>1.0017548050425843E-2</v>
      </c>
      <c r="D153" s="7">
        <f t="shared" si="36"/>
        <v>0.2959598429278244</v>
      </c>
      <c r="E153" s="7">
        <f>MAX((1-Parameters!$B$4)^Parameters!B$65*E152+B152*Parameters!B$65-Parameters!$B$5*B152^2/E152*Parameters!B$65,0.0001)</f>
        <v>0.76972886393328632</v>
      </c>
      <c r="F153" s="9">
        <f>MAX((1-Parameters!$B$4)^Parameters!B$65*F152+C152*Parameters!B$65-Parameters!$B$5*C152^2/F152*Parameters!B$65,0.0001)</f>
        <v>0.1485199243761714</v>
      </c>
      <c r="G153" s="7">
        <f>MAX((1-Parameters!$B$4)^Parameters!B$65*G152+D152*Parameters!B$65-Parameters!$B$5*D152^2/G152*Parameters!B$65,0.0001)</f>
        <v>4.3878935256659952</v>
      </c>
      <c r="I153" s="7">
        <f>I152*(1+Parameters!$B$51)^Parameters!B$65</f>
        <v>12.56253325107846</v>
      </c>
      <c r="J153" s="7">
        <f>J152*(1+Parameters!$B$53)^Parameters!B$65</f>
        <v>172.5050698113522</v>
      </c>
      <c r="K153" s="7">
        <f>'6states'!$O$4</f>
        <v>0.98104277196026479</v>
      </c>
      <c r="L153" s="9">
        <f t="shared" si="35"/>
        <v>0.5</v>
      </c>
      <c r="N153" s="7">
        <f>(Parameters!$B$19*(E153+Parameters!$B$20)^L153+Parameters!$B$18*F153^L153)^(1/L153)</f>
        <v>0.53556560233734762</v>
      </c>
      <c r="O153" s="7">
        <f>(Parameters!$B$10*G153^Parameters!$B$9 + Parameters!$B$11*N153^Parameters!$B$9) ^ (Parameters!$B$7/Parameters!$B$9) * K153</f>
        <v>1.5070087293741954</v>
      </c>
      <c r="P153" s="7">
        <f t="shared" si="34"/>
        <v>1.149113755759072</v>
      </c>
      <c r="Q153" s="7">
        <f>EXP(-Parameters!$B$55*A153)</f>
        <v>0.10540976501133419</v>
      </c>
      <c r="R153" s="7">
        <f>IF(P153&gt;0,P153^(1-Parameters!$B$52)/(1-Parameters!$B$52)*Q153,-10+P153*1000)</f>
        <v>-0.28687040238537537</v>
      </c>
      <c r="S153" s="7"/>
      <c r="T153" s="7"/>
      <c r="U153" s="7"/>
      <c r="V153" s="7"/>
    </row>
    <row r="154" spans="1:22" x14ac:dyDescent="0.25">
      <c r="A154">
        <f>A153+Parameters!$B$65</f>
        <v>150</v>
      </c>
      <c r="B154" s="9">
        <f t="shared" si="36"/>
        <v>5.191758263687303E-2</v>
      </c>
      <c r="C154" s="9">
        <f t="shared" si="36"/>
        <v>1.0017548050425843E-2</v>
      </c>
      <c r="D154" s="7">
        <f t="shared" si="36"/>
        <v>0.2959598429278244</v>
      </c>
      <c r="E154" s="7">
        <f>MAX((1-Parameters!$B$4)^Parameters!B$65*E153+B153*Parameters!B$65-Parameters!$B$5*B153^2/E153*Parameters!B$65,0.0001)</f>
        <v>0.76972870252131376</v>
      </c>
      <c r="F154" s="9">
        <f>MAX((1-Parameters!$B$4)^Parameters!B$65*F153+C153*Parameters!B$65-Parameters!$B$5*C153^2/F153*Parameters!B$65,0.0001)</f>
        <v>0.14851989371848448</v>
      </c>
      <c r="G154" s="7">
        <f>MAX((1-Parameters!$B$4)^Parameters!B$65*G153+D153*Parameters!B$65-Parameters!$B$5*D153^2/G153*Parameters!B$65,0.0001)</f>
        <v>4.3878926155803031</v>
      </c>
      <c r="I154" s="7">
        <f>I153*(1+Parameters!$B$51)^Parameters!B$65</f>
        <v>12.598964597506585</v>
      </c>
      <c r="J154" s="7">
        <f>J153*(1+Parameters!$B$53)^Parameters!B$65</f>
        <v>175.95517120757924</v>
      </c>
      <c r="K154" s="7">
        <f>'6states'!$O$4</f>
        <v>0.98104277196026479</v>
      </c>
      <c r="L154" s="9">
        <f t="shared" si="35"/>
        <v>0.5</v>
      </c>
      <c r="N154" s="7">
        <f>(Parameters!$B$19*(E154+Parameters!$B$20)^L154+Parameters!$B$18*F154^L154)^(1/L154)</f>
        <v>0.53556549152017852</v>
      </c>
      <c r="O154" s="7">
        <f>(Parameters!$B$10*G154^Parameters!$B$9 + Parameters!$B$11*N154^Parameters!$B$9) ^ (Parameters!$B$7/Parameters!$B$9) * K154</f>
        <v>1.5070086356431911</v>
      </c>
      <c r="P154" s="7">
        <f t="shared" si="34"/>
        <v>1.1491136620280678</v>
      </c>
      <c r="Q154" s="7">
        <f>EXP(-Parameters!$B$55*A154)</f>
        <v>0.10383003454079688</v>
      </c>
      <c r="R154" s="7">
        <f>IF(P154&gt;0,P154^(1-Parameters!$B$52)/(1-Parameters!$B$52)*Q154,-10+P154*1000)</f>
        <v>-0.28257120804274455</v>
      </c>
      <c r="S154" s="7"/>
      <c r="T154" s="7"/>
      <c r="U154" s="7"/>
      <c r="V154" s="7"/>
    </row>
    <row r="155" spans="1:22" x14ac:dyDescent="0.25">
      <c r="A155">
        <f>A154+Parameters!$B$65</f>
        <v>151</v>
      </c>
      <c r="B155" s="9">
        <f t="shared" si="36"/>
        <v>5.191758263687303E-2</v>
      </c>
      <c r="C155" s="9">
        <f t="shared" si="36"/>
        <v>1.0017548050425843E-2</v>
      </c>
      <c r="D155" s="7">
        <f t="shared" si="36"/>
        <v>0.2959598429278244</v>
      </c>
      <c r="E155" s="7">
        <f>MAX((1-Parameters!$B$4)^Parameters!B$65*E154+B154*Parameters!B$65-Parameters!$B$5*B154^2/E154*Parameters!B$65,0.0001)</f>
        <v>0.76972855052782785</v>
      </c>
      <c r="F155" s="9">
        <f>MAX((1-Parameters!$B$4)^Parameters!B$65*F154+C154*Parameters!B$65-Parameters!$B$5*C154^2/F154*Parameters!B$65,0.0001)</f>
        <v>0.14851986484969218</v>
      </c>
      <c r="G155" s="7">
        <f>MAX((1-Parameters!$B$4)^Parameters!B$65*G154+D154*Parameters!B$65-Parameters!$B$5*D154^2/G154*Parameters!B$65,0.0001)</f>
        <v>4.3878917585986628</v>
      </c>
      <c r="I155" s="7">
        <f>I154*(1+Parameters!$B$51)^Parameters!B$65</f>
        <v>12.635501594839353</v>
      </c>
      <c r="J155" s="7">
        <f>J154*(1+Parameters!$B$53)^Parameters!B$65</f>
        <v>179.47427463173082</v>
      </c>
      <c r="K155" s="7">
        <f>'6states'!$O$4</f>
        <v>0.98104277196026479</v>
      </c>
      <c r="L155" s="9">
        <f t="shared" si="35"/>
        <v>0.5</v>
      </c>
      <c r="N155" s="7">
        <f>(Parameters!$B$19*(E155+Parameters!$B$20)^L155+Parameters!$B$18*F155^L155)^(1/L155)</f>
        <v>0.53556538716925872</v>
      </c>
      <c r="O155" s="7">
        <f>(Parameters!$B$10*G155^Parameters!$B$9 + Parameters!$B$11*N155^Parameters!$B$9) ^ (Parameters!$B$7/Parameters!$B$9) * K155</f>
        <v>1.5070085473814354</v>
      </c>
      <c r="P155" s="7">
        <f t="shared" si="34"/>
        <v>1.1491135737663121</v>
      </c>
      <c r="Q155" s="7">
        <f>EXP(-Parameters!$B$55*A155)</f>
        <v>0.10227397880626984</v>
      </c>
      <c r="R155" s="7">
        <f>IF(P155&gt;0,P155^(1-Parameters!$B$52)/(1-Parameters!$B$52)*Q155,-10+P155*1000)</f>
        <v>-0.27833644327817736</v>
      </c>
      <c r="S155" s="7"/>
      <c r="T155" s="7"/>
      <c r="U155" s="7"/>
      <c r="V155" s="7"/>
    </row>
    <row r="156" spans="1:22" x14ac:dyDescent="0.25">
      <c r="A156">
        <f>A155+Parameters!$B$65</f>
        <v>152</v>
      </c>
      <c r="B156" s="9">
        <f t="shared" si="36"/>
        <v>5.191758263687303E-2</v>
      </c>
      <c r="C156" s="9">
        <f t="shared" si="36"/>
        <v>1.0017548050425843E-2</v>
      </c>
      <c r="D156" s="7">
        <f t="shared" si="36"/>
        <v>0.2959598429278244</v>
      </c>
      <c r="E156" s="7">
        <f>MAX((1-Parameters!$B$4)^Parameters!B$65*E155+B155*Parameters!B$65-Parameters!$B$5*B155^2/E155*Parameters!B$65,0.0001)</f>
        <v>0.76972840740325377</v>
      </c>
      <c r="F156" s="9">
        <f>MAX((1-Parameters!$B$4)^Parameters!B$65*F155+C155*Parameters!B$65-Parameters!$B$5*C155^2/F155*Parameters!B$65,0.0001)</f>
        <v>0.14851983766541138</v>
      </c>
      <c r="G156" s="7">
        <f>MAX((1-Parameters!$B$4)^Parameters!B$65*G155+D155*Parameters!B$65-Parameters!$B$5*D155^2/G155*Parameters!B$65,0.0001)</f>
        <v>4.3878909516224196</v>
      </c>
      <c r="I156" s="7">
        <f>I155*(1+Parameters!$B$51)^Parameters!B$65</f>
        <v>12.672144549464386</v>
      </c>
      <c r="J156" s="7">
        <f>J155*(1+Parameters!$B$53)^Parameters!B$65</f>
        <v>183.06376012436544</v>
      </c>
      <c r="K156" s="7">
        <f>'6states'!$O$4</f>
        <v>0.98104277196026479</v>
      </c>
      <c r="L156" s="9">
        <f t="shared" si="35"/>
        <v>0.5</v>
      </c>
      <c r="N156" s="7">
        <f>(Parameters!$B$19*(E156+Parameters!$B$20)^L156+Parameters!$B$18*F156^L156)^(1/L156)</f>
        <v>0.53556528890727795</v>
      </c>
      <c r="O156" s="7">
        <f>(Parameters!$B$10*G156^Parameters!$B$9 + Parameters!$B$11*N156^Parameters!$B$9) ^ (Parameters!$B$7/Parameters!$B$9) * K156</f>
        <v>1.5070084642697956</v>
      </c>
      <c r="P156" s="7">
        <f t="shared" si="34"/>
        <v>1.1491134906546723</v>
      </c>
      <c r="Q156" s="7">
        <f>EXP(-Parameters!$B$55*A156)</f>
        <v>0.10074124300474355</v>
      </c>
      <c r="R156" s="7">
        <f>IF(P156&gt;0,P156^(1-Parameters!$B$52)/(1-Parameters!$B$52)*Q156,-10+P156*1000)</f>
        <v>-0.27416514255586533</v>
      </c>
      <c r="S156" s="7"/>
      <c r="T156" s="7"/>
      <c r="U156" s="7"/>
      <c r="V156" s="7"/>
    </row>
    <row r="157" spans="1:22" x14ac:dyDescent="0.25">
      <c r="A157">
        <f>A156+Parameters!$B$65</f>
        <v>153</v>
      </c>
      <c r="B157" s="9">
        <f t="shared" si="36"/>
        <v>5.191758263687303E-2</v>
      </c>
      <c r="C157" s="9">
        <f t="shared" si="36"/>
        <v>1.0017548050425843E-2</v>
      </c>
      <c r="D157" s="7">
        <f t="shared" si="36"/>
        <v>0.2959598429278244</v>
      </c>
      <c r="E157" s="7">
        <f>MAX((1-Parameters!$B$4)^Parameters!B$65*E156+B156*Parameters!B$65-Parameters!$B$5*B156^2/E156*Parameters!B$65,0.0001)</f>
        <v>0.76972827263008492</v>
      </c>
      <c r="F157" s="9">
        <f>MAX((1-Parameters!$B$4)^Parameters!B$65*F156+C156*Parameters!B$65-Parameters!$B$5*C156^2/F156*Parameters!B$65,0.0001)</f>
        <v>0.14851981206734974</v>
      </c>
      <c r="G157" s="7">
        <f>MAX((1-Parameters!$B$4)^Parameters!B$65*G156+D156*Parameters!B$65-Parameters!$B$5*D156^2/G156*Parameters!B$65,0.0001)</f>
        <v>4.3878901917337272</v>
      </c>
      <c r="I157" s="7">
        <f>I156*(1+Parameters!$B$51)^Parameters!B$65</f>
        <v>12.708893768657832</v>
      </c>
      <c r="J157" s="7">
        <f>J156*(1+Parameters!$B$53)^Parameters!B$65</f>
        <v>186.72503532685275</v>
      </c>
      <c r="K157" s="7">
        <f>'6states'!$O$4</f>
        <v>0.98104277196026479</v>
      </c>
      <c r="L157" s="9">
        <f t="shared" si="35"/>
        <v>0.5</v>
      </c>
      <c r="N157" s="7">
        <f>(Parameters!$B$19*(E157+Parameters!$B$20)^L157+Parameters!$B$18*F157^L157)^(1/L157)</f>
        <v>0.53556519637894329</v>
      </c>
      <c r="O157" s="7">
        <f>(Parameters!$B$10*G157^Parameters!$B$9 + Parameters!$B$11*N157^Parameters!$B$9) ^ (Parameters!$B$7/Parameters!$B$9) * K157</f>
        <v>1.5070083860077601</v>
      </c>
      <c r="P157" s="7">
        <f t="shared" si="34"/>
        <v>1.1491134123926368</v>
      </c>
      <c r="Q157" s="7">
        <f>EXP(-Parameters!$B$55*A157)</f>
        <v>9.9231477650487412E-2</v>
      </c>
      <c r="R157" s="7">
        <f>IF(P157&gt;0,P157^(1-Parameters!$B$52)/(1-Parameters!$B$52)*Q157,-10+P157*1000)</f>
        <v>-0.27005635480699758</v>
      </c>
      <c r="S157" s="7"/>
      <c r="T157" s="7"/>
      <c r="U157" s="7"/>
      <c r="V157" s="7"/>
    </row>
    <row r="158" spans="1:22" x14ac:dyDescent="0.25">
      <c r="A158">
        <f>A157+Parameters!$B$65</f>
        <v>154</v>
      </c>
      <c r="B158" s="9">
        <f t="shared" si="36"/>
        <v>5.191758263687303E-2</v>
      </c>
      <c r="C158" s="9">
        <f t="shared" si="36"/>
        <v>1.0017548050425843E-2</v>
      </c>
      <c r="D158" s="7">
        <f t="shared" si="36"/>
        <v>0.2959598429278244</v>
      </c>
      <c r="E158" s="7">
        <f>MAX((1-Parameters!$B$4)^Parameters!B$65*E157+B157*Parameters!B$65-Parameters!$B$5*B157^2/E157*Parameters!B$65,0.0001)</f>
        <v>0.76972814572101145</v>
      </c>
      <c r="F158" s="9">
        <f>MAX((1-Parameters!$B$4)^Parameters!B$65*F157+C157*Parameters!B$65-Parameters!$B$5*C157^2/F157*Parameters!B$65,0.0001)</f>
        <v>0.14851978796295037</v>
      </c>
      <c r="G158" s="7">
        <f>MAX((1-Parameters!$B$4)^Parameters!B$65*G157+D157*Parameters!B$65-Parameters!$B$5*D157^2/G157*Parameters!B$65,0.0001)</f>
        <v>4.3878894761849967</v>
      </c>
      <c r="I158" s="7">
        <f>I157*(1+Parameters!$B$51)^Parameters!B$65</f>
        <v>12.745749560586939</v>
      </c>
      <c r="J158" s="7">
        <f>J157*(1+Parameters!$B$53)^Parameters!B$65</f>
        <v>190.45953603338981</v>
      </c>
      <c r="K158" s="7">
        <f>'6states'!$O$4</f>
        <v>0.98104277196026479</v>
      </c>
      <c r="L158" s="9">
        <f t="shared" si="35"/>
        <v>0.5</v>
      </c>
      <c r="N158" s="7">
        <f>(Parameters!$B$19*(E158+Parameters!$B$20)^L158+Parameters!$B$18*F158^L158)^(1/L158)</f>
        <v>0.53556510924969236</v>
      </c>
      <c r="O158" s="7">
        <f>(Parameters!$B$10*G158^Parameters!$B$9 + Parameters!$B$11*N158^Parameters!$B$9) ^ (Parameters!$B$7/Parameters!$B$9) * K158</f>
        <v>1.5070083123123532</v>
      </c>
      <c r="P158" s="7">
        <f t="shared" si="34"/>
        <v>1.1491133386972301</v>
      </c>
      <c r="Q158" s="7">
        <f>EXP(-Parameters!$B$55*A158)</f>
        <v>9.7744338495362112E-2</v>
      </c>
      <c r="R158" s="7">
        <f>IF(P158&gt;0,P158^(1-Parameters!$B$52)/(1-Parameters!$B$52)*Q158,-10+P158*1000)</f>
        <v>-0.26600914321317232</v>
      </c>
      <c r="S158" s="7"/>
      <c r="T158" s="7"/>
      <c r="U158" s="7"/>
      <c r="V158" s="7"/>
    </row>
    <row r="159" spans="1:22" x14ac:dyDescent="0.25">
      <c r="A159">
        <f>A158+Parameters!$B$65</f>
        <v>155</v>
      </c>
      <c r="B159" s="9">
        <f t="shared" si="36"/>
        <v>5.191758263687303E-2</v>
      </c>
      <c r="C159" s="9">
        <f t="shared" si="36"/>
        <v>1.0017548050425843E-2</v>
      </c>
      <c r="D159" s="7">
        <f t="shared" si="36"/>
        <v>0.2959598429278244</v>
      </c>
      <c r="E159" s="7">
        <f>MAX((1-Parameters!$B$4)^Parameters!B$65*E158+B158*Parameters!B$65-Parameters!$B$5*B158^2/E158*Parameters!B$65,0.0001)</f>
        <v>0.76972802621715863</v>
      </c>
      <c r="F159" s="9">
        <f>MAX((1-Parameters!$B$4)^Parameters!B$65*F158+C158*Parameters!B$65-Parameters!$B$5*C158^2/F158*Parameters!B$65,0.0001)</f>
        <v>0.14851976526505717</v>
      </c>
      <c r="G159" s="7">
        <f>MAX((1-Parameters!$B$4)^Parameters!B$65*G158+D158*Parameters!B$65-Parameters!$B$5*D158^2/G158*Parameters!B$65,0.0001)</f>
        <v>4.3878888023889635</v>
      </c>
      <c r="I159" s="7">
        <f>I158*(1+Parameters!$B$51)^Parameters!B$65</f>
        <v>12.782712234312639</v>
      </c>
      <c r="J159" s="7">
        <f>J158*(1+Parameters!$B$53)^Parameters!B$65</f>
        <v>194.26872675405761</v>
      </c>
      <c r="K159" s="7">
        <f>'6states'!$O$4</f>
        <v>0.98104277196026479</v>
      </c>
      <c r="L159" s="9">
        <f t="shared" si="35"/>
        <v>0.5</v>
      </c>
      <c r="N159" s="7">
        <f>(Parameters!$B$19*(E159+Parameters!$B$20)^L159+Parameters!$B$18*F159^L159)^(1/L159)</f>
        <v>0.53556502720448551</v>
      </c>
      <c r="O159" s="7">
        <f>(Parameters!$B$10*G159^Parameters!$B$9 + Parameters!$B$11*N159^Parameters!$B$9) ^ (Parameters!$B$7/Parameters!$B$9) * K159</f>
        <v>1.5070082429171094</v>
      </c>
      <c r="P159" s="7">
        <f t="shared" si="34"/>
        <v>1.1491132693019863</v>
      </c>
      <c r="Q159" s="7">
        <f>EXP(-Parameters!$B$55*A159)</f>
        <v>9.6279486450325927E-2</v>
      </c>
      <c r="R159" s="7">
        <f>IF(P159&gt;0,P159^(1-Parameters!$B$52)/(1-Parameters!$B$52)*Q159,-10+P159*1000)</f>
        <v>-0.26202258499303849</v>
      </c>
      <c r="S159" s="7"/>
      <c r="T159" s="7"/>
      <c r="U159" s="7"/>
      <c r="V159" s="7"/>
    </row>
    <row r="160" spans="1:22" x14ac:dyDescent="0.25">
      <c r="A160">
        <f>A159+Parameters!$B$65</f>
        <v>156</v>
      </c>
      <c r="B160" s="9">
        <f t="shared" ref="B160:D175" si="37">B159</f>
        <v>5.191758263687303E-2</v>
      </c>
      <c r="C160" s="9">
        <f t="shared" si="37"/>
        <v>1.0017548050425843E-2</v>
      </c>
      <c r="D160" s="7">
        <f t="shared" si="37"/>
        <v>0.2959598429278244</v>
      </c>
      <c r="E160" s="7">
        <f>MAX((1-Parameters!$B$4)^Parameters!B$65*E159+B159*Parameters!B$65-Parameters!$B$5*B159^2/E159*Parameters!B$65,0.0001)</f>
        <v>0.76972791368642723</v>
      </c>
      <c r="F160" s="9">
        <f>MAX((1-Parameters!$B$4)^Parameters!B$65*F159+C159*Parameters!B$65-Parameters!$B$5*C159^2/F159*Parameters!B$65,0.0001)</f>
        <v>0.14851974389159961</v>
      </c>
      <c r="G160" s="7">
        <f>MAX((1-Parameters!$B$4)^Parameters!B$65*G159+D159*Parameters!B$65-Parameters!$B$5*D159^2/G159*Parameters!B$65,0.0001)</f>
        <v>4.387888167909332</v>
      </c>
      <c r="I160" s="7">
        <f>I159*(1+Parameters!$B$51)^Parameters!B$65</f>
        <v>12.819782099792144</v>
      </c>
      <c r="J160" s="7">
        <f>J159*(1+Parameters!$B$53)^Parameters!B$65</f>
        <v>198.15410128913877</v>
      </c>
      <c r="K160" s="7">
        <f>'6states'!$O$4</f>
        <v>0.98104277196026479</v>
      </c>
      <c r="L160" s="9">
        <f t="shared" si="35"/>
        <v>0.5</v>
      </c>
      <c r="N160" s="7">
        <f>(Parameters!$B$19*(E160+Parameters!$B$20)^L160+Parameters!$B$18*F160^L160)^(1/L160)</f>
        <v>0.5355649499466657</v>
      </c>
      <c r="O160" s="7">
        <f>(Parameters!$B$10*G160^Parameters!$B$9 + Parameters!$B$11*N160^Parameters!$B$9) ^ (Parameters!$B$7/Parameters!$B$9) * K160</f>
        <v>1.5070081775711131</v>
      </c>
      <c r="P160" s="7">
        <f t="shared" si="34"/>
        <v>1.1491132039559897</v>
      </c>
      <c r="Q160" s="7">
        <f>EXP(-Parameters!$B$55*A160)</f>
        <v>9.4836587508117826E-2</v>
      </c>
      <c r="R160" s="7">
        <f>IF(P160&gt;0,P160^(1-Parameters!$B$52)/(1-Parameters!$B$52)*Q160,-10+P160*1000)</f>
        <v>-0.25809577119212018</v>
      </c>
      <c r="S160" s="7"/>
      <c r="T160" s="7"/>
      <c r="U160" s="7"/>
      <c r="V160" s="7"/>
    </row>
    <row r="161" spans="1:22" x14ac:dyDescent="0.25">
      <c r="A161">
        <f>A160+Parameters!$B$65</f>
        <v>157</v>
      </c>
      <c r="B161" s="9">
        <f t="shared" si="37"/>
        <v>5.191758263687303E-2</v>
      </c>
      <c r="C161" s="9">
        <f t="shared" si="37"/>
        <v>1.0017548050425843E-2</v>
      </c>
      <c r="D161" s="7">
        <f t="shared" si="37"/>
        <v>0.2959598429278244</v>
      </c>
      <c r="E161" s="7">
        <f>MAX((1-Parameters!$B$4)^Parameters!B$65*E160+B160*Parameters!B$65-Parameters!$B$5*B160^2/E160*Parameters!B$65,0.0001)</f>
        <v>0.76972780772193117</v>
      </c>
      <c r="F161" s="9">
        <f>MAX((1-Parameters!$B$4)^Parameters!B$65*F160+C160*Parameters!B$65-Parameters!$B$5*C160^2/F160*Parameters!B$65,0.0001)</f>
        <v>0.14851972376529607</v>
      </c>
      <c r="G161" s="7">
        <f>MAX((1-Parameters!$B$4)^Parameters!B$65*G160+D160*Parameters!B$65-Parameters!$B$5*D160^2/G160*Parameters!B$65,0.0001)</f>
        <v>4.3878875704519658</v>
      </c>
      <c r="I161" s="7">
        <f>I160*(1+Parameters!$B$51)^Parameters!B$65</f>
        <v>12.85695946788154</v>
      </c>
      <c r="J161" s="7">
        <f>J160*(1+Parameters!$B$53)^Parameters!B$65</f>
        <v>202.11718331492153</v>
      </c>
      <c r="K161" s="7">
        <f>'6states'!$O$4</f>
        <v>0.98104277196026479</v>
      </c>
      <c r="L161" s="9">
        <f t="shared" si="35"/>
        <v>0.5</v>
      </c>
      <c r="N161" s="7">
        <f>(Parameters!$B$19*(E161+Parameters!$B$20)^L161+Parameters!$B$18*F161^L161)^(1/L161)</f>
        <v>0.53556487719688584</v>
      </c>
      <c r="O161" s="7">
        <f>(Parameters!$B$10*G161^Parameters!$B$9 + Parameters!$B$11*N161^Parameters!$B$9) ^ (Parameters!$B$7/Parameters!$B$9) * K161</f>
        <v>1.5070081160380884</v>
      </c>
      <c r="P161" s="7">
        <f t="shared" si="34"/>
        <v>1.1491131424229653</v>
      </c>
      <c r="Q161" s="7">
        <f>EXP(-Parameters!$B$55*A161)</f>
        <v>9.3415312667098696E-2</v>
      </c>
      <c r="R161" s="7">
        <f>IF(P161&gt;0,P161^(1-Parameters!$B$52)/(1-Parameters!$B$52)*Q161,-10+P161*1000)</f>
        <v>-0.25422780647577614</v>
      </c>
      <c r="S161" s="7"/>
      <c r="T161" s="7"/>
      <c r="U161" s="7"/>
      <c r="V161" s="7"/>
    </row>
    <row r="162" spans="1:22" x14ac:dyDescent="0.25">
      <c r="A162">
        <f>A161+Parameters!$B$65</f>
        <v>158</v>
      </c>
      <c r="B162" s="9">
        <f t="shared" si="37"/>
        <v>5.191758263687303E-2</v>
      </c>
      <c r="C162" s="9">
        <f t="shared" si="37"/>
        <v>1.0017548050425843E-2</v>
      </c>
      <c r="D162" s="7">
        <f t="shared" si="37"/>
        <v>0.2959598429278244</v>
      </c>
      <c r="E162" s="7">
        <f>MAX((1-Parameters!$B$4)^Parameters!B$65*E161+B161*Parameters!B$65-Parameters!$B$5*B161^2/E161*Parameters!B$65,0.0001)</f>
        <v>0.76972770794052658</v>
      </c>
      <c r="F162" s="9">
        <f>MAX((1-Parameters!$B$4)^Parameters!B$65*F161+C161*Parameters!B$65-Parameters!$B$5*C161^2/F161*Parameters!B$65,0.0001)</f>
        <v>0.14851970481337431</v>
      </c>
      <c r="G162" s="7">
        <f>MAX((1-Parameters!$B$4)^Parameters!B$65*G161+D161*Parameters!B$65-Parameters!$B$5*D161^2/G161*Parameters!B$65,0.0001)</f>
        <v>4.3878870078565928</v>
      </c>
      <c r="I162" s="7">
        <f>I161*(1+Parameters!$B$51)^Parameters!B$65</f>
        <v>12.894244650338395</v>
      </c>
      <c r="J162" s="7">
        <f>J161*(1+Parameters!$B$53)^Parameters!B$65</f>
        <v>206.15952698121995</v>
      </c>
      <c r="K162" s="7">
        <f>'6states'!$O$4</f>
        <v>0.98104277196026479</v>
      </c>
      <c r="L162" s="9">
        <f t="shared" si="35"/>
        <v>0.5</v>
      </c>
      <c r="N162" s="7">
        <f>(Parameters!$B$19*(E162+Parameters!$B$20)^L162+Parameters!$B$18*F162^L162)^(1/L162)</f>
        <v>0.53556480869209888</v>
      </c>
      <c r="O162" s="7">
        <f>(Parameters!$B$10*G162^Parameters!$B$9 + Parameters!$B$11*N162^Parameters!$B$9) ^ (Parameters!$B$7/Parameters!$B$9) * K162</f>
        <v>1.5070080580955469</v>
      </c>
      <c r="P162" s="7">
        <f t="shared" si="34"/>
        <v>1.1491130844804238</v>
      </c>
      <c r="Q162" s="7">
        <f>EXP(-Parameters!$B$55*A162)</f>
        <v>9.2015337856234475E-2</v>
      </c>
      <c r="R162" s="7">
        <f>IF(P162&gt;0,P162^(1-Parameters!$B$52)/(1-Parameters!$B$52)*Q162,-10+P162*1000)</f>
        <v>-0.25041780892525028</v>
      </c>
      <c r="S162" s="7"/>
      <c r="T162" s="7"/>
      <c r="U162" s="7"/>
      <c r="V162" s="7"/>
    </row>
    <row r="163" spans="1:22" x14ac:dyDescent="0.25">
      <c r="A163">
        <f>A162+Parameters!$B$65</f>
        <v>159</v>
      </c>
      <c r="B163" s="9">
        <f t="shared" si="37"/>
        <v>5.191758263687303E-2</v>
      </c>
      <c r="C163" s="9">
        <f t="shared" si="37"/>
        <v>1.0017548050425843E-2</v>
      </c>
      <c r="D163" s="7">
        <f t="shared" si="37"/>
        <v>0.2959598429278244</v>
      </c>
      <c r="E163" s="7">
        <f>MAX((1-Parameters!$B$4)^Parameters!B$65*E162+B162*Parameters!B$65-Parameters!$B$5*B162^2/E162*Parameters!B$65,0.0001)</f>
        <v>0.7697276139814262</v>
      </c>
      <c r="F163" s="9">
        <f>MAX((1-Parameters!$B$4)^Parameters!B$65*F162+C162*Parameters!B$65-Parameters!$B$5*C162^2/F162*Parameters!B$65,0.0001)</f>
        <v>0.14851968696730847</v>
      </c>
      <c r="G163" s="7">
        <f>MAX((1-Parameters!$B$4)^Parameters!B$65*G162+D162*Parameters!B$65-Parameters!$B$5*D162^2/G162*Parameters!B$65,0.0001)</f>
        <v>4.3878864780889941</v>
      </c>
      <c r="I163" s="7">
        <f>I162*(1+Parameters!$B$51)^Parameters!B$65</f>
        <v>12.931637959824375</v>
      </c>
      <c r="J163" s="7">
        <f>J162*(1+Parameters!$B$53)^Parameters!B$65</f>
        <v>210.28271752084436</v>
      </c>
      <c r="K163" s="7">
        <f>'6states'!$O$4</f>
        <v>0.98104277196026479</v>
      </c>
      <c r="L163" s="9">
        <f t="shared" si="35"/>
        <v>0.5</v>
      </c>
      <c r="N163" s="7">
        <f>(Parameters!$B$19*(E163+Parameters!$B$20)^L163+Parameters!$B$18*F163^L163)^(1/L163)</f>
        <v>0.53556474418460709</v>
      </c>
      <c r="O163" s="7">
        <f>(Parameters!$B$10*G163^Parameters!$B$9 + Parameters!$B$11*N163^Parameters!$B$9) ^ (Parameters!$B$7/Parameters!$B$9) * K163</f>
        <v>1.5070080035339828</v>
      </c>
      <c r="P163" s="7">
        <f t="shared" si="34"/>
        <v>1.1491130299188597</v>
      </c>
      <c r="Q163" s="7">
        <f>EXP(-Parameters!$B$55*A163)</f>
        <v>9.0636343861203325E-2</v>
      </c>
      <c r="R163" s="7">
        <f>IF(P163&gt;0,P163^(1-Parameters!$B$52)/(1-Parameters!$B$52)*Q163,-10+P163*1000)</f>
        <v>-0.24666490983676645</v>
      </c>
      <c r="S163" s="7"/>
      <c r="T163" s="7"/>
      <c r="U163" s="7"/>
      <c r="V163" s="7"/>
    </row>
    <row r="164" spans="1:22" x14ac:dyDescent="0.25">
      <c r="A164">
        <f>A163+Parameters!$B$65</f>
        <v>160</v>
      </c>
      <c r="B164" s="9">
        <f t="shared" si="37"/>
        <v>5.191758263687303E-2</v>
      </c>
      <c r="C164" s="9">
        <f t="shared" si="37"/>
        <v>1.0017548050425843E-2</v>
      </c>
      <c r="D164" s="7">
        <f t="shared" si="37"/>
        <v>0.2959598429278244</v>
      </c>
      <c r="E164" s="7">
        <f>MAX((1-Parameters!$B$4)^Parameters!B$65*E163+B163*Parameters!B$65-Parameters!$B$5*B163^2/E163*Parameters!B$65,0.0001)</f>
        <v>0.7697275255048952</v>
      </c>
      <c r="F164" s="9">
        <f>MAX((1-Parameters!$B$4)^Parameters!B$65*F163+C163*Parameters!B$65-Parameters!$B$5*C163^2/F163*Parameters!B$65,0.0001)</f>
        <v>0.14851967016257117</v>
      </c>
      <c r="G164" s="7">
        <f>MAX((1-Parameters!$B$4)^Parameters!B$65*G163+D163*Parameters!B$65-Parameters!$B$5*D163^2/G163*Parameters!B$65,0.0001)</f>
        <v>4.3878859792336495</v>
      </c>
      <c r="I164" s="7">
        <f>I163*(1+Parameters!$B$51)^Parameters!B$65</f>
        <v>12.969139709907864</v>
      </c>
      <c r="J164" s="7">
        <f>J163*(1+Parameters!$B$53)^Parameters!B$65</f>
        <v>214.48837187126125</v>
      </c>
      <c r="K164" s="7">
        <f>'6states'!$O$4</f>
        <v>0.98104277196026479</v>
      </c>
      <c r="L164" s="9">
        <f t="shared" si="35"/>
        <v>0.5</v>
      </c>
      <c r="N164" s="7">
        <f>(Parameters!$B$19*(E164+Parameters!$B$20)^L164+Parameters!$B$18*F164^L164)^(1/L164)</f>
        <v>0.53556468344116548</v>
      </c>
      <c r="O164" s="7">
        <f>(Parameters!$B$10*G164^Parameters!$B$9 + Parameters!$B$11*N164^Parameters!$B$9) ^ (Parameters!$B$7/Parameters!$B$9) * K164</f>
        <v>1.5070079521561135</v>
      </c>
      <c r="P164" s="7">
        <f t="shared" si="34"/>
        <v>1.1491129785409901</v>
      </c>
      <c r="Q164" s="7">
        <f>EXP(-Parameters!$B$55*A164)</f>
        <v>8.9278016251610026E-2</v>
      </c>
      <c r="R164" s="7">
        <f>IF(P164&gt;0,P164^(1-Parameters!$B$52)/(1-Parameters!$B$52)*Q164,-10+P164*1000)</f>
        <v>-0.24296825352362236</v>
      </c>
      <c r="S164" s="7"/>
      <c r="T164" s="7"/>
      <c r="U164" s="7"/>
      <c r="V164" s="7"/>
    </row>
    <row r="165" spans="1:22" x14ac:dyDescent="0.25">
      <c r="A165">
        <f>A164+Parameters!$B$65</f>
        <v>161</v>
      </c>
      <c r="B165" s="9">
        <f t="shared" si="37"/>
        <v>5.191758263687303E-2</v>
      </c>
      <c r="C165" s="9">
        <f t="shared" si="37"/>
        <v>1.0017548050425843E-2</v>
      </c>
      <c r="D165" s="7">
        <f t="shared" si="37"/>
        <v>0.2959598429278244</v>
      </c>
      <c r="E165" s="7">
        <f>MAX((1-Parameters!$B$4)^Parameters!B$65*E164+B164*Parameters!B$65-Parameters!$B$5*B164^2/E164*Parameters!B$65,0.0001)</f>
        <v>0.76972744219102218</v>
      </c>
      <c r="F165" s="9">
        <f>MAX((1-Parameters!$B$4)^Parameters!B$65*F164+C164*Parameters!B$65-Parameters!$B$5*C164^2/F164*Parameters!B$65,0.0001)</f>
        <v>0.14851965433840025</v>
      </c>
      <c r="G165" s="7">
        <f>MAX((1-Parameters!$B$4)^Parameters!B$65*G164+D164*Parameters!B$65-Parameters!$B$5*D164^2/G164*Parameters!B$65,0.0001)</f>
        <v>4.3878855094868099</v>
      </c>
      <c r="I165" s="7">
        <f>I164*(1+Parameters!$B$51)^Parameters!B$65</f>
        <v>13.006750215066596</v>
      </c>
      <c r="J165" s="7">
        <f>J164*(1+Parameters!$B$53)^Parameters!B$65</f>
        <v>218.77813930868649</v>
      </c>
      <c r="K165" s="7">
        <f>'6states'!$O$4</f>
        <v>0.98104277196026479</v>
      </c>
      <c r="L165" s="9">
        <f t="shared" si="35"/>
        <v>0.5</v>
      </c>
      <c r="N165" s="7">
        <f>(Parameters!$B$19*(E165+Parameters!$B$20)^L165+Parameters!$B$18*F165^L165)^(1/L165)</f>
        <v>0.53556462624214007</v>
      </c>
      <c r="O165" s="7">
        <f>(Parameters!$B$10*G165^Parameters!$B$9 + Parameters!$B$11*N165^Parameters!$B$9) ^ (Parameters!$B$7/Parameters!$B$9) * K165</f>
        <v>1.5070079037761706</v>
      </c>
      <c r="P165" s="7">
        <f t="shared" si="34"/>
        <v>1.1491129301610474</v>
      </c>
      <c r="Q165" s="7">
        <f>EXP(-Parameters!$B$55*A165)</f>
        <v>8.7940045309291504E-2</v>
      </c>
      <c r="R165" s="7">
        <f>IF(P165&gt;0,P165^(1-Parameters!$B$52)/(1-Parameters!$B$52)*Q165,-10+P165*1000)</f>
        <v>-0.23932699712124003</v>
      </c>
      <c r="S165" s="7"/>
      <c r="T165" s="7"/>
      <c r="U165" s="7"/>
      <c r="V165" s="7"/>
    </row>
    <row r="166" spans="1:22" x14ac:dyDescent="0.25">
      <c r="A166">
        <f>A165+Parameters!$B$65</f>
        <v>162</v>
      </c>
      <c r="B166" s="9">
        <f t="shared" si="37"/>
        <v>5.191758263687303E-2</v>
      </c>
      <c r="C166" s="9">
        <f t="shared" si="37"/>
        <v>1.0017548050425843E-2</v>
      </c>
      <c r="D166" s="7">
        <f t="shared" si="37"/>
        <v>0.2959598429278244</v>
      </c>
      <c r="E166" s="7">
        <f>MAX((1-Parameters!$B$4)^Parameters!B$65*E165+B165*Parameters!B$65-Parameters!$B$5*B165^2/E165*Parameters!B$65,0.0001)</f>
        <v>0.76972736373856288</v>
      </c>
      <c r="F166" s="9">
        <f>MAX((1-Parameters!$B$4)^Parameters!B$65*F165+C165*Parameters!B$65-Parameters!$B$5*C165^2/F165*Parameters!B$65,0.0001)</f>
        <v>0.14851963943757904</v>
      </c>
      <c r="G166" s="7">
        <f>MAX((1-Parameters!$B$4)^Parameters!B$65*G165+D165*Parameters!B$65-Parameters!$B$5*D165^2/G165*Parameters!B$65,0.0001)</f>
        <v>4.3878850671499761</v>
      </c>
      <c r="I166" s="7">
        <f>I165*(1+Parameters!$B$51)^Parameters!B$65</f>
        <v>13.044469790690288</v>
      </c>
      <c r="J166" s="7">
        <f>J165*(1+Parameters!$B$53)^Parameters!B$65</f>
        <v>223.15370209486022</v>
      </c>
      <c r="K166" s="7">
        <f>'6states'!$O$4</f>
        <v>0.98104277196026479</v>
      </c>
      <c r="L166" s="9">
        <f t="shared" si="35"/>
        <v>0.5</v>
      </c>
      <c r="N166" s="7">
        <f>(Parameters!$B$19*(E166+Parameters!$B$20)^L166+Parameters!$B$18*F166^L166)^(1/L166)</f>
        <v>0.5355645723807112</v>
      </c>
      <c r="O166" s="7">
        <f>(Parameters!$B$10*G166^Parameters!$B$9 + Parameters!$B$11*N166^Parameters!$B$9) ^ (Parameters!$B$7/Parameters!$B$9) * K166</f>
        <v>1.5070078582192215</v>
      </c>
      <c r="P166" s="7">
        <f t="shared" si="34"/>
        <v>1.1491128846040981</v>
      </c>
      <c r="Q166" s="7">
        <f>EXP(-Parameters!$B$55*A166)</f>
        <v>8.6622125957696541E-2</v>
      </c>
      <c r="R166" s="7">
        <f>IF(P166&gt;0,P166^(1-Parameters!$B$52)/(1-Parameters!$B$52)*Q166,-10+P166*1000)</f>
        <v>-0.23574031039512819</v>
      </c>
      <c r="S166" s="7"/>
      <c r="T166" s="7"/>
      <c r="U166" s="7"/>
      <c r="V166" s="7"/>
    </row>
    <row r="167" spans="1:22" x14ac:dyDescent="0.25">
      <c r="A167">
        <f>A166+Parameters!$B$65</f>
        <v>163</v>
      </c>
      <c r="B167" s="9">
        <f t="shared" si="37"/>
        <v>5.191758263687303E-2</v>
      </c>
      <c r="C167" s="9">
        <f t="shared" si="37"/>
        <v>1.0017548050425843E-2</v>
      </c>
      <c r="D167" s="7">
        <f t="shared" si="37"/>
        <v>0.2959598429278244</v>
      </c>
      <c r="E167" s="7">
        <f>MAX((1-Parameters!$B$4)^Parameters!B$65*E166+B166*Parameters!B$65-Parameters!$B$5*B166^2/E166*Parameters!B$65,0.0001)</f>
        <v>0.76972728986385097</v>
      </c>
      <c r="F167" s="9">
        <f>MAX((1-Parameters!$B$4)^Parameters!B$65*F166+C166*Parameters!B$65-Parameters!$B$5*C166^2/F166*Parameters!B$65,0.0001)</f>
        <v>0.14851962540622954</v>
      </c>
      <c r="G167" s="7">
        <f>MAX((1-Parameters!$B$4)^Parameters!B$65*G166+D166*Parameters!B$65-Parameters!$B$5*D166^2/G166*Parameters!B$65,0.0001)</f>
        <v>4.3878846506237572</v>
      </c>
      <c r="I167" s="7">
        <f>I166*(1+Parameters!$B$51)^Parameters!B$65</f>
        <v>13.082298753083288</v>
      </c>
      <c r="J167" s="7">
        <f>J166*(1+Parameters!$B$53)^Parameters!B$65</f>
        <v>227.61677613675744</v>
      </c>
      <c r="K167" s="7">
        <f>'6states'!$O$4</f>
        <v>0.98104277196026479</v>
      </c>
      <c r="L167" s="9">
        <f t="shared" si="35"/>
        <v>0.5</v>
      </c>
      <c r="N167" s="7">
        <f>(Parameters!$B$19*(E167+Parameters!$B$20)^L167+Parameters!$B$18*F167^L167)^(1/L167)</f>
        <v>0.53556452166212876</v>
      </c>
      <c r="O167" s="7">
        <f>(Parameters!$B$10*G167^Parameters!$B$9 + Parameters!$B$11*N167^Parameters!$B$9) ^ (Parameters!$B$7/Parameters!$B$9) * K167</f>
        <v>1.5070078153205451</v>
      </c>
      <c r="P167" s="7">
        <f t="shared" si="34"/>
        <v>1.1491128417054219</v>
      </c>
      <c r="Q167" s="7">
        <f>EXP(-Parameters!$B$55*A167)</f>
        <v>8.5323957692323968E-2</v>
      </c>
      <c r="R167" s="7">
        <f>IF(P167&gt;0,P167^(1-Parameters!$B$52)/(1-Parameters!$B$52)*Q167,-10+P167*1000)</f>
        <v>-0.23220737555171295</v>
      </c>
      <c r="S167" s="7"/>
      <c r="T167" s="7"/>
      <c r="U167" s="7"/>
      <c r="V167" s="7"/>
    </row>
    <row r="168" spans="1:22" x14ac:dyDescent="0.25">
      <c r="A168">
        <f>A167+Parameters!$B$65</f>
        <v>164</v>
      </c>
      <c r="B168" s="9">
        <f t="shared" si="37"/>
        <v>5.191758263687303E-2</v>
      </c>
      <c r="C168" s="9">
        <f t="shared" si="37"/>
        <v>1.0017548050425843E-2</v>
      </c>
      <c r="D168" s="7">
        <f t="shared" si="37"/>
        <v>0.2959598429278244</v>
      </c>
      <c r="E168" s="7">
        <f>MAX((1-Parameters!$B$4)^Parameters!B$65*E167+B167*Parameters!B$65-Parameters!$B$5*B167^2/E167*Parameters!B$65,0.0001)</f>
        <v>0.76972722029977203</v>
      </c>
      <c r="F168" s="9">
        <f>MAX((1-Parameters!$B$4)^Parameters!B$65*F167+C167*Parameters!B$65-Parameters!$B$5*C167^2/F167*Parameters!B$65,0.0001)</f>
        <v>0.14851961219361756</v>
      </c>
      <c r="G168" s="7">
        <f>MAX((1-Parameters!$B$4)^Parameters!B$65*G167+D167*Parameters!B$65-Parameters!$B$5*D167^2/G167*Parameters!B$65,0.0001)</f>
        <v>4.3878842584020887</v>
      </c>
      <c r="I168" s="7">
        <f>I167*(1+Parameters!$B$51)^Parameters!B$65</f>
        <v>13.120237419467228</v>
      </c>
      <c r="J168" s="7">
        <f>J167*(1+Parameters!$B$53)^Parameters!B$65</f>
        <v>232.16911165949259</v>
      </c>
      <c r="K168" s="7">
        <f>'6states'!$O$4</f>
        <v>0.98104277196026479</v>
      </c>
      <c r="L168" s="9">
        <f t="shared" si="35"/>
        <v>0.5</v>
      </c>
      <c r="N168" s="7">
        <f>(Parameters!$B$19*(E168+Parameters!$B$20)^L168+Parameters!$B$18*F168^L168)^(1/L168)</f>
        <v>0.53556447390300543</v>
      </c>
      <c r="O168" s="7">
        <f>(Parameters!$B$10*G168^Parameters!$B$9 + Parameters!$B$11*N168^Parameters!$B$9) ^ (Parameters!$B$7/Parameters!$B$9) * K168</f>
        <v>1.5070077749250288</v>
      </c>
      <c r="P168" s="7">
        <f t="shared" si="34"/>
        <v>1.1491128013099057</v>
      </c>
      <c r="Q168" s="7">
        <f>EXP(-Parameters!$B$55*A168)</f>
        <v>8.4045244512203479E-2</v>
      </c>
      <c r="R168" s="7">
        <f>IF(P168&gt;0,P168^(1-Parameters!$B$52)/(1-Parameters!$B$52)*Q168,-10+P168*1000)</f>
        <v>-0.22872738705199724</v>
      </c>
      <c r="S168" s="7"/>
      <c r="T168" s="7"/>
      <c r="U168" s="7"/>
      <c r="V168" s="7"/>
    </row>
    <row r="169" spans="1:22" x14ac:dyDescent="0.25">
      <c r="A169">
        <f>A168+Parameters!$B$65</f>
        <v>165</v>
      </c>
      <c r="B169" s="9">
        <f t="shared" si="37"/>
        <v>5.191758263687303E-2</v>
      </c>
      <c r="C169" s="9">
        <f t="shared" si="37"/>
        <v>1.0017548050425843E-2</v>
      </c>
      <c r="D169" s="7">
        <f t="shared" si="37"/>
        <v>0.2959598429278244</v>
      </c>
      <c r="E169" s="7">
        <f>MAX((1-Parameters!$B$4)^Parameters!B$65*E168+B168*Parameters!B$65-Parameters!$B$5*B168^2/E168*Parameters!B$65,0.0001)</f>
        <v>0.76972715479479803</v>
      </c>
      <c r="F169" s="9">
        <f>MAX((1-Parameters!$B$4)^Parameters!B$65*F168+C168*Parameters!B$65-Parameters!$B$5*C168^2/F168*Parameters!B$65,0.0001)</f>
        <v>0.14851959975196927</v>
      </c>
      <c r="G169" s="7">
        <f>MAX((1-Parameters!$B$4)^Parameters!B$65*G168+D168*Parameters!B$65-Parameters!$B$5*D168^2/G168*Parameters!B$65,0.0001)</f>
        <v>4.3878838890667851</v>
      </c>
      <c r="I169" s="7">
        <f>I168*(1+Parameters!$B$51)^Parameters!B$65</f>
        <v>13.158286107983683</v>
      </c>
      <c r="J169" s="7">
        <f>J168*(1+Parameters!$B$53)^Parameters!B$65</f>
        <v>236.81249389268245</v>
      </c>
      <c r="K169" s="7">
        <f>'6states'!$O$4</f>
        <v>0.98104277196026479</v>
      </c>
      <c r="L169" s="9">
        <f t="shared" si="35"/>
        <v>0.5</v>
      </c>
      <c r="N169" s="7">
        <f>(Parameters!$B$19*(E169+Parameters!$B$20)^L169+Parameters!$B$18*F169^L169)^(1/L169)</f>
        <v>0.53556442893065503</v>
      </c>
      <c r="O169" s="7">
        <f>(Parameters!$B$10*G169^Parameters!$B$9 + Parameters!$B$11*N169^Parameters!$B$9) ^ (Parameters!$B$7/Parameters!$B$9) * K169</f>
        <v>1.5070077368866122</v>
      </c>
      <c r="P169" s="7">
        <f t="shared" si="34"/>
        <v>1.1491127632714888</v>
      </c>
      <c r="Q169" s="7">
        <f>EXP(-Parameters!$B$55*A169)</f>
        <v>8.2785694852402933E-2</v>
      </c>
      <c r="R169" s="7">
        <f>IF(P169&gt;0,P169^(1-Parameters!$B$52)/(1-Parameters!$B$52)*Q169,-10+P169*1000)</f>
        <v>-0.22529955142800276</v>
      </c>
      <c r="S169" s="7"/>
      <c r="T169" s="7"/>
      <c r="U169" s="7"/>
      <c r="V169" s="7"/>
    </row>
    <row r="170" spans="1:22" x14ac:dyDescent="0.25">
      <c r="A170">
        <f>A169+Parameters!$B$65</f>
        <v>166</v>
      </c>
      <c r="B170" s="9">
        <f t="shared" si="37"/>
        <v>5.191758263687303E-2</v>
      </c>
      <c r="C170" s="9">
        <f t="shared" si="37"/>
        <v>1.0017548050425843E-2</v>
      </c>
      <c r="D170" s="7">
        <f t="shared" si="37"/>
        <v>0.2959598429278244</v>
      </c>
      <c r="E170" s="7">
        <f>MAX((1-Parameters!$B$4)^Parameters!B$65*E169+B169*Parameters!B$65-Parameters!$B$5*B169^2/E169*Parameters!B$65,0.0001)</f>
        <v>0.76972709311207776</v>
      </c>
      <c r="F170" s="9">
        <f>MAX((1-Parameters!$B$4)^Parameters!B$65*F169+C169*Parameters!B$65-Parameters!$B$5*C169^2/F169*Parameters!B$65,0.0001)</f>
        <v>0.14851958803629847</v>
      </c>
      <c r="G170" s="7">
        <f>MAX((1-Parameters!$B$4)^Parameters!B$65*G169+D169*Parameters!B$65-Parameters!$B$5*D169^2/G169*Parameters!B$65,0.0001)</f>
        <v>4.387883541282414</v>
      </c>
      <c r="I170" s="7">
        <f>I169*(1+Parameters!$B$51)^Parameters!B$65</f>
        <v>13.196445137696834</v>
      </c>
      <c r="J170" s="7">
        <f>J169*(1+Parameters!$B$53)^Parameters!B$65</f>
        <v>241.54874377053611</v>
      </c>
      <c r="K170" s="7">
        <f>'6states'!$O$4</f>
        <v>0.98104277196026479</v>
      </c>
      <c r="L170" s="9">
        <f t="shared" si="35"/>
        <v>0.5</v>
      </c>
      <c r="N170" s="7">
        <f>(Parameters!$B$19*(E170+Parameters!$B$20)^L170+Parameters!$B$18*F170^L170)^(1/L170)</f>
        <v>0.53556438658246786</v>
      </c>
      <c r="O170" s="7">
        <f>(Parameters!$B$10*G170^Parameters!$B$9 + Parameters!$B$11*N170^Parameters!$B$9) ^ (Parameters!$B$7/Parameters!$B$9) * K170</f>
        <v>1.5070077010677578</v>
      </c>
      <c r="P170" s="7">
        <f t="shared" si="34"/>
        <v>1.1491127274526347</v>
      </c>
      <c r="Q170" s="7">
        <f>EXP(-Parameters!$B$55*A170)</f>
        <v>8.1545021517547445E-2</v>
      </c>
      <c r="R170" s="7">
        <f>IF(P170&gt;0,P170^(1-Parameters!$B$52)/(1-Parameters!$B$52)*Q170,-10+P170*1000)</f>
        <v>-0.22192308710195735</v>
      </c>
      <c r="S170" s="7"/>
      <c r="T170" s="7"/>
      <c r="U170" s="7"/>
      <c r="V170" s="7"/>
    </row>
    <row r="171" spans="1:22" x14ac:dyDescent="0.25">
      <c r="A171">
        <f>A170+Parameters!$B$65</f>
        <v>167</v>
      </c>
      <c r="B171" s="9">
        <f t="shared" si="37"/>
        <v>5.191758263687303E-2</v>
      </c>
      <c r="C171" s="9">
        <f t="shared" si="37"/>
        <v>1.0017548050425843E-2</v>
      </c>
      <c r="D171" s="7">
        <f t="shared" si="37"/>
        <v>0.2959598429278244</v>
      </c>
      <c r="E171" s="7">
        <f>MAX((1-Parameters!$B$4)^Parameters!B$65*E170+B170*Parameters!B$65-Parameters!$B$5*B170^2/E170*Parameters!B$65,0.0001)</f>
        <v>0.76972703502858053</v>
      </c>
      <c r="F171" s="9">
        <f>MAX((1-Parameters!$B$4)^Parameters!B$65*F170+C170*Parameters!B$65-Parameters!$B$5*C170^2/F170*Parameters!B$65,0.0001)</f>
        <v>0.14851957700424395</v>
      </c>
      <c r="G171" s="7">
        <f>MAX((1-Parameters!$B$4)^Parameters!B$65*G170+D170*Parameters!B$65-Parameters!$B$5*D170^2/G170*Parameters!B$65,0.0001)</f>
        <v>4.387883213791465</v>
      </c>
      <c r="I171" s="7">
        <f>I170*(1+Parameters!$B$51)^Parameters!B$65</f>
        <v>13.234714828596154</v>
      </c>
      <c r="J171" s="7">
        <f>J170*(1+Parameters!$B$53)^Parameters!B$65</f>
        <v>246.37971864594684</v>
      </c>
      <c r="K171" s="7">
        <f>'6states'!$O$4</f>
        <v>0.98104277196026479</v>
      </c>
      <c r="L171" s="9">
        <f t="shared" si="35"/>
        <v>0.5</v>
      </c>
      <c r="N171" s="7">
        <f>(Parameters!$B$19*(E171+Parameters!$B$20)^L171+Parameters!$B$18*F171^L171)^(1/L171)</f>
        <v>0.53556434670532227</v>
      </c>
      <c r="O171" s="7">
        <f>(Parameters!$B$10*G171^Parameters!$B$9 + Parameters!$B$11*N171^Parameters!$B$9) ^ (Parameters!$B$7/Parameters!$B$9) * K171</f>
        <v>1.5070076673389527</v>
      </c>
      <c r="P171" s="7">
        <f t="shared" si="34"/>
        <v>1.1491126937238296</v>
      </c>
      <c r="Q171" s="7">
        <f>EXP(-Parameters!$B$55*A171)</f>
        <v>8.0322941616334922E-2</v>
      </c>
      <c r="R171" s="7">
        <f>IF(P171&gt;0,P171^(1-Parameters!$B$52)/(1-Parameters!$B$52)*Q171,-10+P171*1000)</f>
        <v>-0.21859722420818609</v>
      </c>
      <c r="S171" s="7"/>
      <c r="T171" s="7"/>
      <c r="U171" s="7"/>
      <c r="V171" s="7"/>
    </row>
    <row r="172" spans="1:22" x14ac:dyDescent="0.25">
      <c r="A172">
        <f>A171+Parameters!$B$65</f>
        <v>168</v>
      </c>
      <c r="B172" s="9">
        <f t="shared" si="37"/>
        <v>5.191758263687303E-2</v>
      </c>
      <c r="C172" s="9">
        <f t="shared" si="37"/>
        <v>1.0017548050425843E-2</v>
      </c>
      <c r="D172" s="7">
        <f t="shared" si="37"/>
        <v>0.2959598429278244</v>
      </c>
      <c r="E172" s="7">
        <f>MAX((1-Parameters!$B$4)^Parameters!B$65*E171+B171*Parameters!B$65-Parameters!$B$5*B171^2/E171*Parameters!B$65,0.0001)</f>
        <v>0.76972698033428943</v>
      </c>
      <c r="F172" s="9">
        <f>MAX((1-Parameters!$B$4)^Parameters!B$65*F171+C171*Parameters!B$65-Parameters!$B$5*C171^2/F171*Parameters!B$65,0.0001)</f>
        <v>0.14851956661591628</v>
      </c>
      <c r="G172" s="7">
        <f>MAX((1-Parameters!$B$4)^Parameters!B$65*G171+D171*Parameters!B$65-Parameters!$B$5*D171^2/G171*Parameters!B$65,0.0001)</f>
        <v>4.3878829054098052</v>
      </c>
      <c r="I172" s="7">
        <f>I171*(1+Parameters!$B$51)^Parameters!B$65</f>
        <v>13.273095501599082</v>
      </c>
      <c r="J172" s="7">
        <f>J171*(1+Parameters!$B$53)^Parameters!B$65</f>
        <v>251.30731301886578</v>
      </c>
      <c r="K172" s="7">
        <f>'6states'!$O$4</f>
        <v>0.98104277196026479</v>
      </c>
      <c r="L172" s="9">
        <f t="shared" si="35"/>
        <v>0.5</v>
      </c>
      <c r="N172" s="7">
        <f>(Parameters!$B$19*(E172+Parameters!$B$20)^L172+Parameters!$B$18*F172^L172)^(1/L172)</f>
        <v>0.5355643091550315</v>
      </c>
      <c r="O172" s="7">
        <f>(Parameters!$B$10*G172^Parameters!$B$9 + Parameters!$B$11*N172^Parameters!$B$9) ^ (Parameters!$B$7/Parameters!$B$9) * K172</f>
        <v>1.5070076355782416</v>
      </c>
      <c r="P172" s="7">
        <f t="shared" si="34"/>
        <v>1.1491126619631182</v>
      </c>
      <c r="Q172" s="7">
        <f>EXP(-Parameters!$B$55*A172)</f>
        <v>7.9119176497032498E-2</v>
      </c>
      <c r="R172" s="7">
        <f>IF(P172&gt;0,P172^(1-Parameters!$B$52)/(1-Parameters!$B$52)*Q172,-10+P172*1000)</f>
        <v>-0.21532120441766367</v>
      </c>
      <c r="S172" s="7"/>
      <c r="T172" s="7"/>
      <c r="U172" s="7"/>
      <c r="V172" s="7"/>
    </row>
    <row r="173" spans="1:22" x14ac:dyDescent="0.25">
      <c r="A173">
        <f>A172+Parameters!$B$65</f>
        <v>169</v>
      </c>
      <c r="B173" s="9">
        <f t="shared" si="37"/>
        <v>5.191758263687303E-2</v>
      </c>
      <c r="C173" s="9">
        <f t="shared" si="37"/>
        <v>1.0017548050425843E-2</v>
      </c>
      <c r="D173" s="7">
        <f t="shared" si="37"/>
        <v>0.2959598429278244</v>
      </c>
      <c r="E173" s="7">
        <f>MAX((1-Parameters!$B$4)^Parameters!B$65*E172+B172*Parameters!B$65-Parameters!$B$5*B172^2/E172*Parameters!B$65,0.0001)</f>
        <v>0.76972692883144234</v>
      </c>
      <c r="F173" s="9">
        <f>MAX((1-Parameters!$B$4)^Parameters!B$65*F172+C172*Parameters!B$65-Parameters!$B$5*C172^2/F172*Parameters!B$65,0.0001)</f>
        <v>0.14851955683375359</v>
      </c>
      <c r="G173" s="7">
        <f>MAX((1-Parameters!$B$4)^Parameters!B$65*G172+D172*Parameters!B$65-Parameters!$B$5*D172^2/G172*Parameters!B$65,0.0001)</f>
        <v>4.387882615022396</v>
      </c>
      <c r="I173" s="7">
        <f>I172*(1+Parameters!$B$51)^Parameters!B$65</f>
        <v>13.311587478553719</v>
      </c>
      <c r="J173" s="7">
        <f>J172*(1+Parameters!$B$53)^Parameters!B$65</f>
        <v>256.33345927924313</v>
      </c>
      <c r="K173" s="7">
        <f>'6states'!$O$4</f>
        <v>0.98104277196026479</v>
      </c>
      <c r="L173" s="9">
        <f t="shared" si="35"/>
        <v>0.5</v>
      </c>
      <c r="N173" s="7">
        <f>(Parameters!$B$19*(E173+Parameters!$B$20)^L173+Parameters!$B$18*F173^L173)^(1/L173)</f>
        <v>0.53556427379582205</v>
      </c>
      <c r="O173" s="7">
        <f>(Parameters!$B$10*G173^Parameters!$B$9 + Parameters!$B$11*N173^Parameters!$B$9) ^ (Parameters!$B$7/Parameters!$B$9) * K173</f>
        <v>1.5070076056707853</v>
      </c>
      <c r="P173" s="7">
        <f t="shared" si="34"/>
        <v>1.1491126320556622</v>
      </c>
      <c r="Q173" s="7">
        <f>EXP(-Parameters!$B$55*A173)</f>
        <v>7.79334516839401E-2</v>
      </c>
      <c r="R173" s="7">
        <f>IF(P173&gt;0,P173^(1-Parameters!$B$52)/(1-Parameters!$B$52)*Q173,-10+P173*1000)</f>
        <v>-0.21209428076519221</v>
      </c>
      <c r="S173" s="7"/>
      <c r="T173" s="7"/>
      <c r="U173" s="7"/>
      <c r="V173" s="7"/>
    </row>
    <row r="174" spans="1:22" x14ac:dyDescent="0.25">
      <c r="A174">
        <f>A173+Parameters!$B$65</f>
        <v>170</v>
      </c>
      <c r="B174" s="9">
        <f t="shared" si="37"/>
        <v>5.191758263687303E-2</v>
      </c>
      <c r="C174" s="9">
        <f t="shared" si="37"/>
        <v>1.0017548050425843E-2</v>
      </c>
      <c r="D174" s="7">
        <f t="shared" si="37"/>
        <v>0.2959598429278244</v>
      </c>
      <c r="E174" s="7">
        <f>MAX((1-Parameters!$B$4)^Parameters!B$65*E173+B173*Parameters!B$65-Parameters!$B$5*B173^2/E173*Parameters!B$65,0.0001)</f>
        <v>0.76972688033381631</v>
      </c>
      <c r="F174" s="9">
        <f>MAX((1-Parameters!$B$4)^Parameters!B$65*F173+C173*Parameters!B$65-Parameters!$B$5*C173^2/F173*Parameters!B$65,0.0001)</f>
        <v>0.14851954762238581</v>
      </c>
      <c r="G174" s="7">
        <f>MAX((1-Parameters!$B$4)^Parameters!B$65*G173+D173*Parameters!B$65-Parameters!$B$5*D173^2/G173*Parameters!B$65,0.0001)</f>
        <v>4.387882341579262</v>
      </c>
      <c r="I174" s="7">
        <f>I173*(1+Parameters!$B$51)^Parameters!B$65</f>
        <v>13.350191082241523</v>
      </c>
      <c r="J174" s="7">
        <f>J173*(1+Parameters!$B$53)^Parameters!B$65</f>
        <v>261.46012846482802</v>
      </c>
      <c r="K174" s="7">
        <f>'6states'!$O$4</f>
        <v>0.98104277196026479</v>
      </c>
      <c r="L174" s="9">
        <f t="shared" si="35"/>
        <v>0.5</v>
      </c>
      <c r="N174" s="7">
        <f>(Parameters!$B$19*(E174+Parameters!$B$20)^L174+Parameters!$B$18*F174^L174)^(1/L174)</f>
        <v>0.53556424049984341</v>
      </c>
      <c r="O174" s="7">
        <f>(Parameters!$B$10*G174^Parameters!$B$9 + Parameters!$B$11*N174^Parameters!$B$9) ^ (Parameters!$B$7/Parameters!$B$9) * K174</f>
        <v>1.5070075775084455</v>
      </c>
      <c r="P174" s="7">
        <f t="shared" si="34"/>
        <v>1.1491126038933221</v>
      </c>
      <c r="Q174" s="7">
        <f>EXP(-Parameters!$B$55*A174)</f>
        <v>7.6765496814806045E-2</v>
      </c>
      <c r="R174" s="7">
        <f>IF(P174&gt;0,P174^(1-Parameters!$B$52)/(1-Parameters!$B$52)*Q174,-10+P174*1000)</f>
        <v>-0.20891571747916302</v>
      </c>
      <c r="S174" s="7"/>
      <c r="T174" s="7"/>
      <c r="U174" s="7"/>
      <c r="V174" s="7"/>
    </row>
    <row r="175" spans="1:22" x14ac:dyDescent="0.25">
      <c r="A175">
        <f>A174+Parameters!$B$65</f>
        <v>171</v>
      </c>
      <c r="B175" s="9">
        <f t="shared" si="37"/>
        <v>5.191758263687303E-2</v>
      </c>
      <c r="C175" s="9">
        <f t="shared" si="37"/>
        <v>1.0017548050425843E-2</v>
      </c>
      <c r="D175" s="7">
        <f t="shared" si="37"/>
        <v>0.2959598429278244</v>
      </c>
      <c r="E175" s="7">
        <f>MAX((1-Parameters!$B$4)^Parameters!B$65*E174+B174*Parameters!B$65-Parameters!$B$5*B174^2/E174*Parameters!B$65,0.0001)</f>
        <v>0.76972683466605518</v>
      </c>
      <c r="F175" s="9">
        <f>MAX((1-Parameters!$B$4)^Parameters!B$65*F174+C174*Parameters!B$65-Parameters!$B$5*C174^2/F174*Parameters!B$65,0.0001)</f>
        <v>0.14851953894850672</v>
      </c>
      <c r="G175" s="7">
        <f>MAX((1-Parameters!$B$4)^Parameters!B$65*G174+D174*Parameters!B$65-Parameters!$B$5*D174^2/G174*Parameters!B$65,0.0001)</f>
        <v>4.3878820840916948</v>
      </c>
      <c r="I175" s="7">
        <f>I174*(1+Parameters!$B$51)^Parameters!B$65</f>
        <v>13.388906636380021</v>
      </c>
      <c r="J175" s="7">
        <f>J174*(1+Parameters!$B$53)^Parameters!B$65</f>
        <v>266.68933103412456</v>
      </c>
      <c r="K175" s="7">
        <f>'6states'!$O$4</f>
        <v>0.98104277196026479</v>
      </c>
      <c r="L175" s="9">
        <f t="shared" si="35"/>
        <v>0.5</v>
      </c>
      <c r="N175" s="7">
        <f>(Parameters!$B$19*(E175+Parameters!$B$20)^L175+Parameters!$B$18*F175^L175)^(1/L175)</f>
        <v>0.53556420914670433</v>
      </c>
      <c r="O175" s="7">
        <f>(Parameters!$B$10*G175^Parameters!$B$9 + Parameters!$B$11*N175^Parameters!$B$9) ^ (Parameters!$B$7/Parameters!$B$9) * K175</f>
        <v>1.5070075509893928</v>
      </c>
      <c r="P175" s="7">
        <f t="shared" si="34"/>
        <v>1.1491125773742694</v>
      </c>
      <c r="Q175" s="7">
        <f>EXP(-Parameters!$B$55*A175)</f>
        <v>7.5615045579180543E-2</v>
      </c>
      <c r="R175" s="7">
        <f>IF(P175&gt;0,P175^(1-Parameters!$B$52)/(1-Parameters!$B$52)*Q175,-10+P175*1000)</f>
        <v>-0.20578478981386528</v>
      </c>
      <c r="S175" s="7"/>
      <c r="T175" s="7"/>
      <c r="U175" s="7"/>
      <c r="V175" s="7"/>
    </row>
    <row r="176" spans="1:22" x14ac:dyDescent="0.25">
      <c r="A176">
        <f>A175+Parameters!$B$65</f>
        <v>172</v>
      </c>
      <c r="B176" s="9">
        <f t="shared" ref="B176:D191" si="38">B175</f>
        <v>5.191758263687303E-2</v>
      </c>
      <c r="C176" s="9">
        <f t="shared" si="38"/>
        <v>1.0017548050425843E-2</v>
      </c>
      <c r="D176" s="7">
        <f t="shared" si="38"/>
        <v>0.2959598429278244</v>
      </c>
      <c r="E176" s="7">
        <f>MAX((1-Parameters!$B$4)^Parameters!B$65*E175+B175*Parameters!B$65-Parameters!$B$5*B175^2/E175*Parameters!B$65,0.0001)</f>
        <v>0.76972679166303459</v>
      </c>
      <c r="F176" s="9">
        <f>MAX((1-Parameters!$B$4)^Parameters!B$65*F175+C175*Parameters!B$65-Parameters!$B$5*C175^2/F175*Parameters!B$65,0.0001)</f>
        <v>0.14851953078075358</v>
      </c>
      <c r="G176" s="7">
        <f>MAX((1-Parameters!$B$4)^Parameters!B$65*G175+D175*Parameters!B$65-Parameters!$B$5*D175^2/G175*Parameters!B$65,0.0001)</f>
        <v>4.3878818416286771</v>
      </c>
      <c r="I176" s="7">
        <f>I175*(1+Parameters!$B$51)^Parameters!B$65</f>
        <v>13.427734465625521</v>
      </c>
      <c r="J176" s="7">
        <f>J175*(1+Parameters!$B$53)^Parameters!B$65</f>
        <v>272.02311765480704</v>
      </c>
      <c r="K176" s="7">
        <f>'6states'!$O$4</f>
        <v>0.98104277196026479</v>
      </c>
      <c r="L176" s="9">
        <f t="shared" si="35"/>
        <v>0.5</v>
      </c>
      <c r="N176" s="7">
        <f>(Parameters!$B$19*(E176+Parameters!$B$20)^L176+Parameters!$B$18*F176^L176)^(1/L176)</f>
        <v>0.53556417962303926</v>
      </c>
      <c r="O176" s="7">
        <f>(Parameters!$B$10*G176^Parameters!$B$9 + Parameters!$B$11*N176^Parameters!$B$9) ^ (Parameters!$B$7/Parameters!$B$9) * K176</f>
        <v>1.5070075260177418</v>
      </c>
      <c r="P176" s="7">
        <f t="shared" si="34"/>
        <v>1.1491125524026184</v>
      </c>
      <c r="Q176" s="7">
        <f>EXP(-Parameters!$B$55*A176)</f>
        <v>7.4481835657693174E-2</v>
      </c>
      <c r="R176" s="7">
        <f>IF(P176&gt;0,P176^(1-Parameters!$B$52)/(1-Parameters!$B$52)*Q176,-10+P176*1000)</f>
        <v>-0.20270078388430285</v>
      </c>
      <c r="S176" s="7"/>
      <c r="T176" s="7"/>
      <c r="U176" s="7"/>
      <c r="V176" s="7"/>
    </row>
    <row r="177" spans="1:22" x14ac:dyDescent="0.25">
      <c r="A177">
        <f>A176+Parameters!$B$65</f>
        <v>173</v>
      </c>
      <c r="B177" s="9">
        <f t="shared" si="38"/>
        <v>5.191758263687303E-2</v>
      </c>
      <c r="C177" s="9">
        <f t="shared" si="38"/>
        <v>1.0017548050425843E-2</v>
      </c>
      <c r="D177" s="7">
        <f t="shared" si="38"/>
        <v>0.2959598429278244</v>
      </c>
      <c r="E177" s="7">
        <f>MAX((1-Parameters!$B$4)^Parameters!B$65*E176+B176*Parameters!B$65-Parameters!$B$5*B176^2/E176*Parameters!B$65,0.0001)</f>
        <v>0.76972675116926537</v>
      </c>
      <c r="F177" s="9">
        <f>MAX((1-Parameters!$B$4)^Parameters!B$65*F176+C176*Parameters!B$65-Parameters!$B$5*C176^2/F176*Parameters!B$65,0.0001)</f>
        <v>0.14851952308959357</v>
      </c>
      <c r="G177" s="7">
        <f>MAX((1-Parameters!$B$4)^Parameters!B$65*G176+D176*Parameters!B$65-Parameters!$B$5*D176^2/G176*Parameters!B$65,0.0001)</f>
        <v>4.3878816133135174</v>
      </c>
      <c r="I177" s="7">
        <f>I176*(1+Parameters!$B$51)^Parameters!B$65</f>
        <v>13.466674895575833</v>
      </c>
      <c r="J177" s="7">
        <f>J176*(1+Parameters!$B$53)^Parameters!B$65</f>
        <v>277.4635800079032</v>
      </c>
      <c r="K177" s="7">
        <f>'6states'!$O$4</f>
        <v>0.98104277196026479</v>
      </c>
      <c r="L177" s="9">
        <f t="shared" si="35"/>
        <v>0.5</v>
      </c>
      <c r="N177" s="7">
        <f>(Parameters!$B$19*(E177+Parameters!$B$20)^L177+Parameters!$B$18*F177^L177)^(1/L177)</f>
        <v>0.53556415182209727</v>
      </c>
      <c r="O177" s="7">
        <f>(Parameters!$B$10*G177^Parameters!$B$9 + Parameters!$B$11*N177^Parameters!$B$9) ^ (Parameters!$B$7/Parameters!$B$9) * K177</f>
        <v>1.5070075025032004</v>
      </c>
      <c r="P177" s="7">
        <f t="shared" si="34"/>
        <v>1.149112528888077</v>
      </c>
      <c r="Q177" s="7">
        <f>EXP(-Parameters!$B$55*A177)</f>
        <v>7.3365608662240192E-2</v>
      </c>
      <c r="R177" s="7">
        <f>IF(P177&gt;0,P177^(1-Parameters!$B$52)/(1-Parameters!$B$52)*Q177,-10+P177*1000)</f>
        <v>-0.19966299650348288</v>
      </c>
      <c r="S177" s="7"/>
      <c r="T177" s="7"/>
      <c r="U177" s="7"/>
      <c r="V177" s="7"/>
    </row>
    <row r="178" spans="1:22" x14ac:dyDescent="0.25">
      <c r="A178">
        <f>A177+Parameters!$B$65</f>
        <v>174</v>
      </c>
      <c r="B178" s="9">
        <f t="shared" si="38"/>
        <v>5.191758263687303E-2</v>
      </c>
      <c r="C178" s="9">
        <f t="shared" si="38"/>
        <v>1.0017548050425843E-2</v>
      </c>
      <c r="D178" s="7">
        <f t="shared" si="38"/>
        <v>0.2959598429278244</v>
      </c>
      <c r="E178" s="7">
        <f>MAX((1-Parameters!$B$4)^Parameters!B$65*E177+B177*Parameters!B$65-Parameters!$B$5*B177^2/E177*Parameters!B$65,0.0001)</f>
        <v>0.76972671303833118</v>
      </c>
      <c r="F178" s="9">
        <f>MAX((1-Parameters!$B$4)^Parameters!B$65*F177+C177*Parameters!B$65-Parameters!$B$5*C177^2/F177*Parameters!B$65,0.0001)</f>
        <v>0.14851951584721723</v>
      </c>
      <c r="G178" s="7">
        <f>MAX((1-Parameters!$B$4)^Parameters!B$65*G177+D177*Parameters!B$65-Parameters!$B$5*D177^2/G177*Parameters!B$65,0.0001)</f>
        <v>4.3878813983206806</v>
      </c>
      <c r="I178" s="7">
        <f>I177*(1+Parameters!$B$51)^Parameters!B$65</f>
        <v>13.505728252773002</v>
      </c>
      <c r="J178" s="7">
        <f>J177*(1+Parameters!$B$53)^Parameters!B$65</f>
        <v>283.01285160806128</v>
      </c>
      <c r="K178" s="7">
        <f>'6states'!$O$4</f>
        <v>0.98104277196026479</v>
      </c>
      <c r="L178" s="9">
        <f t="shared" si="35"/>
        <v>0.5</v>
      </c>
      <c r="N178" s="7">
        <f>(Parameters!$B$19*(E178+Parameters!$B$20)^L178+Parameters!$B$18*F178^L178)^(1/L178)</f>
        <v>0.53556412564335643</v>
      </c>
      <c r="O178" s="7">
        <f>(Parameters!$B$10*G178^Parameters!$B$9 + Parameters!$B$11*N178^Parameters!$B$9) ^ (Parameters!$B$7/Parameters!$B$9) * K178</f>
        <v>1.5070074803607449</v>
      </c>
      <c r="P178" s="7">
        <f t="shared" si="34"/>
        <v>1.1491125067456216</v>
      </c>
      <c r="Q178" s="7">
        <f>EXP(-Parameters!$B$55*A178)</f>
        <v>7.226611007706836E-2</v>
      </c>
      <c r="R178" s="7">
        <f>IF(P178&gt;0,P178^(1-Parameters!$B$52)/(1-Parameters!$B$52)*Q178,-10+P178*1000)</f>
        <v>-0.19667073502213875</v>
      </c>
      <c r="S178" s="7"/>
      <c r="T178" s="7"/>
      <c r="U178" s="7"/>
      <c r="V178" s="7"/>
    </row>
    <row r="179" spans="1:22" x14ac:dyDescent="0.25">
      <c r="A179">
        <f>A178+Parameters!$B$65</f>
        <v>175</v>
      </c>
      <c r="B179" s="9">
        <f t="shared" si="38"/>
        <v>5.191758263687303E-2</v>
      </c>
      <c r="C179" s="9">
        <f t="shared" si="38"/>
        <v>1.0017548050425843E-2</v>
      </c>
      <c r="D179" s="7">
        <f t="shared" si="38"/>
        <v>0.2959598429278244</v>
      </c>
      <c r="E179" s="7">
        <f>MAX((1-Parameters!$B$4)^Parameters!B$65*E178+B178*Parameters!B$65-Parameters!$B$5*B178^2/E178*Parameters!B$65,0.0001)</f>
        <v>0.7697266771323592</v>
      </c>
      <c r="F179" s="9">
        <f>MAX((1-Parameters!$B$4)^Parameters!B$65*F178+C178*Parameters!B$65-Parameters!$B$5*C178^2/F178*Parameters!B$65,0.0001)</f>
        <v>0.1485195090274378</v>
      </c>
      <c r="G179" s="7">
        <f>MAX((1-Parameters!$B$4)^Parameters!B$65*G178+D178*Parameters!B$65-Parameters!$B$5*D178^2/G178*Parameters!B$65,0.0001)</f>
        <v>4.3878811958728008</v>
      </c>
      <c r="I179" s="7">
        <f>I178*(1+Parameters!$B$51)^Parameters!B$65</f>
        <v>13.544894864706043</v>
      </c>
      <c r="J179" s="7">
        <f>J178*(1+Parameters!$B$53)^Parameters!B$65</f>
        <v>288.67310864022249</v>
      </c>
      <c r="K179" s="7">
        <f>'6states'!$O$4</f>
        <v>0.98104277196026479</v>
      </c>
      <c r="L179" s="9">
        <f t="shared" si="35"/>
        <v>0.5</v>
      </c>
      <c r="N179" s="7">
        <f>(Parameters!$B$19*(E179+Parameters!$B$20)^L179+Parameters!$B$18*F179^L179)^(1/L179)</f>
        <v>0.53556410099216067</v>
      </c>
      <c r="O179" s="7">
        <f>(Parameters!$B$10*G179^Parameters!$B$9 + Parameters!$B$11*N179^Parameters!$B$9) ^ (Parameters!$B$7/Parameters!$B$9) * K179</f>
        <v>1.5070074595103142</v>
      </c>
      <c r="P179" s="7">
        <f t="shared" si="34"/>
        <v>1.1491124858951909</v>
      </c>
      <c r="Q179" s="7">
        <f>EXP(-Parameters!$B$55*A179)</f>
        <v>7.1183089200741873E-2</v>
      </c>
      <c r="R179" s="7">
        <f>IF(P179&gt;0,P179^(1-Parameters!$B$52)/(1-Parameters!$B$52)*Q179,-10+P179*1000)</f>
        <v>-0.19372331717085178</v>
      </c>
      <c r="S179" s="7"/>
      <c r="T179" s="7"/>
      <c r="U179" s="7"/>
      <c r="V179" s="7"/>
    </row>
    <row r="180" spans="1:22" x14ac:dyDescent="0.25">
      <c r="A180">
        <f>A179+Parameters!$B$65</f>
        <v>176</v>
      </c>
      <c r="B180" s="9">
        <f t="shared" si="38"/>
        <v>5.191758263687303E-2</v>
      </c>
      <c r="C180" s="9">
        <f t="shared" si="38"/>
        <v>1.0017548050425843E-2</v>
      </c>
      <c r="D180" s="7">
        <f t="shared" si="38"/>
        <v>0.2959598429278244</v>
      </c>
      <c r="E180" s="7">
        <f>MAX((1-Parameters!$B$4)^Parameters!B$65*E179+B179*Parameters!B$65-Parameters!$B$5*B179^2/E179*Parameters!B$65,0.0001)</f>
        <v>0.76972664332152163</v>
      </c>
      <c r="F180" s="9">
        <f>MAX((1-Parameters!$B$4)^Parameters!B$65*F179+C179*Parameters!B$65-Parameters!$B$5*C179^2/F179*Parameters!B$65,0.0001)</f>
        <v>0.14851950260559643</v>
      </c>
      <c r="G180" s="7">
        <f>MAX((1-Parameters!$B$4)^Parameters!B$65*G179+D179*Parameters!B$65-Parameters!$B$5*D179^2/G179*Parameters!B$65,0.0001)</f>
        <v>4.3878810052378734</v>
      </c>
      <c r="I180" s="7">
        <f>I179*(1+Parameters!$B$51)^Parameters!B$65</f>
        <v>13.584175059813688</v>
      </c>
      <c r="J180" s="7">
        <f>J179*(1+Parameters!$B$53)^Parameters!B$65</f>
        <v>294.44657081302694</v>
      </c>
      <c r="K180" s="7">
        <f>'6states'!$O$4</f>
        <v>0.98104277196026479</v>
      </c>
      <c r="L180" s="9">
        <f t="shared" si="35"/>
        <v>0.5</v>
      </c>
      <c r="N180" s="7">
        <f>(Parameters!$B$19*(E180+Parameters!$B$20)^L180+Parameters!$B$18*F180^L180)^(1/L180)</f>
        <v>0.53556407777937609</v>
      </c>
      <c r="O180" s="7">
        <f>(Parameters!$B$10*G180^Parameters!$B$9 + Parameters!$B$11*N180^Parameters!$B$9) ^ (Parameters!$B$7/Parameters!$B$9) * K180</f>
        <v>1.5070074398765181</v>
      </c>
      <c r="P180" s="7">
        <f t="shared" si="34"/>
        <v>1.149112466261395</v>
      </c>
      <c r="Q180" s="7">
        <f>EXP(-Parameters!$B$55*A180)</f>
        <v>7.0116299088978581E-2</v>
      </c>
      <c r="R180" s="7">
        <f>IF(P180&gt;0,P180^(1-Parameters!$B$52)/(1-Parameters!$B$52)*Q180,-10+P180*1000)</f>
        <v>-0.19082007090453526</v>
      </c>
      <c r="S180" s="7"/>
      <c r="T180" s="7"/>
      <c r="U180" s="7"/>
      <c r="V180" s="7"/>
    </row>
    <row r="181" spans="1:22" x14ac:dyDescent="0.25">
      <c r="A181">
        <f>A180+Parameters!$B$65</f>
        <v>177</v>
      </c>
      <c r="B181" s="9">
        <f t="shared" si="38"/>
        <v>5.191758263687303E-2</v>
      </c>
      <c r="C181" s="9">
        <f t="shared" si="38"/>
        <v>1.0017548050425843E-2</v>
      </c>
      <c r="D181" s="7">
        <f t="shared" si="38"/>
        <v>0.2959598429278244</v>
      </c>
      <c r="E181" s="7">
        <f>MAX((1-Parameters!$B$4)^Parameters!B$65*E180+B180*Parameters!B$65-Parameters!$B$5*B180^2/E180*Parameters!B$65,0.0001)</f>
        <v>0.76972661148356614</v>
      </c>
      <c r="F181" s="9">
        <f>MAX((1-Parameters!$B$4)^Parameters!B$65*F180+C180*Parameters!B$65-Parameters!$B$5*C180^2/F180*Parameters!B$65,0.0001)</f>
        <v>0.14851949655847327</v>
      </c>
      <c r="G181" s="7">
        <f>MAX((1-Parameters!$B$4)^Parameters!B$65*G180+D180*Parameters!B$65-Parameters!$B$5*D180^2/G180*Parameters!B$65,0.0001)</f>
        <v>4.3878808257266053</v>
      </c>
      <c r="I181" s="7">
        <f>I180*(1+Parameters!$B$51)^Parameters!B$65</f>
        <v>13.623569167487148</v>
      </c>
      <c r="J181" s="7">
        <f>J180*(1+Parameters!$B$53)^Parameters!B$65</f>
        <v>300.3355022292875</v>
      </c>
      <c r="K181" s="7">
        <f>'6states'!$O$4</f>
        <v>0.98104277196026479</v>
      </c>
      <c r="L181" s="9">
        <f t="shared" si="35"/>
        <v>0.5</v>
      </c>
      <c r="N181" s="7">
        <f>(Parameters!$B$19*(E181+Parameters!$B$20)^L181+Parameters!$B$18*F181^L181)^(1/L181)</f>
        <v>0.53556405592107137</v>
      </c>
      <c r="O181" s="7">
        <f>(Parameters!$B$10*G181^Parameters!$B$9 + Parameters!$B$11*N181^Parameters!$B$9) ^ (Parameters!$B$7/Parameters!$B$9) * K181</f>
        <v>1.5070074213883644</v>
      </c>
      <c r="P181" s="7">
        <f t="shared" si="34"/>
        <v>1.1491124477732413</v>
      </c>
      <c r="Q181" s="7">
        <f>EXP(-Parameters!$B$55*A181)</f>
        <v>6.9065496498343315E-2</v>
      </c>
      <c r="R181" s="7">
        <f>IF(P181&gt;0,P181^(1-Parameters!$B$52)/(1-Parameters!$B$52)*Q181,-10+P181*1000)</f>
        <v>-0.18796033424924619</v>
      </c>
      <c r="S181" s="7"/>
      <c r="T181" s="7"/>
      <c r="U181" s="7"/>
      <c r="V181" s="7"/>
    </row>
    <row r="182" spans="1:22" x14ac:dyDescent="0.25">
      <c r="A182">
        <f>A181+Parameters!$B$65</f>
        <v>178</v>
      </c>
      <c r="B182" s="9">
        <f t="shared" si="38"/>
        <v>5.191758263687303E-2</v>
      </c>
      <c r="C182" s="9">
        <f t="shared" si="38"/>
        <v>1.0017548050425843E-2</v>
      </c>
      <c r="D182" s="7">
        <f t="shared" si="38"/>
        <v>0.2959598429278244</v>
      </c>
      <c r="E182" s="7">
        <f>MAX((1-Parameters!$B$4)^Parameters!B$65*E181+B181*Parameters!B$65-Parameters!$B$5*B181^2/E181*Parameters!B$65,0.0001)</f>
        <v>0.76972658150337381</v>
      </c>
      <c r="F182" s="9">
        <f>MAX((1-Parameters!$B$4)^Parameters!B$65*F181+C181*Parameters!B$65-Parameters!$B$5*C181^2/F181*Parameters!B$65,0.0001)</f>
        <v>0.14851949086420324</v>
      </c>
      <c r="G182" s="7">
        <f>MAX((1-Parameters!$B$4)^Parameters!B$65*G181+D181*Parameters!B$65-Parameters!$B$5*D181^2/G181*Parameters!B$65,0.0001)</f>
        <v>4.3878806566899238</v>
      </c>
      <c r="I182" s="7">
        <f>I181*(1+Parameters!$B$51)^Parameters!B$65</f>
        <v>13.663077518072859</v>
      </c>
      <c r="J182" s="7">
        <f>J181*(1+Parameters!$B$53)^Parameters!B$65</f>
        <v>306.34221227387326</v>
      </c>
      <c r="K182" s="7">
        <f>'6states'!$O$4</f>
        <v>0.98104277196026479</v>
      </c>
      <c r="L182" s="9">
        <f t="shared" si="35"/>
        <v>0.5</v>
      </c>
      <c r="N182" s="7">
        <f>(Parameters!$B$19*(E182+Parameters!$B$20)^L182+Parameters!$B$18*F182^L182)^(1/L182)</f>
        <v>0.5355640353382114</v>
      </c>
      <c r="O182" s="7">
        <f>(Parameters!$B$10*G182^Parameters!$B$9 + Parameters!$B$11*N182^Parameters!$B$9) ^ (Parameters!$B$7/Parameters!$B$9) * K182</f>
        <v>1.5070074039790049</v>
      </c>
      <c r="P182" s="7">
        <f t="shared" si="34"/>
        <v>1.1491124303638816</v>
      </c>
      <c r="Q182" s="7">
        <f>EXP(-Parameters!$B$55*A182)</f>
        <v>6.8030441830784896E-2</v>
      </c>
      <c r="R182" s="7">
        <f>IF(P182&gt;0,P182^(1-Parameters!$B$52)/(1-Parameters!$B$52)*Q182,-10+P182*1000)</f>
        <v>-0.18514345515129027</v>
      </c>
      <c r="S182" s="7"/>
      <c r="T182" s="7"/>
      <c r="U182" s="7"/>
      <c r="V182" s="7"/>
    </row>
    <row r="183" spans="1:22" x14ac:dyDescent="0.25">
      <c r="A183">
        <f>A182+Parameters!$B$65</f>
        <v>179</v>
      </c>
      <c r="B183" s="9">
        <f t="shared" si="38"/>
        <v>5.191758263687303E-2</v>
      </c>
      <c r="C183" s="9">
        <f t="shared" si="38"/>
        <v>1.0017548050425843E-2</v>
      </c>
      <c r="D183" s="7">
        <f t="shared" si="38"/>
        <v>0.2959598429278244</v>
      </c>
      <c r="E183" s="7">
        <f>MAX((1-Parameters!$B$4)^Parameters!B$65*E182+B182*Parameters!B$65-Parameters!$B$5*B182^2/E182*Parameters!B$65,0.0001)</f>
        <v>0.76972655327254313</v>
      </c>
      <c r="F183" s="9">
        <f>MAX((1-Parameters!$B$4)^Parameters!B$65*F182+C182*Parameters!B$65-Parameters!$B$5*C182^2/F182*Parameters!B$65,0.0001)</f>
        <v>0.14851948550219718</v>
      </c>
      <c r="G183" s="7">
        <f>MAX((1-Parameters!$B$4)^Parameters!B$65*G182+D182*Parameters!B$65-Parameters!$B$5*D182^2/G182*Parameters!B$65,0.0001)</f>
        <v>4.3878804975166306</v>
      </c>
      <c r="I183" s="7">
        <f>I182*(1+Parameters!$B$51)^Parameters!B$65</f>
        <v>13.702700442875269</v>
      </c>
      <c r="J183" s="7">
        <f>J182*(1+Parameters!$B$53)^Parameters!B$65</f>
        <v>312.46905651935072</v>
      </c>
      <c r="K183" s="7">
        <f>'6states'!$O$4</f>
        <v>0.98104277196026479</v>
      </c>
      <c r="L183" s="9">
        <f t="shared" si="35"/>
        <v>0.5</v>
      </c>
      <c r="N183" s="7">
        <f>(Parameters!$B$19*(E183+Parameters!$B$20)^L183+Parameters!$B$18*F183^L183)^(1/L183)</f>
        <v>0.53556401595637315</v>
      </c>
      <c r="O183" s="7">
        <f>(Parameters!$B$10*G183^Parameters!$B$9 + Parameters!$B$11*N183^Parameters!$B$9) ^ (Parameters!$B$7/Parameters!$B$9) * K183</f>
        <v>1.507007387585491</v>
      </c>
      <c r="P183" s="7">
        <f t="shared" si="34"/>
        <v>1.1491124139703679</v>
      </c>
      <c r="Q183" s="7">
        <f>EXP(-Parameters!$B$55*A183)</f>
        <v>6.701089907900426E-2</v>
      </c>
      <c r="R183" s="7">
        <f>IF(P183&gt;0,P183^(1-Parameters!$B$52)/(1-Parameters!$B$52)*Q183,-10+P183*1000)</f>
        <v>-0.18236879132858497</v>
      </c>
      <c r="S183" s="7"/>
      <c r="T183" s="7"/>
      <c r="U183" s="7"/>
      <c r="V183" s="7"/>
    </row>
    <row r="184" spans="1:22" x14ac:dyDescent="0.25">
      <c r="A184">
        <f>A183+Parameters!$B$65</f>
        <v>180</v>
      </c>
      <c r="B184" s="9">
        <f t="shared" si="38"/>
        <v>5.191758263687303E-2</v>
      </c>
      <c r="C184" s="9">
        <f t="shared" si="38"/>
        <v>1.0017548050425843E-2</v>
      </c>
      <c r="D184" s="7">
        <f t="shared" si="38"/>
        <v>0.2959598429278244</v>
      </c>
      <c r="E184" s="7">
        <f>MAX((1-Parameters!$B$4)^Parameters!B$65*E183+B183*Parameters!B$65-Parameters!$B$5*B183^2/E183*Parameters!B$65,0.0001)</f>
        <v>0.76972652668899777</v>
      </c>
      <c r="F184" s="9">
        <f>MAX((1-Parameters!$B$4)^Parameters!B$65*F183+C183*Parameters!B$65-Parameters!$B$5*C183^2/F183*Parameters!B$65,0.0001)</f>
        <v>0.14851948045306729</v>
      </c>
      <c r="G184" s="7">
        <f>MAX((1-Parameters!$B$4)^Parameters!B$65*G183+D183*Parameters!B$65-Parameters!$B$5*D183^2/G183*Parameters!B$65,0.0001)</f>
        <v>4.3878803476311914</v>
      </c>
      <c r="I184" s="7">
        <f>I183*(1+Parameters!$B$51)^Parameters!B$65</f>
        <v>13.742438274159605</v>
      </c>
      <c r="J184" s="7">
        <f>J183*(1+Parameters!$B$53)^Parameters!B$65</f>
        <v>318.71843764973772</v>
      </c>
      <c r="K184" s="7">
        <f>'6states'!$O$4</f>
        <v>0.98104277196026479</v>
      </c>
      <c r="L184" s="9">
        <f t="shared" si="35"/>
        <v>0.5</v>
      </c>
      <c r="N184" s="7">
        <f>(Parameters!$B$19*(E184+Parameters!$B$20)^L184+Parameters!$B$18*F184^L184)^(1/L184)</f>
        <v>0.53556399770547647</v>
      </c>
      <c r="O184" s="7">
        <f>(Parameters!$B$10*G184^Parameters!$B$9 + Parameters!$B$11*N184^Parameters!$B$9) ^ (Parameters!$B$7/Parameters!$B$9) * K184</f>
        <v>1.507007372148548</v>
      </c>
      <c r="P184" s="7">
        <f t="shared" si="34"/>
        <v>1.1491123985334246</v>
      </c>
      <c r="Q184" s="7">
        <f>EXP(-Parameters!$B$55*A184)</f>
        <v>6.6006635772641528E-2</v>
      </c>
      <c r="R184" s="7">
        <f>IF(P184&gt;0,P184^(1-Parameters!$B$52)/(1-Parameters!$B$52)*Q184,-10+P184*1000)</f>
        <v>-0.17963571012424848</v>
      </c>
      <c r="S184" s="7"/>
      <c r="T184" s="7"/>
      <c r="U184" s="7"/>
      <c r="V184" s="7"/>
    </row>
    <row r="185" spans="1:22" x14ac:dyDescent="0.25">
      <c r="A185">
        <f>A184+Parameters!$B$65</f>
        <v>181</v>
      </c>
      <c r="B185" s="9">
        <f t="shared" si="38"/>
        <v>5.191758263687303E-2</v>
      </c>
      <c r="C185" s="9">
        <f t="shared" si="38"/>
        <v>1.0017548050425843E-2</v>
      </c>
      <c r="D185" s="7">
        <f t="shared" si="38"/>
        <v>0.2959598429278244</v>
      </c>
      <c r="E185" s="7">
        <f>MAX((1-Parameters!$B$4)^Parameters!B$65*E184+B184*Parameters!B$65-Parameters!$B$5*B184^2/E184*Parameters!B$65,0.0001)</f>
        <v>0.76972650165661771</v>
      </c>
      <c r="F185" s="9">
        <f>MAX((1-Parameters!$B$4)^Parameters!B$65*F184+C184*Parameters!B$65-Parameters!$B$5*C184^2/F184*Parameters!B$65,0.0001)</f>
        <v>0.14851947569855703</v>
      </c>
      <c r="G185" s="7">
        <f>MAX((1-Parameters!$B$4)^Parameters!B$65*G184+D184*Parameters!B$65-Parameters!$B$5*D184^2/G184*Parameters!B$65,0.0001)</f>
        <v>4.3878802064916549</v>
      </c>
      <c r="I185" s="7">
        <f>I184*(1+Parameters!$B$51)^Parameters!B$65</f>
        <v>13.782291345154666</v>
      </c>
      <c r="J185" s="7">
        <f>J184*(1+Parameters!$B$53)^Parameters!B$65</f>
        <v>325.09280640273249</v>
      </c>
      <c r="K185" s="7">
        <f>'6states'!$O$4</f>
        <v>0.98104277196026479</v>
      </c>
      <c r="L185" s="9">
        <f t="shared" si="35"/>
        <v>0.5</v>
      </c>
      <c r="N185" s="7">
        <f>(Parameters!$B$19*(E185+Parameters!$B$20)^L185+Parameters!$B$18*F185^L185)^(1/L185)</f>
        <v>0.53556398051953003</v>
      </c>
      <c r="O185" s="7">
        <f>(Parameters!$B$10*G185^Parameters!$B$9 + Parameters!$B$11*N185^Parameters!$B$9) ^ (Parameters!$B$7/Parameters!$B$9) * K185</f>
        <v>1.5070073576123593</v>
      </c>
      <c r="P185" s="7">
        <f t="shared" si="34"/>
        <v>1.1491123839972359</v>
      </c>
      <c r="Q185" s="7">
        <f>EXP(-Parameters!$B$55*A185)</f>
        <v>6.5017422925269325E-2</v>
      </c>
      <c r="R185" s="7">
        <f>IF(P185&gt;0,P185^(1-Parameters!$B$52)/(1-Parameters!$B$52)*Q185,-10+P185*1000)</f>
        <v>-0.17694358836237992</v>
      </c>
      <c r="S185" s="7"/>
      <c r="T185" s="7"/>
      <c r="U185" s="7"/>
      <c r="V185" s="7"/>
    </row>
    <row r="186" spans="1:22" x14ac:dyDescent="0.25">
      <c r="A186">
        <f>A185+Parameters!$B$65</f>
        <v>182</v>
      </c>
      <c r="B186" s="9">
        <f t="shared" si="38"/>
        <v>5.191758263687303E-2</v>
      </c>
      <c r="C186" s="9">
        <f t="shared" si="38"/>
        <v>1.0017548050425843E-2</v>
      </c>
      <c r="D186" s="7">
        <f t="shared" si="38"/>
        <v>0.2959598429278244</v>
      </c>
      <c r="E186" s="7">
        <f>MAX((1-Parameters!$B$4)^Parameters!B$65*E185+B185*Parameters!B$65-Parameters!$B$5*B185^2/E185*Parameters!B$65,0.0001)</f>
        <v>0.76972647808489159</v>
      </c>
      <c r="F186" s="9">
        <f>MAX((1-Parameters!$B$4)^Parameters!B$65*F185+C185*Parameters!B$65-Parameters!$B$5*C185^2/F185*Parameters!B$65,0.0001)</f>
        <v>0.14851947122147521</v>
      </c>
      <c r="G186" s="7">
        <f>MAX((1-Parameters!$B$4)^Parameters!B$65*G185+D185*Parameters!B$65-Parameters!$B$5*D185^2/G185*Parameters!B$65,0.0001)</f>
        <v>4.3878800735876915</v>
      </c>
      <c r="I186" s="7">
        <f>I185*(1+Parameters!$B$51)^Parameters!B$65</f>
        <v>13.822259990055613</v>
      </c>
      <c r="J186" s="7">
        <f>J185*(1+Parameters!$B$53)^Parameters!B$65</f>
        <v>331.59466253078716</v>
      </c>
      <c r="K186" s="7">
        <f>'6states'!$O$4</f>
        <v>0.98104277196026479</v>
      </c>
      <c r="L186" s="9">
        <f t="shared" si="35"/>
        <v>0.5</v>
      </c>
      <c r="N186" s="7">
        <f>(Parameters!$B$19*(E186+Parameters!$B$20)^L186+Parameters!$B$18*F186^L186)^(1/L186)</f>
        <v>0.53556396433639375</v>
      </c>
      <c r="O186" s="7">
        <f>(Parameters!$B$10*G186^Parameters!$B$9 + Parameters!$B$11*N186^Parameters!$B$9) ^ (Parameters!$B$7/Parameters!$B$9) * K186</f>
        <v>1.5070073439243648</v>
      </c>
      <c r="P186" s="7">
        <f t="shared" si="34"/>
        <v>1.1491123703092416</v>
      </c>
      <c r="Q186" s="7">
        <f>EXP(-Parameters!$B$55*A186)</f>
        <v>6.4043034982180613E-2</v>
      </c>
      <c r="R186" s="7">
        <f>IF(P186&gt;0,P186^(1-Parameters!$B$52)/(1-Parameters!$B$52)*Q186,-10+P186*1000)</f>
        <v>-0.17429181220599896</v>
      </c>
      <c r="S186" s="7"/>
      <c r="T186" s="7"/>
      <c r="U186" s="7"/>
      <c r="V186" s="7"/>
    </row>
    <row r="187" spans="1:22" x14ac:dyDescent="0.25">
      <c r="A187">
        <f>A186+Parameters!$B$65</f>
        <v>183</v>
      </c>
      <c r="B187" s="9">
        <f t="shared" si="38"/>
        <v>5.191758263687303E-2</v>
      </c>
      <c r="C187" s="9">
        <f t="shared" si="38"/>
        <v>1.0017548050425843E-2</v>
      </c>
      <c r="D187" s="7">
        <f t="shared" si="38"/>
        <v>0.2959598429278244</v>
      </c>
      <c r="E187" s="7">
        <f>MAX((1-Parameters!$B$4)^Parameters!B$65*E186+B186*Parameters!B$65-Parameters!$B$5*B186^2/E186*Parameters!B$65,0.0001)</f>
        <v>0.76972645588858934</v>
      </c>
      <c r="F187" s="9">
        <f>MAX((1-Parameters!$B$4)^Parameters!B$65*F186+C186*Parameters!B$65-Parameters!$B$5*C186^2/F186*Parameters!B$65,0.0001)</f>
        <v>0.14851946700563373</v>
      </c>
      <c r="G187" s="7">
        <f>MAX((1-Parameters!$B$4)^Parameters!B$65*G186+D186*Parameters!B$65-Parameters!$B$5*D186^2/G186*Parameters!B$65,0.0001)</f>
        <v>4.3878799484387523</v>
      </c>
      <c r="I187" s="7">
        <f>I186*(1+Parameters!$B$51)^Parameters!B$65</f>
        <v>13.862344544026774</v>
      </c>
      <c r="J187" s="7">
        <f>J186*(1+Parameters!$B$53)^Parameters!B$65</f>
        <v>338.22655578140291</v>
      </c>
      <c r="K187" s="7">
        <f>'6states'!$O$4</f>
        <v>0.98104277196026479</v>
      </c>
      <c r="L187" s="9">
        <f t="shared" si="35"/>
        <v>0.5</v>
      </c>
      <c r="N187" s="7">
        <f>(Parameters!$B$19*(E187+Parameters!$B$20)^L187+Parameters!$B$18*F187^L187)^(1/L187)</f>
        <v>0.53556394909755278</v>
      </c>
      <c r="O187" s="7">
        <f>(Parameters!$B$10*G187^Parameters!$B$9 + Parameters!$B$11*N187^Parameters!$B$9) ^ (Parameters!$B$7/Parameters!$B$9) * K187</f>
        <v>1.5070073310350731</v>
      </c>
      <c r="P187" s="7">
        <f t="shared" si="34"/>
        <v>1.1491123574199498</v>
      </c>
      <c r="Q187" s="7">
        <f>EXP(-Parameters!$B$55*A187)</f>
        <v>6.3083249768959085E-2</v>
      </c>
      <c r="R187" s="7">
        <f>IF(P187&gt;0,P187^(1-Parameters!$B$52)/(1-Parameters!$B$52)*Q187,-10+P187*1000)</f>
        <v>-0.17167977701711304</v>
      </c>
      <c r="S187" s="7"/>
      <c r="T187" s="7"/>
      <c r="U187" s="7"/>
      <c r="V187" s="7"/>
    </row>
    <row r="188" spans="1:22" x14ac:dyDescent="0.25">
      <c r="A188">
        <f>A187+Parameters!$B$65</f>
        <v>184</v>
      </c>
      <c r="B188" s="9">
        <f t="shared" si="38"/>
        <v>5.191758263687303E-2</v>
      </c>
      <c r="C188" s="9">
        <f t="shared" si="38"/>
        <v>1.0017548050425843E-2</v>
      </c>
      <c r="D188" s="7">
        <f t="shared" si="38"/>
        <v>0.2959598429278244</v>
      </c>
      <c r="E188" s="7">
        <f>MAX((1-Parameters!$B$4)^Parameters!B$65*E187+B187*Parameters!B$65-Parameters!$B$5*B187^2/E187*Parameters!B$65,0.0001)</f>
        <v>0.76972643498745419</v>
      </c>
      <c r="F188" s="9">
        <f>MAX((1-Parameters!$B$4)^Parameters!B$65*F187+C187*Parameters!B$65-Parameters!$B$5*C187^2/F187*Parameters!B$65,0.0001)</f>
        <v>0.14851946303578906</v>
      </c>
      <c r="G188" s="7">
        <f>MAX((1-Parameters!$B$4)^Parameters!B$65*G187+D187*Parameters!B$65-Parameters!$B$5*D187^2/G187*Parameters!B$65,0.0001)</f>
        <v>4.3878798305923263</v>
      </c>
      <c r="I188" s="7">
        <f>I187*(1+Parameters!$B$51)^Parameters!B$65</f>
        <v>13.90254534320445</v>
      </c>
      <c r="J188" s="7">
        <f>J187*(1+Parameters!$B$53)^Parameters!B$65</f>
        <v>344.99108689703098</v>
      </c>
      <c r="K188" s="7">
        <f>'6states'!$O$4</f>
        <v>0.98104277196026479</v>
      </c>
      <c r="L188" s="9">
        <f t="shared" si="35"/>
        <v>0.5</v>
      </c>
      <c r="N188" s="7">
        <f>(Parameters!$B$19*(E188+Parameters!$B$20)^L188+Parameters!$B$18*F188^L188)^(1/L188)</f>
        <v>0.53556393474790687</v>
      </c>
      <c r="O188" s="7">
        <f>(Parameters!$B$10*G188^Parameters!$B$9 + Parameters!$B$11*N188^Parameters!$B$9) ^ (Parameters!$B$7/Parameters!$B$9) * K188</f>
        <v>1.5070073188978785</v>
      </c>
      <c r="P188" s="7">
        <f t="shared" si="34"/>
        <v>1.1491123452827554</v>
      </c>
      <c r="Q188" s="7">
        <f>EXP(-Parameters!$B$55*A188)</f>
        <v>6.2137848440820063E-2</v>
      </c>
      <c r="R188" s="7">
        <f>IF(P188&gt;0,P188^(1-Parameters!$B$52)/(1-Parameters!$B$52)*Q188,-10+P188*1000)</f>
        <v>-0.16910688721887887</v>
      </c>
      <c r="S188" s="7"/>
      <c r="T188" s="7"/>
      <c r="U188" s="7"/>
      <c r="V188" s="7"/>
    </row>
    <row r="189" spans="1:22" x14ac:dyDescent="0.25">
      <c r="A189">
        <f>A188+Parameters!$B$65</f>
        <v>185</v>
      </c>
      <c r="B189" s="9">
        <f t="shared" si="38"/>
        <v>5.191758263687303E-2</v>
      </c>
      <c r="C189" s="9">
        <f t="shared" si="38"/>
        <v>1.0017548050425843E-2</v>
      </c>
      <c r="D189" s="7">
        <f t="shared" si="38"/>
        <v>0.2959598429278244</v>
      </c>
      <c r="E189" s="7">
        <f>MAX((1-Parameters!$B$4)^Parameters!B$65*E188+B188*Parameters!B$65-Parameters!$B$5*B188^2/E188*Parameters!B$65,0.0001)</f>
        <v>0.76972641530591235</v>
      </c>
      <c r="F189" s="9">
        <f>MAX((1-Parameters!$B$4)^Parameters!B$65*F188+C188*Parameters!B$65-Parameters!$B$5*C188^2/F188*Parameters!B$65,0.0001)</f>
        <v>0.14851945929758711</v>
      </c>
      <c r="G189" s="7">
        <f>MAX((1-Parameters!$B$4)^Parameters!B$65*G188+D188*Parameters!B$65-Parameters!$B$5*D188^2/G188*Parameters!B$65,0.0001)</f>
        <v>4.3878797196223074</v>
      </c>
      <c r="I189" s="7">
        <f>I188*(1+Parameters!$B$51)^Parameters!B$65</f>
        <v>13.942862724699742</v>
      </c>
      <c r="J189" s="7">
        <f>J188*(1+Parameters!$B$53)^Parameters!B$65</f>
        <v>351.89090863497159</v>
      </c>
      <c r="K189" s="7">
        <f>'6states'!$O$4</f>
        <v>0.98104277196026479</v>
      </c>
      <c r="L189" s="9">
        <f t="shared" si="35"/>
        <v>0.5</v>
      </c>
      <c r="N189" s="7">
        <f>(Parameters!$B$19*(E189+Parameters!$B$20)^L189+Parameters!$B$18*F189^L189)^(1/L189)</f>
        <v>0.53556392123557139</v>
      </c>
      <c r="O189" s="7">
        <f>(Parameters!$B$10*G189^Parameters!$B$9 + Parameters!$B$11*N189^Parameters!$B$9) ^ (Parameters!$B$7/Parameters!$B$9) * K189</f>
        <v>1.5070073074688961</v>
      </c>
      <c r="P189" s="7">
        <f t="shared" si="34"/>
        <v>1.1491123338537728</v>
      </c>
      <c r="Q189" s="7">
        <f>EXP(-Parameters!$B$55*A189)</f>
        <v>6.1206615432710852E-2</v>
      </c>
      <c r="R189" s="7">
        <f>IF(P189&gt;0,P189^(1-Parameters!$B$52)/(1-Parameters!$B$52)*Q189,-10+P189*1000)</f>
        <v>-0.16657255615982883</v>
      </c>
      <c r="S189" s="7"/>
      <c r="T189" s="7"/>
      <c r="U189" s="7"/>
      <c r="V189" s="7"/>
    </row>
    <row r="190" spans="1:22" x14ac:dyDescent="0.25">
      <c r="A190">
        <f>A189+Parameters!$B$65</f>
        <v>186</v>
      </c>
      <c r="B190" s="9">
        <f t="shared" si="38"/>
        <v>5.191758263687303E-2</v>
      </c>
      <c r="C190" s="9">
        <f t="shared" si="38"/>
        <v>1.0017548050425843E-2</v>
      </c>
      <c r="D190" s="7">
        <f t="shared" si="38"/>
        <v>0.2959598429278244</v>
      </c>
      <c r="E190" s="7">
        <f>MAX((1-Parameters!$B$4)^Parameters!B$65*E189+B189*Parameters!B$65-Parameters!$B$5*B189^2/E189*Parameters!B$65,0.0001)</f>
        <v>0.76972639677279986</v>
      </c>
      <c r="F190" s="9">
        <f>MAX((1-Parameters!$B$4)^Parameters!B$65*F189+C189*Parameters!B$65-Parameters!$B$5*C189^2/F189*Parameters!B$65,0.0001)</f>
        <v>0.14851945577751138</v>
      </c>
      <c r="G190" s="7">
        <f>MAX((1-Parameters!$B$4)^Parameters!B$65*G189+D189*Parameters!B$65-Parameters!$B$5*D189^2/G189*Parameters!B$65,0.0001)</f>
        <v>4.3878796151274528</v>
      </c>
      <c r="I190" s="7">
        <f>I189*(1+Parameters!$B$51)^Parameters!B$65</f>
        <v>13.98329702660137</v>
      </c>
      <c r="J190" s="7">
        <f>J189*(1+Parameters!$B$53)^Parameters!B$65</f>
        <v>358.92872680767101</v>
      </c>
      <c r="K190" s="7">
        <f>'6states'!$O$4</f>
        <v>0.98104277196026479</v>
      </c>
      <c r="L190" s="9">
        <f t="shared" si="35"/>
        <v>0.5</v>
      </c>
      <c r="N190" s="7">
        <f>(Parameters!$B$19*(E190+Parameters!$B$20)^L190+Parameters!$B$18*F190^L190)^(1/L190)</f>
        <v>0.53556390851168834</v>
      </c>
      <c r="O190" s="7">
        <f>(Parameters!$B$10*G190^Parameters!$B$9 + Parameters!$B$11*N190^Parameters!$B$9) ^ (Parameters!$B$7/Parameters!$B$9) * K190</f>
        <v>1.5070072967068013</v>
      </c>
      <c r="P190" s="7">
        <f t="shared" si="34"/>
        <v>1.149112323091678</v>
      </c>
      <c r="Q190" s="7">
        <f>EXP(-Parameters!$B$55*A190)</f>
        <v>6.0289338410158787E-2</v>
      </c>
      <c r="R190" s="7">
        <f>IF(P190&gt;0,P190^(1-Parameters!$B$52)/(1-Parameters!$B$52)*Q190,-10+P190*1000)</f>
        <v>-0.16407620598013012</v>
      </c>
      <c r="S190" s="7"/>
      <c r="T190" s="7"/>
      <c r="U190" s="7"/>
      <c r="V190" s="7"/>
    </row>
    <row r="191" spans="1:22" x14ac:dyDescent="0.25">
      <c r="A191">
        <f>A190+Parameters!$B$65</f>
        <v>187</v>
      </c>
      <c r="B191" s="9">
        <f t="shared" si="38"/>
        <v>5.191758263687303E-2</v>
      </c>
      <c r="C191" s="9">
        <f t="shared" si="38"/>
        <v>1.0017548050425843E-2</v>
      </c>
      <c r="D191" s="7">
        <f t="shared" si="38"/>
        <v>0.2959598429278244</v>
      </c>
      <c r="E191" s="7">
        <f>MAX((1-Parameters!$B$4)^Parameters!B$65*E190+B190*Parameters!B$65-Parameters!$B$5*B190^2/E190*Parameters!B$65,0.0001)</f>
        <v>0.76972637932110521</v>
      </c>
      <c r="F191" s="9">
        <f>MAX((1-Parameters!$B$4)^Parameters!B$65*F190+C190*Parameters!B$65-Parameters!$B$5*C190^2/F190*Parameters!B$65,0.0001)</f>
        <v>0.14851945246283413</v>
      </c>
      <c r="G191" s="7">
        <f>MAX((1-Parameters!$B$4)^Parameters!B$65*G190+D190*Parameters!B$65-Parameters!$B$5*D190^2/G190*Parameters!B$65,0.0001)</f>
        <v>4.3878795167299334</v>
      </c>
      <c r="I191" s="7">
        <f>I190*(1+Parameters!$B$51)^Parameters!B$65</f>
        <v>14.023848587978513</v>
      </c>
      <c r="J191" s="7">
        <f>J190*(1+Parameters!$B$53)^Parameters!B$65</f>
        <v>366.10730134382442</v>
      </c>
      <c r="K191" s="7">
        <f>'6states'!$O$4</f>
        <v>0.98104277196026479</v>
      </c>
      <c r="L191" s="9">
        <f t="shared" si="35"/>
        <v>0.5</v>
      </c>
      <c r="N191" s="7">
        <f>(Parameters!$B$19*(E191+Parameters!$B$20)^L191+Parameters!$B$18*F191^L191)^(1/L191)</f>
        <v>0.53556389653025105</v>
      </c>
      <c r="O191" s="7">
        <f>(Parameters!$B$10*G191^Parameters!$B$9 + Parameters!$B$11*N191^Parameters!$B$9) ^ (Parameters!$B$7/Parameters!$B$9) * K191</f>
        <v>1.5070072865726805</v>
      </c>
      <c r="P191" s="7">
        <f t="shared" si="34"/>
        <v>1.1491123129575573</v>
      </c>
      <c r="Q191" s="7">
        <f>EXP(-Parameters!$B$55*A191)</f>
        <v>5.9385808220855908E-2</v>
      </c>
      <c r="R191" s="7">
        <f>IF(P191&gt;0,P191^(1-Parameters!$B$52)/(1-Parameters!$B$52)*Q191,-10+P191*1000)</f>
        <v>-0.16161726747984706</v>
      </c>
      <c r="S191" s="7"/>
      <c r="T191" s="7"/>
      <c r="U191" s="7"/>
      <c r="V191" s="7"/>
    </row>
    <row r="192" spans="1:22" x14ac:dyDescent="0.25">
      <c r="A192">
        <f>A191+Parameters!$B$65</f>
        <v>188</v>
      </c>
      <c r="B192" s="9">
        <f t="shared" ref="B192:D204" si="39">B191</f>
        <v>5.191758263687303E-2</v>
      </c>
      <c r="C192" s="9">
        <f t="shared" si="39"/>
        <v>1.0017548050425843E-2</v>
      </c>
      <c r="D192" s="7">
        <f t="shared" si="39"/>
        <v>0.2959598429278244</v>
      </c>
      <c r="E192" s="7">
        <f>MAX((1-Parameters!$B$4)^Parameters!B$65*E191+B191*Parameters!B$65-Parameters!$B$5*B191^2/E191*Parameters!B$65,0.0001)</f>
        <v>0.76972636288772711</v>
      </c>
      <c r="F192" s="9">
        <f>MAX((1-Parameters!$B$4)^Parameters!B$65*F191+C191*Parameters!B$65-Parameters!$B$5*C191^2/F191*Parameters!B$65,0.0001)</f>
        <v>0.14851944934157021</v>
      </c>
      <c r="G192" s="7">
        <f>MAX((1-Parameters!$B$4)^Parameters!B$65*G191+D191*Parameters!B$65-Parameters!$B$5*D191^2/G191*Parameters!B$65,0.0001)</f>
        <v>4.387879424073966</v>
      </c>
      <c r="I192" s="7">
        <f>I191*(1+Parameters!$B$51)^Parameters!B$65</f>
        <v>14.064517748883649</v>
      </c>
      <c r="J192" s="7">
        <f>J191*(1+Parameters!$B$53)^Parameters!B$65</f>
        <v>373.42944737070093</v>
      </c>
      <c r="K192" s="7">
        <f>'6states'!$O$4</f>
        <v>0.98104277196026479</v>
      </c>
      <c r="L192" s="9">
        <f t="shared" si="35"/>
        <v>0.5</v>
      </c>
      <c r="N192" s="7">
        <f>(Parameters!$B$19*(E192+Parameters!$B$20)^L192+Parameters!$B$18*F192^L192)^(1/L192)</f>
        <v>0.53556388524793785</v>
      </c>
      <c r="O192" s="7">
        <f>(Parameters!$B$10*G192^Parameters!$B$9 + Parameters!$B$11*N192^Parameters!$B$9) ^ (Parameters!$B$7/Parameters!$B$9) * K192</f>
        <v>1.5070072770298917</v>
      </c>
      <c r="P192" s="7">
        <f t="shared" si="34"/>
        <v>1.1491123034147686</v>
      </c>
      <c r="Q192" s="7">
        <f>EXP(-Parameters!$B$55*A192)</f>
        <v>5.8495818846969333E-2</v>
      </c>
      <c r="R192" s="7">
        <f>IF(P192&gt;0,P192^(1-Parameters!$B$52)/(1-Parameters!$B$52)*Q192,-10+P192*1000)</f>
        <v>-0.15919517998917607</v>
      </c>
      <c r="S192" s="7"/>
      <c r="T192" s="7"/>
      <c r="U192" s="7"/>
      <c r="V192" s="7"/>
    </row>
    <row r="193" spans="1:22" x14ac:dyDescent="0.25">
      <c r="A193">
        <f>A192+Parameters!$B$65</f>
        <v>189</v>
      </c>
      <c r="B193" s="9">
        <f t="shared" si="39"/>
        <v>5.191758263687303E-2</v>
      </c>
      <c r="C193" s="9">
        <f t="shared" si="39"/>
        <v>1.0017548050425843E-2</v>
      </c>
      <c r="D193" s="7">
        <f t="shared" si="39"/>
        <v>0.2959598429278244</v>
      </c>
      <c r="E193" s="7">
        <f>MAX((1-Parameters!$B$4)^Parameters!B$65*E192+B192*Parameters!B$65-Parameters!$B$5*B192^2/E192*Parameters!B$65,0.0001)</f>
        <v>0.76972634741324608</v>
      </c>
      <c r="F193" s="9">
        <f>MAX((1-Parameters!$B$4)^Parameters!B$65*F192+C192*Parameters!B$65-Parameters!$B$5*C192^2/F192*Parameters!B$65,0.0001)</f>
        <v>0.14851944640243386</v>
      </c>
      <c r="G193" s="7">
        <f>MAX((1-Parameters!$B$4)^Parameters!B$65*G192+D192*Parameters!B$65-Parameters!$B$5*D192^2/G192*Parameters!B$65,0.0001)</f>
        <v>4.3878793368245281</v>
      </c>
      <c r="I193" s="7">
        <f>I192*(1+Parameters!$B$51)^Parameters!B$65</f>
        <v>14.105304850355409</v>
      </c>
      <c r="J193" s="7">
        <f>J192*(1+Parameters!$B$53)^Parameters!B$65</f>
        <v>380.89803631811498</v>
      </c>
      <c r="K193" s="7">
        <f>'6states'!$O$4</f>
        <v>0.98104277196026479</v>
      </c>
      <c r="L193" s="9">
        <f t="shared" si="35"/>
        <v>0.5</v>
      </c>
      <c r="N193" s="7">
        <f>(Parameters!$B$19*(E193+Parameters!$B$20)^L193+Parameters!$B$18*F193^L193)^(1/L193)</f>
        <v>0.53556387462395405</v>
      </c>
      <c r="O193" s="7">
        <f>(Parameters!$B$10*G193^Parameters!$B$9 + Parameters!$B$11*N193^Parameters!$B$9) ^ (Parameters!$B$7/Parameters!$B$9) * K193</f>
        <v>1.5070072680439297</v>
      </c>
      <c r="P193" s="7">
        <f t="shared" si="34"/>
        <v>1.1491122944288064</v>
      </c>
      <c r="Q193" s="7">
        <f>EXP(-Parameters!$B$55*A193)</f>
        <v>5.7619167358166093E-2</v>
      </c>
      <c r="R193" s="7">
        <f>IF(P193&gt;0,P193^(1-Parameters!$B$52)/(1-Parameters!$B$52)*Q193,-10+P193*1000)</f>
        <v>-0.1568093912406244</v>
      </c>
      <c r="S193" s="7"/>
      <c r="T193" s="7"/>
      <c r="U193" s="7"/>
      <c r="V193" s="7"/>
    </row>
    <row r="194" spans="1:22" x14ac:dyDescent="0.25">
      <c r="A194">
        <f>A193+Parameters!$B$65</f>
        <v>190</v>
      </c>
      <c r="B194" s="9">
        <f t="shared" si="39"/>
        <v>5.191758263687303E-2</v>
      </c>
      <c r="C194" s="9">
        <f t="shared" si="39"/>
        <v>1.0017548050425843E-2</v>
      </c>
      <c r="D194" s="7">
        <f t="shared" si="39"/>
        <v>0.2959598429278244</v>
      </c>
      <c r="E194" s="7">
        <f>MAX((1-Parameters!$B$4)^Parameters!B$65*E193+B193*Parameters!B$65-Parameters!$B$5*B193^2/E193*Parameters!B$65,0.0001)</f>
        <v>0.76972633284170999</v>
      </c>
      <c r="F194" s="9">
        <f>MAX((1-Parameters!$B$4)^Parameters!B$65*F193+C193*Parameters!B$65-Parameters!$B$5*C193^2/F193*Parameters!B$65,0.0001)</f>
        <v>0.1485194436347978</v>
      </c>
      <c r="G194" s="7">
        <f>MAX((1-Parameters!$B$4)^Parameters!B$65*G193+D193*Parameters!B$65-Parameters!$B$5*D193^2/G193*Parameters!B$65,0.0001)</f>
        <v>4.3878792546661449</v>
      </c>
      <c r="I194" s="7">
        <f>I193*(1+Parameters!$B$51)^Parameters!B$65</f>
        <v>14.146210234421439</v>
      </c>
      <c r="J194" s="7">
        <f>J193*(1+Parameters!$B$53)^Parameters!B$65</f>
        <v>388.51599704447727</v>
      </c>
      <c r="K194" s="7">
        <f>'6states'!$O$4</f>
        <v>0.98104277196026479</v>
      </c>
      <c r="L194" s="9">
        <f t="shared" si="35"/>
        <v>0.5</v>
      </c>
      <c r="N194" s="7">
        <f>(Parameters!$B$19*(E194+Parameters!$B$20)^L194+Parameters!$B$18*F194^L194)^(1/L194)</f>
        <v>0.53556386461988592</v>
      </c>
      <c r="O194" s="7">
        <f>(Parameters!$B$10*G194^Parameters!$B$9 + Parameters!$B$11*N194^Parameters!$B$9) ^ (Parameters!$B$7/Parameters!$B$9) * K194</f>
        <v>1.5070072595823041</v>
      </c>
      <c r="P194" s="7">
        <f t="shared" si="34"/>
        <v>1.1491122859671807</v>
      </c>
      <c r="Q194" s="7">
        <f>EXP(-Parameters!$B$55*A194)</f>
        <v>5.6755653865342197E-2</v>
      </c>
      <c r="R194" s="7">
        <f>IF(P194&gt;0,P194^(1-Parameters!$B$52)/(1-Parameters!$B$52)*Q194,-10+P194*1000)</f>
        <v>-0.15445935724310289</v>
      </c>
      <c r="S194" s="7"/>
      <c r="T194" s="7"/>
      <c r="U194" s="7"/>
      <c r="V194" s="7"/>
    </row>
    <row r="195" spans="1:22" x14ac:dyDescent="0.25">
      <c r="A195">
        <f>A194+Parameters!$B$65</f>
        <v>191</v>
      </c>
      <c r="B195" s="9">
        <f t="shared" si="39"/>
        <v>5.191758263687303E-2</v>
      </c>
      <c r="C195" s="9">
        <f t="shared" si="39"/>
        <v>1.0017548050425843E-2</v>
      </c>
      <c r="D195" s="7">
        <f t="shared" si="39"/>
        <v>0.2959598429278244</v>
      </c>
      <c r="E195" s="7">
        <f>MAX((1-Parameters!$B$4)^Parameters!B$65*E194+B194*Parameters!B$65-Parameters!$B$5*B194^2/E194*Parameters!B$65,0.0001)</f>
        <v>0.76972631912043143</v>
      </c>
      <c r="F195" s="9">
        <f>MAX((1-Parameters!$B$4)^Parameters!B$65*F194+C194*Parameters!B$65-Parameters!$B$5*C194^2/F194*Parameters!B$65,0.0001)</f>
        <v>0.14851944102865491</v>
      </c>
      <c r="G195" s="7">
        <f>MAX((1-Parameters!$B$4)^Parameters!B$65*G194+D194*Parameters!B$65-Parameters!$B$5*D194^2/G194*Parameters!B$65,0.0001)</f>
        <v>4.3878791773017509</v>
      </c>
      <c r="I195" s="7">
        <f>I194*(1+Parameters!$B$51)^Parameters!B$65</f>
        <v>14.18723424410126</v>
      </c>
      <c r="J195" s="7">
        <f>J194*(1+Parameters!$B$53)^Parameters!B$65</f>
        <v>396.28631698536685</v>
      </c>
      <c r="K195" s="7">
        <f>'6states'!$O$4</f>
        <v>0.98104277196026479</v>
      </c>
      <c r="L195" s="9">
        <f t="shared" si="35"/>
        <v>0.5</v>
      </c>
      <c r="N195" s="7">
        <f>(Parameters!$B$19*(E195+Parameters!$B$20)^L195+Parameters!$B$18*F195^L195)^(1/L195)</f>
        <v>0.53556385519956096</v>
      </c>
      <c r="O195" s="7">
        <f>(Parameters!$B$10*G195^Parameters!$B$9 + Parameters!$B$11*N195^Parameters!$B$9) ^ (Parameters!$B$7/Parameters!$B$9) * K195</f>
        <v>1.5070072516144188</v>
      </c>
      <c r="P195" s="7">
        <f t="shared" si="34"/>
        <v>1.1491122779992957</v>
      </c>
      <c r="Q195" s="7">
        <f>EXP(-Parameters!$B$55*A195)</f>
        <v>5.5905081475045089E-2</v>
      </c>
      <c r="R195" s="7">
        <f>IF(P195&gt;0,P195^(1-Parameters!$B$52)/(1-Parameters!$B$52)*Q195,-10+P195*1000)</f>
        <v>-0.15214454215790538</v>
      </c>
      <c r="S195" s="7"/>
      <c r="T195" s="7"/>
      <c r="U195" s="7"/>
      <c r="V195" s="7"/>
    </row>
    <row r="196" spans="1:22" x14ac:dyDescent="0.25">
      <c r="A196">
        <f>A195+Parameters!$B$65</f>
        <v>192</v>
      </c>
      <c r="B196" s="9">
        <f t="shared" si="39"/>
        <v>5.191758263687303E-2</v>
      </c>
      <c r="C196" s="9">
        <f t="shared" si="39"/>
        <v>1.0017548050425843E-2</v>
      </c>
      <c r="D196" s="7">
        <f t="shared" si="39"/>
        <v>0.2959598429278244</v>
      </c>
      <c r="E196" s="7">
        <f>MAX((1-Parameters!$B$4)^Parameters!B$65*E195+B195*Parameters!B$65-Parameters!$B$5*B195^2/E195*Parameters!B$65,0.0001)</f>
        <v>0.76972630619979743</v>
      </c>
      <c r="F196" s="9">
        <f>MAX((1-Parameters!$B$4)^Parameters!B$65*F195+C195*Parameters!B$65-Parameters!$B$5*C195^2/F195*Parameters!B$65,0.0001)</f>
        <v>0.14851943857458194</v>
      </c>
      <c r="G196" s="7">
        <f>MAX((1-Parameters!$B$4)^Parameters!B$65*G195+D195*Parameters!B$65-Parameters!$B$5*D195^2/G195*Parameters!B$65,0.0001)</f>
        <v>4.3878791044516143</v>
      </c>
      <c r="I196" s="7">
        <f>I195*(1+Parameters!$B$51)^Parameters!B$65</f>
        <v>14.228377223409153</v>
      </c>
      <c r="J196" s="7">
        <f>J195*(1+Parameters!$B$53)^Parameters!B$65</f>
        <v>404.21204332507421</v>
      </c>
      <c r="K196" s="7">
        <f>'6states'!$O$4</f>
        <v>0.98104277196026479</v>
      </c>
      <c r="L196" s="9">
        <f t="shared" si="35"/>
        <v>0.5</v>
      </c>
      <c r="N196" s="7">
        <f>(Parameters!$B$19*(E196+Parameters!$B$20)^L196+Parameters!$B$18*F196^L196)^(1/L196)</f>
        <v>0.53556384632891729</v>
      </c>
      <c r="O196" s="7">
        <f>(Parameters!$B$10*G196^Parameters!$B$9 + Parameters!$B$11*N196^Parameters!$B$9) ^ (Parameters!$B$7/Parameters!$B$9) * K196</f>
        <v>1.5070072441114641</v>
      </c>
      <c r="P196" s="7">
        <f t="shared" ref="P196:P259" si="40">O196-B196-C196-D196</f>
        <v>1.149112270496341</v>
      </c>
      <c r="Q196" s="7">
        <f>EXP(-Parameters!$B$55*A196)</f>
        <v>5.5067256244579005E-2</v>
      </c>
      <c r="R196" s="7">
        <f>IF(P196&gt;0,P196^(1-Parameters!$B$52)/(1-Parameters!$B$52)*Q196,-10+P196*1000)</f>
        <v>-0.14986441817654461</v>
      </c>
      <c r="S196" s="7"/>
      <c r="T196" s="7"/>
      <c r="U196" s="7"/>
      <c r="V196" s="7"/>
    </row>
    <row r="197" spans="1:22" x14ac:dyDescent="0.25">
      <c r="A197">
        <f>A196+Parameters!$B$65</f>
        <v>193</v>
      </c>
      <c r="B197" s="9">
        <f t="shared" si="39"/>
        <v>5.191758263687303E-2</v>
      </c>
      <c r="C197" s="9">
        <f t="shared" si="39"/>
        <v>1.0017548050425843E-2</v>
      </c>
      <c r="D197" s="7">
        <f t="shared" si="39"/>
        <v>0.2959598429278244</v>
      </c>
      <c r="E197" s="7">
        <f>MAX((1-Parameters!$B$4)^Parameters!B$65*E196+B196*Parameters!B$65-Parameters!$B$5*B196^2/E196*Parameters!B$65,0.0001)</f>
        <v>0.7697262940330899</v>
      </c>
      <c r="F197" s="9">
        <f>MAX((1-Parameters!$B$4)^Parameters!B$65*F196+C196*Parameters!B$65-Parameters!$B$5*C196^2/F196*Parameters!B$65,0.0001)</f>
        <v>0.14851943626370556</v>
      </c>
      <c r="G197" s="7">
        <f>MAX((1-Parameters!$B$4)^Parameters!B$65*G196+D196*Parameters!B$65-Parameters!$B$5*D196^2/G196*Parameters!B$65,0.0001)</f>
        <v>4.3878790358523254</v>
      </c>
      <c r="I197" s="7">
        <f>I196*(1+Parameters!$B$51)^Parameters!B$65</f>
        <v>14.269639517357037</v>
      </c>
      <c r="J197" s="7">
        <f>J196*(1+Parameters!$B$53)^Parameters!B$65</f>
        <v>412.29628419157569</v>
      </c>
      <c r="K197" s="7">
        <f>'6states'!$O$4</f>
        <v>0.98104277196026479</v>
      </c>
      <c r="L197" s="9">
        <f t="shared" si="35"/>
        <v>0.5</v>
      </c>
      <c r="N197" s="7">
        <f>(Parameters!$B$19*(E197+Parameters!$B$20)^L197+Parameters!$B$18*F197^L197)^(1/L197)</f>
        <v>0.53556383797588081</v>
      </c>
      <c r="O197" s="7">
        <f>(Parameters!$B$10*G197^Parameters!$B$9 + Parameters!$B$11*N197^Parameters!$B$9) ^ (Parameters!$B$7/Parameters!$B$9) * K197</f>
        <v>1.5070072370463112</v>
      </c>
      <c r="P197" s="7">
        <f t="shared" si="40"/>
        <v>1.1491122634311881</v>
      </c>
      <c r="Q197" s="7">
        <f>EXP(-Parameters!$B$55*A197)</f>
        <v>5.4241987137783339E-2</v>
      </c>
      <c r="R197" s="7">
        <f>IF(P197&gt;0,P197^(1-Parameters!$B$52)/(1-Parameters!$B$52)*Q197,-10+P197*1000)</f>
        <v>-0.14761846540041904</v>
      </c>
      <c r="S197" s="7"/>
      <c r="T197" s="7"/>
      <c r="U197" s="7"/>
      <c r="V197" s="7"/>
    </row>
    <row r="198" spans="1:22" x14ac:dyDescent="0.25">
      <c r="A198">
        <f>A197+Parameters!$B$65</f>
        <v>194</v>
      </c>
      <c r="B198" s="9">
        <f t="shared" si="39"/>
        <v>5.191758263687303E-2</v>
      </c>
      <c r="C198" s="9">
        <f t="shared" si="39"/>
        <v>1.0017548050425843E-2</v>
      </c>
      <c r="D198" s="7">
        <f t="shared" si="39"/>
        <v>0.2959598429278244</v>
      </c>
      <c r="E198" s="7">
        <f>MAX((1-Parameters!$B$4)^Parameters!B$65*E197+B197*Parameters!B$65-Parameters!$B$5*B197^2/E197*Parameters!B$65,0.0001)</f>
        <v>0.7697262825763167</v>
      </c>
      <c r="F198" s="9">
        <f>MAX((1-Parameters!$B$4)^Parameters!B$65*F197+C197*Parameters!B$65-Parameters!$B$5*C197^2/F197*Parameters!B$65,0.0001)</f>
        <v>0.14851943408767015</v>
      </c>
      <c r="G198" s="7">
        <f>MAX((1-Parameters!$B$4)^Parameters!B$65*G197+D197*Parameters!B$65-Parameters!$B$5*D197^2/G197*Parameters!B$65,0.0001)</f>
        <v>4.3878789712558444</v>
      </c>
      <c r="I198" s="7">
        <f>I197*(1+Parameters!$B$51)^Parameters!B$65</f>
        <v>14.311021471957371</v>
      </c>
      <c r="J198" s="7">
        <f>J197*(1+Parameters!$B$53)^Parameters!B$65</f>
        <v>420.5422098754072</v>
      </c>
      <c r="K198" s="7">
        <f>'6states'!$O$4</f>
        <v>0.98104277196026479</v>
      </c>
      <c r="L198" s="9">
        <f t="shared" ref="L198:L204" si="41">L197</f>
        <v>0.5</v>
      </c>
      <c r="N198" s="7">
        <f>(Parameters!$B$19*(E198+Parameters!$B$20)^L198+Parameters!$B$18*F198^L198)^(1/L198)</f>
        <v>0.53556383011024877</v>
      </c>
      <c r="O198" s="7">
        <f>(Parameters!$B$10*G198^Parameters!$B$9 + Parameters!$B$11*N198^Parameters!$B$9) ^ (Parameters!$B$7/Parameters!$B$9) * K198</f>
        <v>1.5070072303934139</v>
      </c>
      <c r="P198" s="7">
        <f t="shared" si="40"/>
        <v>1.1491122567782908</v>
      </c>
      <c r="Q198" s="7">
        <f>EXP(-Parameters!$B$55*A198)</f>
        <v>5.3429085981473647E-2</v>
      </c>
      <c r="R198" s="7">
        <f>IF(P198&gt;0,P198^(1-Parameters!$B$52)/(1-Parameters!$B$52)*Q198,-10+P198*1000)</f>
        <v>-0.14540617172228165</v>
      </c>
      <c r="S198" s="7"/>
      <c r="T198" s="7"/>
      <c r="U198" s="7"/>
      <c r="V198" s="7"/>
    </row>
    <row r="199" spans="1:22" x14ac:dyDescent="0.25">
      <c r="A199">
        <f>A198+Parameters!$B$65</f>
        <v>195</v>
      </c>
      <c r="B199" s="9">
        <f t="shared" si="39"/>
        <v>5.191758263687303E-2</v>
      </c>
      <c r="C199" s="9">
        <f t="shared" si="39"/>
        <v>1.0017548050425843E-2</v>
      </c>
      <c r="D199" s="7">
        <f t="shared" si="39"/>
        <v>0.2959598429278244</v>
      </c>
      <c r="E199" s="7">
        <f>MAX((1-Parameters!$B$4)^Parameters!B$65*E198+B198*Parameters!B$65-Parameters!$B$5*B198^2/E198*Parameters!B$65,0.0001)</f>
        <v>0.76972627178805286</v>
      </c>
      <c r="F199" s="9">
        <f>MAX((1-Parameters!$B$4)^Parameters!B$65*F198+C198*Parameters!B$65-Parameters!$B$5*C198^2/F198*Parameters!B$65,0.0001)</f>
        <v>0.14851943203860768</v>
      </c>
      <c r="G199" s="7">
        <f>MAX((1-Parameters!$B$4)^Parameters!B$65*G198+D198*Parameters!B$65-Parameters!$B$5*D198^2/G198*Parameters!B$65,0.0001)</f>
        <v>4.387878910428606</v>
      </c>
      <c r="I199" s="7">
        <f>I198*(1+Parameters!$B$51)^Parameters!B$65</f>
        <v>14.352523434226047</v>
      </c>
      <c r="J199" s="7">
        <f>J198*(1+Parameters!$B$53)^Parameters!B$65</f>
        <v>428.95305407291534</v>
      </c>
      <c r="K199" s="7">
        <f>'6states'!$O$4</f>
        <v>0.98104277196026479</v>
      </c>
      <c r="L199" s="9">
        <f t="shared" si="41"/>
        <v>0.5</v>
      </c>
      <c r="N199" s="7">
        <f>(Parameters!$B$19*(E199+Parameters!$B$20)^L199+Parameters!$B$18*F199^L199)^(1/L199)</f>
        <v>0.53556382270358105</v>
      </c>
      <c r="O199" s="7">
        <f>(Parameters!$B$10*G199^Parameters!$B$9 + Parameters!$B$11*N199^Parameters!$B$9) ^ (Parameters!$B$7/Parameters!$B$9) * K199</f>
        <v>1.5070072241287171</v>
      </c>
      <c r="P199" s="7">
        <f t="shared" si="40"/>
        <v>1.149112250513594</v>
      </c>
      <c r="Q199" s="7">
        <f>EXP(-Parameters!$B$55*A199)</f>
        <v>5.2628367422535426E-2</v>
      </c>
      <c r="R199" s="7">
        <f>IF(P199&gt;0,P199^(1-Parameters!$B$52)/(1-Parameters!$B$52)*Q199,-10+P199*1000)</f>
        <v>-0.1432270327094845</v>
      </c>
      <c r="S199" s="7"/>
      <c r="T199" s="7"/>
      <c r="U199" s="7"/>
      <c r="V199" s="7"/>
    </row>
    <row r="200" spans="1:22" x14ac:dyDescent="0.25">
      <c r="A200">
        <f>A199+Parameters!$B$65</f>
        <v>196</v>
      </c>
      <c r="B200" s="9">
        <f t="shared" si="39"/>
        <v>5.191758263687303E-2</v>
      </c>
      <c r="C200" s="9">
        <f t="shared" si="39"/>
        <v>1.0017548050425843E-2</v>
      </c>
      <c r="D200" s="7">
        <f t="shared" si="39"/>
        <v>0.2959598429278244</v>
      </c>
      <c r="E200" s="7">
        <f>MAX((1-Parameters!$B$4)^Parameters!B$65*E199+B199*Parameters!B$65-Parameters!$B$5*B199^2/E199*Parameters!B$65,0.0001)</f>
        <v>0.76972626162929048</v>
      </c>
      <c r="F200" s="9">
        <f>MAX((1-Parameters!$B$4)^Parameters!B$65*F199+C199*Parameters!B$65-Parameters!$B$5*C199^2/F199*Parameters!B$65,0.0001)</f>
        <v>0.14851943010910917</v>
      </c>
      <c r="G200" s="7">
        <f>MAX((1-Parameters!$B$4)^Parameters!B$65*G199+D199*Parameters!B$65-Parameters!$B$5*D199^2/G199*Parameters!B$65,0.0001)</f>
        <v>4.3878788531506716</v>
      </c>
      <c r="I200" s="7">
        <f>I199*(1+Parameters!$B$51)^Parameters!B$65</f>
        <v>14.394145752185301</v>
      </c>
      <c r="J200" s="7">
        <f>J199*(1+Parameters!$B$53)^Parameters!B$65</f>
        <v>437.53211515437363</v>
      </c>
      <c r="K200" s="7">
        <f>'6states'!$O$4</f>
        <v>0.98104277196026479</v>
      </c>
      <c r="L200" s="9">
        <f t="shared" si="41"/>
        <v>0.5</v>
      </c>
      <c r="N200" s="7">
        <f>(Parameters!$B$19*(E200+Parameters!$B$20)^L200+Parameters!$B$18*F200^L200)^(1/L200)</f>
        <v>0.53556381572909662</v>
      </c>
      <c r="O200" s="7">
        <f>(Parameters!$B$10*G200^Parameters!$B$9 + Parameters!$B$11*N200^Parameters!$B$9) ^ (Parameters!$B$7/Parameters!$B$9) * K200</f>
        <v>1.5070072182295688</v>
      </c>
      <c r="P200" s="7">
        <f t="shared" si="40"/>
        <v>1.1491122446144457</v>
      </c>
      <c r="Q200" s="7">
        <f>EXP(-Parameters!$B$55*A200)</f>
        <v>5.1839648885661067E-2</v>
      </c>
      <c r="R200" s="7">
        <f>IF(P200&gt;0,P200^(1-Parameters!$B$52)/(1-Parameters!$B$52)*Q200,-10+P200*1000)</f>
        <v>-0.1410805514889725</v>
      </c>
      <c r="S200" s="7"/>
      <c r="T200" s="7"/>
      <c r="U200" s="7"/>
      <c r="V200" s="7"/>
    </row>
    <row r="201" spans="1:22" x14ac:dyDescent="0.25">
      <c r="A201">
        <f>A200+Parameters!$B$65</f>
        <v>197</v>
      </c>
      <c r="B201" s="9">
        <f t="shared" si="39"/>
        <v>5.191758263687303E-2</v>
      </c>
      <c r="C201" s="9">
        <f t="shared" si="39"/>
        <v>1.0017548050425843E-2</v>
      </c>
      <c r="D201" s="7">
        <f t="shared" si="39"/>
        <v>0.2959598429278244</v>
      </c>
      <c r="E201" s="7">
        <f>MAX((1-Parameters!$B$4)^Parameters!B$65*E200+B200*Parameters!B$65-Parameters!$B$5*B200^2/E200*Parameters!B$65,0.0001)</f>
        <v>0.7697262520632977</v>
      </c>
      <c r="F201" s="9">
        <f>MAX((1-Parameters!$B$4)^Parameters!B$65*F200+C200*Parameters!B$65-Parameters!$B$5*C200^2/F200*Parameters!B$65,0.0001)</f>
        <v>0.14851942829219802</v>
      </c>
      <c r="G201" s="7">
        <f>MAX((1-Parameters!$B$4)^Parameters!B$65*G200+D200*Parameters!B$65-Parameters!$B$5*D200^2/G200*Parameters!B$65,0.0001)</f>
        <v>4.3878787992149375</v>
      </c>
      <c r="I201" s="7">
        <f>I200*(1+Parameters!$B$51)^Parameters!B$65</f>
        <v>14.435888774866637</v>
      </c>
      <c r="J201" s="7">
        <f>J200*(1+Parameters!$B$53)^Parameters!B$65</f>
        <v>446.28275745746112</v>
      </c>
      <c r="K201" s="7">
        <f>'6states'!$O$4</f>
        <v>0.98104277196026479</v>
      </c>
      <c r="L201" s="9">
        <f t="shared" si="41"/>
        <v>0.5</v>
      </c>
      <c r="N201" s="7">
        <f>(Parameters!$B$19*(E201+Parameters!$B$20)^L201+Parameters!$B$18*F201^L201)^(1/L201)</f>
        <v>0.53556380916157731</v>
      </c>
      <c r="O201" s="7">
        <f>(Parameters!$B$10*G201^Parameters!$B$9 + Parameters!$B$11*N201^Parameters!$B$9) ^ (Parameters!$B$7/Parameters!$B$9) * K201</f>
        <v>1.507007212674639</v>
      </c>
      <c r="P201" s="7">
        <f t="shared" si="40"/>
        <v>1.1491122390595159</v>
      </c>
      <c r="Q201" s="7">
        <f>EXP(-Parameters!$B$55*A201)</f>
        <v>5.1062750531719887E-2</v>
      </c>
      <c r="R201" s="7">
        <f>IF(P201&gt;0,P201^(1-Parameters!$B$52)/(1-Parameters!$B$52)*Q201,-10+P201*1000)</f>
        <v>-0.13896623863399934</v>
      </c>
      <c r="S201" s="7"/>
      <c r="T201" s="7"/>
      <c r="U201" s="7"/>
      <c r="V201" s="7"/>
    </row>
    <row r="202" spans="1:22" x14ac:dyDescent="0.25">
      <c r="A202">
        <f>A201+Parameters!$B$65</f>
        <v>198</v>
      </c>
      <c r="B202" s="9">
        <f t="shared" si="39"/>
        <v>5.191758263687303E-2</v>
      </c>
      <c r="C202" s="9">
        <f t="shared" si="39"/>
        <v>1.0017548050425843E-2</v>
      </c>
      <c r="D202" s="7">
        <f t="shared" si="39"/>
        <v>0.2959598429278244</v>
      </c>
      <c r="E202" s="7">
        <f>MAX((1-Parameters!$B$4)^Parameters!B$65*E201+B201*Parameters!B$65-Parameters!$B$5*B201^2/E201*Parameters!B$65,0.0001)</f>
        <v>0.76972624305548609</v>
      </c>
      <c r="F202" s="9">
        <f>MAX((1-Parameters!$B$4)^Parameters!B$65*F201+C201*Parameters!B$65-Parameters!$B$5*C201^2/F201*Parameters!B$65,0.0001)</f>
        <v>0.14851942658130468</v>
      </c>
      <c r="G202" s="7">
        <f>MAX((1-Parameters!$B$4)^Parameters!B$65*G201+D201*Parameters!B$65-Parameters!$B$5*D201^2/G201*Parameters!B$65,0.0001)</f>
        <v>4.3878787484263855</v>
      </c>
      <c r="I202" s="7">
        <f>I201*(1+Parameters!$B$51)^Parameters!B$65</f>
        <v>14.477752852313749</v>
      </c>
      <c r="J202" s="7">
        <f>J201*(1+Parameters!$B$53)^Parameters!B$65</f>
        <v>455.20841260661035</v>
      </c>
      <c r="K202" s="7">
        <f>'6states'!$O$4</f>
        <v>0.98104277196026479</v>
      </c>
      <c r="L202" s="9">
        <f t="shared" si="41"/>
        <v>0.5</v>
      </c>
      <c r="N202" s="7">
        <f>(Parameters!$B$19*(E202+Parameters!$B$20)^L202+Parameters!$B$18*F202^L202)^(1/L202)</f>
        <v>0.53556380297727657</v>
      </c>
      <c r="O202" s="7">
        <f>(Parameters!$B$10*G202^Parameters!$B$9 + Parameters!$B$11*N202^Parameters!$B$9) ^ (Parameters!$B$7/Parameters!$B$9) * K202</f>
        <v>1.5070072074438432</v>
      </c>
      <c r="P202" s="7">
        <f t="shared" si="40"/>
        <v>1.1491122338287201</v>
      </c>
      <c r="Q202" s="7">
        <f>EXP(-Parameters!$B$55*A202)</f>
        <v>5.0297495216752343E-2</v>
      </c>
      <c r="R202" s="7">
        <f>IF(P202&gt;0,P202^(1-Parameters!$B$52)/(1-Parameters!$B$52)*Q202,-10+P202*1000)</f>
        <v>-0.13688361205254129</v>
      </c>
      <c r="S202" s="7"/>
      <c r="T202" s="7"/>
      <c r="U202" s="7"/>
      <c r="V202" s="7"/>
    </row>
    <row r="203" spans="1:22" x14ac:dyDescent="0.25">
      <c r="A203">
        <f>A202+Parameters!$B$65</f>
        <v>199</v>
      </c>
      <c r="B203" s="9">
        <f t="shared" si="39"/>
        <v>5.191758263687303E-2</v>
      </c>
      <c r="C203" s="9">
        <f t="shared" si="39"/>
        <v>1.0017548050425843E-2</v>
      </c>
      <c r="D203" s="7">
        <f t="shared" si="39"/>
        <v>0.2959598429278244</v>
      </c>
      <c r="E203" s="7">
        <f>MAX((1-Parameters!$B$4)^Parameters!B$65*E202+B202*Parameters!B$65-Parameters!$B$5*B202^2/E202*Parameters!B$65,0.0001)</f>
        <v>0.76972623457328548</v>
      </c>
      <c r="F203" s="9">
        <f>MAX((1-Parameters!$B$4)^Parameters!B$65*F202+C202*Parameters!B$65-Parameters!$B$5*C202^2/F202*Parameters!B$65,0.0001)</f>
        <v>0.14851942497024295</v>
      </c>
      <c r="G203" s="7">
        <f>MAX((1-Parameters!$B$4)^Parameters!B$65*G202+D202*Parameters!B$65-Parameters!$B$5*D202^2/G202*Parameters!B$65,0.0001)</f>
        <v>4.387878700601374</v>
      </c>
      <c r="I203" s="7">
        <f>I202*(1+Parameters!$B$51)^Parameters!B$65</f>
        <v>14.519738335585458</v>
      </c>
      <c r="J203" s="7">
        <f>J202*(1+Parameters!$B$53)^Parameters!B$65</f>
        <v>464.31258085874259</v>
      </c>
      <c r="K203" s="7">
        <f>'6states'!$O$4</f>
        <v>0.98104277196026479</v>
      </c>
      <c r="L203" s="9">
        <f t="shared" si="41"/>
        <v>0.5</v>
      </c>
      <c r="N203" s="7">
        <f>(Parameters!$B$19*(E203+Parameters!$B$20)^L203+Parameters!$B$18*F203^L203)^(1/L203)</f>
        <v>0.53556379715383329</v>
      </c>
      <c r="O203" s="7">
        <f>(Parameters!$B$10*G203^Parameters!$B$9 + Parameters!$B$11*N203^Parameters!$B$9) ^ (Parameters!$B$7/Parameters!$B$9) * K203</f>
        <v>1.5070072025182666</v>
      </c>
      <c r="P203" s="7">
        <f t="shared" si="40"/>
        <v>1.1491122289031432</v>
      </c>
      <c r="Q203" s="7">
        <f>EXP(-Parameters!$B$55*A203)</f>
        <v>4.9543708451578718E-2</v>
      </c>
      <c r="R203" s="7">
        <f>IF(P203&gt;0,P203^(1-Parameters!$B$52)/(1-Parameters!$B$52)*Q203,-10+P203*1000)</f>
        <v>-0.13483219687738274</v>
      </c>
      <c r="S203" s="7"/>
      <c r="T203" s="7"/>
      <c r="U203" s="7"/>
      <c r="V203" s="7"/>
    </row>
    <row r="204" spans="1:22" x14ac:dyDescent="0.25">
      <c r="A204">
        <f>A203+Parameters!$B$65</f>
        <v>200</v>
      </c>
      <c r="B204" s="9">
        <f t="shared" si="39"/>
        <v>5.191758263687303E-2</v>
      </c>
      <c r="C204" s="9">
        <f t="shared" si="39"/>
        <v>1.0017548050425843E-2</v>
      </c>
      <c r="D204" s="7">
        <f t="shared" si="39"/>
        <v>0.2959598429278244</v>
      </c>
      <c r="E204" s="7">
        <f>MAX((1-Parameters!$B$4)^Parameters!B$65*E203+B203*Parameters!B$65-Parameters!$B$5*B203^2/E203*Parameters!B$65,0.0001)</f>
        <v>0.76972622658602619</v>
      </c>
      <c r="F204" s="9">
        <f>MAX((1-Parameters!$B$4)^Parameters!B$65*F203+C203*Parameters!B$65-Parameters!$B$5*C203^2/F203*Parameters!B$65,0.0001)</f>
        <v>0.14851942345318761</v>
      </c>
      <c r="G204" s="7">
        <f>MAX((1-Parameters!$B$4)^Parameters!B$65*G203+D203*Parameters!B$65-Parameters!$B$5*D203^2/G203*Parameters!B$65,0.0001)</f>
        <v>4.38787865556698</v>
      </c>
      <c r="I204" s="7">
        <f>I203*(1+Parameters!$B$51)^Parameters!B$65</f>
        <v>14.561845576758655</v>
      </c>
      <c r="J204" s="7">
        <f>J203*(1+Parameters!$B$53)^Parameters!B$65</f>
        <v>473.59883247591745</v>
      </c>
      <c r="K204" s="7">
        <f>'6states'!$O$4</f>
        <v>0.98104277196026479</v>
      </c>
      <c r="L204" s="9">
        <f t="shared" si="41"/>
        <v>0.5</v>
      </c>
      <c r="N204" s="7">
        <f>(Parameters!$B$19*(E204+Parameters!$B$20)^L204+Parameters!$B$18*F204^L204)^(1/L204)</f>
        <v>0.53556379167019141</v>
      </c>
      <c r="O204" s="7">
        <f>(Parameters!$B$10*G204^Parameters!$B$9 + Parameters!$B$11*N204^Parameters!$B$9) ^ (Parameters!$B$7/Parameters!$B$9) * K204</f>
        <v>1.5070071978801005</v>
      </c>
      <c r="P204" s="7">
        <f t="shared" si="40"/>
        <v>1.1491122242649774</v>
      </c>
      <c r="Q204" s="7">
        <f>EXP(-Parameters!$B$55*A204)</f>
        <v>4.8801218362012941E-2</v>
      </c>
      <c r="R204" s="7">
        <f>IF(P204&gt;0,P204^(1-Parameters!$B$52)/(1-Parameters!$B$52)*Q204,-10+P204*1000)</f>
        <v>-0.13281152535784743</v>
      </c>
      <c r="S204" s="7"/>
      <c r="T204" s="7"/>
      <c r="U204" s="7"/>
      <c r="V204" s="7"/>
    </row>
    <row r="205" spans="1:22" x14ac:dyDescent="0.25">
      <c r="A205">
        <f>A204+Parameters!$B$65</f>
        <v>201</v>
      </c>
      <c r="B205" s="9">
        <f t="shared" ref="B205:D205" si="42">B204</f>
        <v>5.191758263687303E-2</v>
      </c>
      <c r="C205" s="9">
        <f t="shared" si="42"/>
        <v>1.0017548050425843E-2</v>
      </c>
      <c r="D205" s="7">
        <f t="shared" si="42"/>
        <v>0.2959598429278244</v>
      </c>
      <c r="E205" s="7">
        <f>MAX((1-Parameters!$B$4)^Parameters!B$65*E204+B204*Parameters!B$65-Parameters!$B$5*B204^2/E204*Parameters!B$65,0.0001)</f>
        <v>0.76972621906482819</v>
      </c>
      <c r="F205" s="9">
        <f>MAX((1-Parameters!$B$4)^Parameters!B$65*F204+C204*Parameters!B$65-Parameters!$B$5*C204^2/F204*Parameters!B$65,0.0001)</f>
        <v>0.14851942202465332</v>
      </c>
      <c r="G205" s="7">
        <f>MAX((1-Parameters!$B$4)^Parameters!B$65*G204+D204*Parameters!B$65-Parameters!$B$5*D204^2/G204*Parameters!B$65,0.0001)</f>
        <v>4.3878786131603684</v>
      </c>
      <c r="I205" s="7">
        <f>I204*(1+Parameters!$B$51)^Parameters!B$65</f>
        <v>14.604074928931254</v>
      </c>
      <c r="J205" s="7">
        <f>J204*(1+Parameters!$B$53)^Parameters!B$65</f>
        <v>483.0708091254358</v>
      </c>
      <c r="K205" s="7">
        <f>'6states'!$O$4</f>
        <v>0.98104277196026479</v>
      </c>
      <c r="L205" s="9">
        <f t="shared" ref="L205:L268" si="43">L204</f>
        <v>0.5</v>
      </c>
      <c r="N205" s="7">
        <f>(Parameters!$B$19*(E205+Parameters!$B$20)^L205+Parameters!$B$18*F205^L205)^(1/L205)</f>
        <v>0.53556378650652325</v>
      </c>
      <c r="O205" s="7">
        <f>(Parameters!$B$10*G205^Parameters!$B$9 + Parameters!$B$11*N205^Parameters!$B$9) ^ (Parameters!$B$7/Parameters!$B$9) * K205</f>
        <v>1.5070071935125737</v>
      </c>
      <c r="P205" s="7">
        <f t="shared" si="40"/>
        <v>1.1491122198974506</v>
      </c>
      <c r="Q205" s="7">
        <f>EXP(-Parameters!$B$55*A205)</f>
        <v>4.8069855649672907E-2</v>
      </c>
      <c r="R205" s="7">
        <f>IF(P205&gt;0,P205^(1-Parameters!$B$52)/(1-Parameters!$B$52)*Q205,-10+P205*1000)</f>
        <v>-0.13082113675315302</v>
      </c>
      <c r="S205" s="7"/>
      <c r="T205" s="7"/>
      <c r="U205" s="7"/>
      <c r="V205" s="7"/>
    </row>
    <row r="206" spans="1:22" x14ac:dyDescent="0.25">
      <c r="A206">
        <f>A205+Parameters!$B$65</f>
        <v>202</v>
      </c>
      <c r="B206" s="9">
        <f t="shared" ref="B206:D206" si="44">B205</f>
        <v>5.191758263687303E-2</v>
      </c>
      <c r="C206" s="9">
        <f t="shared" si="44"/>
        <v>1.0017548050425843E-2</v>
      </c>
      <c r="D206" s="7">
        <f t="shared" si="44"/>
        <v>0.2959598429278244</v>
      </c>
      <c r="E206" s="7">
        <f>MAX((1-Parameters!$B$4)^Parameters!B$65*E205+B205*Parameters!B$65-Parameters!$B$5*B205^2/E205*Parameters!B$65,0.0001)</f>
        <v>0.76972621198249636</v>
      </c>
      <c r="F206" s="9">
        <f>MAX((1-Parameters!$B$4)^Parameters!B$65*F205+C205*Parameters!B$65-Parameters!$B$5*C205^2/F205*Parameters!B$65,0.0001)</f>
        <v>0.14851942067947482</v>
      </c>
      <c r="G206" s="7">
        <f>MAX((1-Parameters!$B$4)^Parameters!B$65*G205+D205*Parameters!B$65-Parameters!$B$5*D205^2/G205*Parameters!B$65,0.0001)</f>
        <v>4.3878785732282077</v>
      </c>
      <c r="I206" s="7">
        <f>I205*(1+Parameters!$B$51)^Parameters!B$65</f>
        <v>14.646426746225153</v>
      </c>
      <c r="J206" s="7">
        <f>J205*(1+Parameters!$B$53)^Parameters!B$65</f>
        <v>492.73222530794453</v>
      </c>
      <c r="K206" s="7">
        <f>'6states'!$O$4</f>
        <v>0.98104277196026479</v>
      </c>
      <c r="L206" s="9">
        <f t="shared" si="43"/>
        <v>0.5</v>
      </c>
      <c r="N206" s="7">
        <f>(Parameters!$B$19*(E206+Parameters!$B$20)^L206+Parameters!$B$18*F206^L206)^(1/L206)</f>
        <v>0.53556378164415785</v>
      </c>
      <c r="O206" s="7">
        <f>(Parameters!$B$10*G206^Parameters!$B$9 + Parameters!$B$11*N206^Parameters!$B$9) ^ (Parameters!$B$7/Parameters!$B$9) * K206</f>
        <v>1.5070071893998951</v>
      </c>
      <c r="P206" s="7">
        <f t="shared" si="40"/>
        <v>1.149112215784772</v>
      </c>
      <c r="Q206" s="7">
        <f>EXP(-Parameters!$B$55*A206)</f>
        <v>4.7349453553378031E-2</v>
      </c>
      <c r="R206" s="7">
        <f>IF(P206&gt;0,P206^(1-Parameters!$B$52)/(1-Parameters!$B$52)*Q206,-10+P206*1000)</f>
        <v>-0.12886057722736258</v>
      </c>
      <c r="S206" s="7"/>
      <c r="T206" s="7"/>
      <c r="U206" s="7"/>
      <c r="V206" s="7"/>
    </row>
    <row r="207" spans="1:22" x14ac:dyDescent="0.25">
      <c r="A207">
        <f>A206+Parameters!$B$65</f>
        <v>203</v>
      </c>
      <c r="B207" s="9">
        <f t="shared" ref="B207:D207" si="45">B206</f>
        <v>5.191758263687303E-2</v>
      </c>
      <c r="C207" s="9">
        <f t="shared" si="45"/>
        <v>1.0017548050425843E-2</v>
      </c>
      <c r="D207" s="7">
        <f t="shared" si="45"/>
        <v>0.2959598429278244</v>
      </c>
      <c r="E207" s="7">
        <f>MAX((1-Parameters!$B$4)^Parameters!B$65*E206+B206*Parameters!B$65-Parameters!$B$5*B206^2/E206*Parameters!B$65,0.0001)</f>
        <v>0.76972620531342273</v>
      </c>
      <c r="F207" s="9">
        <f>MAX((1-Parameters!$B$4)^Parameters!B$65*F206+C206*Parameters!B$65-Parameters!$B$5*C206^2/F206*Parameters!B$65,0.0001)</f>
        <v>0.14851941941278826</v>
      </c>
      <c r="G207" s="7">
        <f>MAX((1-Parameters!$B$4)^Parameters!B$65*G206+D206*Parameters!B$65-Parameters!$B$5*D206^2/G206*Parameters!B$65,0.0001)</f>
        <v>4.3878785356261103</v>
      </c>
      <c r="I207" s="7">
        <f>I206*(1+Parameters!$B$51)^Parameters!B$65</f>
        <v>14.688901383789204</v>
      </c>
      <c r="J207" s="7">
        <f>J206*(1+Parameters!$B$53)^Parameters!B$65</f>
        <v>502.58686981410341</v>
      </c>
      <c r="K207" s="7">
        <f>'6states'!$O$4</f>
        <v>0.98104277196026479</v>
      </c>
      <c r="L207" s="9">
        <f t="shared" si="43"/>
        <v>0.5</v>
      </c>
      <c r="N207" s="7">
        <f>(Parameters!$B$19*(E207+Parameters!$B$20)^L207+Parameters!$B$18*F207^L207)^(1/L207)</f>
        <v>0.5355637770655145</v>
      </c>
      <c r="O207" s="7">
        <f>(Parameters!$B$10*G207^Parameters!$B$9 + Parameters!$B$11*N207^Parameters!$B$9) ^ (Parameters!$B$7/Parameters!$B$9) * K207</f>
        <v>1.5070071855271931</v>
      </c>
      <c r="P207" s="7">
        <f t="shared" si="40"/>
        <v>1.1491122119120698</v>
      </c>
      <c r="Q207" s="7">
        <f>EXP(-Parameters!$B$55*A207)</f>
        <v>4.6639847811125214E-2</v>
      </c>
      <c r="R207" s="7">
        <f>IF(P207&gt;0,P207^(1-Parameters!$B$52)/(1-Parameters!$B$52)*Q207,-10+P207*1000)</f>
        <v>-0.1269293997459103</v>
      </c>
      <c r="S207" s="7"/>
      <c r="T207" s="7"/>
      <c r="U207" s="7"/>
      <c r="V207" s="7"/>
    </row>
    <row r="208" spans="1:22" x14ac:dyDescent="0.25">
      <c r="A208">
        <f>A207+Parameters!$B$65</f>
        <v>204</v>
      </c>
      <c r="B208" s="9">
        <f t="shared" ref="B208:D208" si="46">B207</f>
        <v>5.191758263687303E-2</v>
      </c>
      <c r="C208" s="9">
        <f t="shared" si="46"/>
        <v>1.0017548050425843E-2</v>
      </c>
      <c r="D208" s="7">
        <f t="shared" si="46"/>
        <v>0.2959598429278244</v>
      </c>
      <c r="E208" s="7">
        <f>MAX((1-Parameters!$B$4)^Parameters!B$65*E207+B207*Parameters!B$65-Parameters!$B$5*B207^2/E207*Parameters!B$65,0.0001)</f>
        <v>0.76972619903349326</v>
      </c>
      <c r="F208" s="9">
        <f>MAX((1-Parameters!$B$4)^Parameters!B$65*F207+C207*Parameters!B$65-Parameters!$B$5*C207^2/F207*Parameters!B$65,0.0001)</f>
        <v>0.14851941822001358</v>
      </c>
      <c r="G208" s="7">
        <f>MAX((1-Parameters!$B$4)^Parameters!B$65*G207+D207*Parameters!B$65-Parameters!$B$5*D207^2/G207*Parameters!B$65,0.0001)</f>
        <v>4.3878785002181173</v>
      </c>
      <c r="I208" s="7">
        <f>I207*(1+Parameters!$B$51)^Parameters!B$65</f>
        <v>14.731499197802192</v>
      </c>
      <c r="J208" s="7">
        <f>J207*(1+Parameters!$B$53)^Parameters!B$65</f>
        <v>512.63860721038543</v>
      </c>
      <c r="K208" s="7">
        <f>'6states'!$O$4</f>
        <v>0.98104277196026479</v>
      </c>
      <c r="L208" s="9">
        <f t="shared" si="43"/>
        <v>0.5</v>
      </c>
      <c r="N208" s="7">
        <f>(Parameters!$B$19*(E208+Parameters!$B$20)^L208+Parameters!$B$18*F208^L208)^(1/L208)</f>
        <v>0.53556377275403744</v>
      </c>
      <c r="O208" s="7">
        <f>(Parameters!$B$10*G208^Parameters!$B$9 + Parameters!$B$11*N208^Parameters!$B$9) ^ (Parameters!$B$7/Parameters!$B$9) * K208</f>
        <v>1.5070071818804656</v>
      </c>
      <c r="P208" s="7">
        <f t="shared" si="40"/>
        <v>1.1491122082653424</v>
      </c>
      <c r="Q208" s="7">
        <f>EXP(-Parameters!$B$55*A208)</f>
        <v>4.5940876622634921E-2</v>
      </c>
      <c r="R208" s="7">
        <f>IF(P208&gt;0,P208^(1-Parameters!$B$52)/(1-Parameters!$B$52)*Q208,-10+P208*1000)</f>
        <v>-0.12502716397367761</v>
      </c>
      <c r="S208" s="7"/>
      <c r="T208" s="7"/>
      <c r="U208" s="7"/>
      <c r="V208" s="7"/>
    </row>
    <row r="209" spans="1:22" x14ac:dyDescent="0.25">
      <c r="A209">
        <f>A208+Parameters!$B$65</f>
        <v>205</v>
      </c>
      <c r="B209" s="9">
        <f t="shared" ref="B209:D209" si="47">B208</f>
        <v>5.191758263687303E-2</v>
      </c>
      <c r="C209" s="9">
        <f t="shared" si="47"/>
        <v>1.0017548050425843E-2</v>
      </c>
      <c r="D209" s="7">
        <f t="shared" si="47"/>
        <v>0.2959598429278244</v>
      </c>
      <c r="E209" s="7">
        <f>MAX((1-Parameters!$B$4)^Parameters!B$65*E208+B208*Parameters!B$65-Parameters!$B$5*B208^2/E208*Parameters!B$65,0.0001)</f>
        <v>0.76972619312000135</v>
      </c>
      <c r="F209" s="9">
        <f>MAX((1-Parameters!$B$4)^Parameters!B$65*F208+C208*Parameters!B$65-Parameters!$B$5*C208^2/F208*Parameters!B$65,0.0001)</f>
        <v>0.148519417096838</v>
      </c>
      <c r="G209" s="7">
        <f>MAX((1-Parameters!$B$4)^Parameters!B$65*G208+D208*Parameters!B$65-Parameters!$B$5*D208^2/G208*Parameters!B$65,0.0001)</f>
        <v>4.3878784668762014</v>
      </c>
      <c r="I209" s="7">
        <f>I208*(1+Parameters!$B$51)^Parameters!B$65</f>
        <v>14.774220545475817</v>
      </c>
      <c r="J209" s="7">
        <f>J208*(1+Parameters!$B$53)^Parameters!B$65</f>
        <v>522.89137935459314</v>
      </c>
      <c r="K209" s="7">
        <f>'6states'!$O$4</f>
        <v>0.98104277196026479</v>
      </c>
      <c r="L209" s="9">
        <f t="shared" si="43"/>
        <v>0.5</v>
      </c>
      <c r="N209" s="7">
        <f>(Parameters!$B$19*(E209+Parameters!$B$20)^L209+Parameters!$B$18*F209^L209)^(1/L209)</f>
        <v>0.53556376869413769</v>
      </c>
      <c r="O209" s="7">
        <f>(Parameters!$B$10*G209^Parameters!$B$9 + Parameters!$B$11*N209^Parameters!$B$9) ^ (Parameters!$B$7/Parameters!$B$9) * K209</f>
        <v>1.5070071784465271</v>
      </c>
      <c r="P209" s="7">
        <f t="shared" si="40"/>
        <v>1.149112204831404</v>
      </c>
      <c r="Q209" s="7">
        <f>EXP(-Parameters!$B$55*A209)</f>
        <v>4.5252380612458197E-2</v>
      </c>
      <c r="R209" s="7">
        <f>IF(P209&gt;0,P209^(1-Parameters!$B$52)/(1-Parameters!$B$52)*Q209,-10+P209*1000)</f>
        <v>-0.12315343617459598</v>
      </c>
      <c r="S209" s="7"/>
      <c r="T209" s="7"/>
      <c r="U209" s="7"/>
      <c r="V209" s="7"/>
    </row>
    <row r="210" spans="1:22" x14ac:dyDescent="0.25">
      <c r="A210">
        <f>A209+Parameters!$B$65</f>
        <v>206</v>
      </c>
      <c r="B210" s="9">
        <f t="shared" ref="B210:D210" si="48">B209</f>
        <v>5.191758263687303E-2</v>
      </c>
      <c r="C210" s="9">
        <f t="shared" si="48"/>
        <v>1.0017548050425843E-2</v>
      </c>
      <c r="D210" s="7">
        <f t="shared" si="48"/>
        <v>0.2959598429278244</v>
      </c>
      <c r="E210" s="7">
        <f>MAX((1-Parameters!$B$4)^Parameters!B$65*E209+B209*Parameters!B$65-Parameters!$B$5*B209^2/E209*Parameters!B$65,0.0001)</f>
        <v>0.76972618755156519</v>
      </c>
      <c r="F210" s="9">
        <f>MAX((1-Parameters!$B$4)^Parameters!B$65*F209+C209*Parameters!B$65-Parameters!$B$5*C209^2/F209*Parameters!B$65,0.0001)</f>
        <v>0.14851941603920035</v>
      </c>
      <c r="G210" s="7">
        <f>MAX((1-Parameters!$B$4)^Parameters!B$65*G209+D209*Parameters!B$65-Parameters!$B$5*D209^2/G209*Parameters!B$65,0.0001)</f>
        <v>4.3878784354798057</v>
      </c>
      <c r="I210" s="7">
        <f>I209*(1+Parameters!$B$51)^Parameters!B$65</f>
        <v>14.817065785057695</v>
      </c>
      <c r="J210" s="7">
        <f>J209*(1+Parameters!$B$53)^Parameters!B$65</f>
        <v>533.349206941685</v>
      </c>
      <c r="K210" s="7">
        <f>'6states'!$O$4</f>
        <v>0.98104277196026479</v>
      </c>
      <c r="L210" s="9">
        <f t="shared" si="43"/>
        <v>0.5</v>
      </c>
      <c r="N210" s="7">
        <f>(Parameters!$B$19*(E210+Parameters!$B$20)^L210+Parameters!$B$18*F210^L210)^(1/L210)</f>
        <v>0.53556376487113544</v>
      </c>
      <c r="O210" s="7">
        <f>(Parameters!$B$10*G210^Parameters!$B$9 + Parameters!$B$11*N210^Parameters!$B$9) ^ (Parameters!$B$7/Parameters!$B$9) * K210</f>
        <v>1.5070071752129606</v>
      </c>
      <c r="P210" s="7">
        <f t="shared" si="40"/>
        <v>1.1491122015978372</v>
      </c>
      <c r="Q210" s="7">
        <f>EXP(-Parameters!$B$55*A210)</f>
        <v>4.45742027936369E-2</v>
      </c>
      <c r="R210" s="7">
        <f>IF(P210&gt;0,P210^(1-Parameters!$B$52)/(1-Parameters!$B$52)*Q210,-10+P210*1000)</f>
        <v>-0.12130778911275442</v>
      </c>
      <c r="S210" s="7"/>
      <c r="T210" s="7"/>
      <c r="U210" s="7"/>
      <c r="V210" s="7"/>
    </row>
    <row r="211" spans="1:22" x14ac:dyDescent="0.25">
      <c r="A211">
        <f>A210+Parameters!$B$65</f>
        <v>207</v>
      </c>
      <c r="B211" s="9">
        <f t="shared" ref="B211:D211" si="49">B210</f>
        <v>5.191758263687303E-2</v>
      </c>
      <c r="C211" s="9">
        <f t="shared" si="49"/>
        <v>1.0017548050425843E-2</v>
      </c>
      <c r="D211" s="7">
        <f t="shared" si="49"/>
        <v>0.2959598429278244</v>
      </c>
      <c r="E211" s="7">
        <f>MAX((1-Parameters!$B$4)^Parameters!B$65*E210+B210*Parameters!B$65-Parameters!$B$5*B210^2/E210*Parameters!B$65,0.0001)</f>
        <v>0.76972618230805046</v>
      </c>
      <c r="F211" s="9">
        <f>MAX((1-Parameters!$B$4)^Parameters!B$65*F210+C210*Parameters!B$65-Parameters!$B$5*C210^2/F210*Parameters!B$65,0.0001)</f>
        <v>0.14851941504327648</v>
      </c>
      <c r="G211" s="7">
        <f>MAX((1-Parameters!$B$4)^Parameters!B$65*G210+D210*Parameters!B$65-Parameters!$B$5*D210^2/G210*Parameters!B$65,0.0001)</f>
        <v>4.3878784059154077</v>
      </c>
      <c r="I211" s="7">
        <f>I210*(1+Parameters!$B$51)^Parameters!B$65</f>
        <v>14.860035275834361</v>
      </c>
      <c r="J211" s="7">
        <f>J210*(1+Parameters!$B$53)^Parameters!B$65</f>
        <v>544.01619108051875</v>
      </c>
      <c r="K211" s="7">
        <f>'6states'!$O$4</f>
        <v>0.98104277196026479</v>
      </c>
      <c r="L211" s="9">
        <f t="shared" si="43"/>
        <v>0.5</v>
      </c>
      <c r="N211" s="7">
        <f>(Parameters!$B$19*(E211+Parameters!$B$20)^L211+Parameters!$B$18*F211^L211)^(1/L211)</f>
        <v>0.53556376127120753</v>
      </c>
      <c r="O211" s="7">
        <f>(Parameters!$B$10*G211^Parameters!$B$9 + Parameters!$B$11*N211^Parameters!$B$9) ^ (Parameters!$B$7/Parameters!$B$9) * K211</f>
        <v>1.5070071721680744</v>
      </c>
      <c r="P211" s="7">
        <f t="shared" si="40"/>
        <v>1.1491121985529511</v>
      </c>
      <c r="Q211" s="7">
        <f>EXP(-Parameters!$B$55*A211)</f>
        <v>4.3906188531908454E-2</v>
      </c>
      <c r="R211" s="7">
        <f>IF(P211&gt;0,P211^(1-Parameters!$B$52)/(1-Parameters!$B$52)*Q211,-10+P211*1000)</f>
        <v>-0.11948980195498878</v>
      </c>
      <c r="S211" s="7"/>
      <c r="T211" s="7"/>
      <c r="U211" s="7"/>
      <c r="V211" s="7"/>
    </row>
    <row r="212" spans="1:22" x14ac:dyDescent="0.25">
      <c r="A212">
        <f>A211+Parameters!$B$65</f>
        <v>208</v>
      </c>
      <c r="B212" s="9">
        <f t="shared" ref="B212:D212" si="50">B211</f>
        <v>5.191758263687303E-2</v>
      </c>
      <c r="C212" s="9">
        <f t="shared" si="50"/>
        <v>1.0017548050425843E-2</v>
      </c>
      <c r="D212" s="7">
        <f t="shared" si="50"/>
        <v>0.2959598429278244</v>
      </c>
      <c r="E212" s="7">
        <f>MAX((1-Parameters!$B$4)^Parameters!B$65*E211+B211*Parameters!B$65-Parameters!$B$5*B211^2/E211*Parameters!B$65,0.0001)</f>
        <v>0.76972617737049775</v>
      </c>
      <c r="F212" s="9">
        <f>MAX((1-Parameters!$B$4)^Parameters!B$65*F211+C211*Parameters!B$65-Parameters!$B$5*C211^2/F211*Parameters!B$65,0.0001)</f>
        <v>0.14851941410546535</v>
      </c>
      <c r="G212" s="7">
        <f>MAX((1-Parameters!$B$4)^Parameters!B$65*G211+D211*Parameters!B$65-Parameters!$B$5*D211^2/G211*Parameters!B$65,0.0001)</f>
        <v>4.3878783780761097</v>
      </c>
      <c r="I212" s="7">
        <f>I211*(1+Parameters!$B$51)^Parameters!B$65</f>
        <v>14.903129378134279</v>
      </c>
      <c r="J212" s="7">
        <f>J211*(1+Parameters!$B$53)^Parameters!B$65</f>
        <v>554.89651490212918</v>
      </c>
      <c r="K212" s="7">
        <f>'6states'!$O$4</f>
        <v>0.98104277196026479</v>
      </c>
      <c r="L212" s="9">
        <f t="shared" si="43"/>
        <v>0.5</v>
      </c>
      <c r="N212" s="7">
        <f>(Parameters!$B$19*(E212+Parameters!$B$20)^L212+Parameters!$B$18*F212^L212)^(1/L212)</f>
        <v>0.53556375788133748</v>
      </c>
      <c r="O212" s="7">
        <f>(Parameters!$B$10*G212^Parameters!$B$9 + Parameters!$B$11*N212^Parameters!$B$9) ^ (Parameters!$B$7/Parameters!$B$9) * K212</f>
        <v>1.5070071693008595</v>
      </c>
      <c r="P212" s="7">
        <f t="shared" si="40"/>
        <v>1.1491121956857362</v>
      </c>
      <c r="Q212" s="7">
        <f>EXP(-Parameters!$B$55*A212)</f>
        <v>4.3248185510446908E-2</v>
      </c>
      <c r="R212" s="7">
        <f>IF(P212&gt;0,P212^(1-Parameters!$B$52)/(1-Parameters!$B$52)*Q212,-10+P212*1000)</f>
        <v>-0.11769906017492984</v>
      </c>
      <c r="S212" s="7"/>
      <c r="T212" s="7"/>
      <c r="U212" s="7"/>
      <c r="V212" s="7"/>
    </row>
    <row r="213" spans="1:22" x14ac:dyDescent="0.25">
      <c r="A213">
        <f>A212+Parameters!$B$65</f>
        <v>209</v>
      </c>
      <c r="B213" s="9">
        <f t="shared" ref="B213:D213" si="51">B212</f>
        <v>5.191758263687303E-2</v>
      </c>
      <c r="C213" s="9">
        <f t="shared" si="51"/>
        <v>1.0017548050425843E-2</v>
      </c>
      <c r="D213" s="7">
        <f t="shared" si="51"/>
        <v>0.2959598429278244</v>
      </c>
      <c r="E213" s="7">
        <f>MAX((1-Parameters!$B$4)^Parameters!B$65*E212+B212*Parameters!B$65-Parameters!$B$5*B212^2/E212*Parameters!B$65,0.0001)</f>
        <v>0.76972617272105415</v>
      </c>
      <c r="F213" s="9">
        <f>MAX((1-Parameters!$B$4)^Parameters!B$65*F212+C212*Parameters!B$65-Parameters!$B$5*C212^2/F212*Parameters!B$65,0.0001)</f>
        <v>0.14851941322237605</v>
      </c>
      <c r="G213" s="7">
        <f>MAX((1-Parameters!$B$4)^Parameters!B$65*G212+D212*Parameters!B$65-Parameters!$B$5*D212^2/G212*Parameters!B$65,0.0001)</f>
        <v>4.3878783518612501</v>
      </c>
      <c r="I213" s="7">
        <f>I212*(1+Parameters!$B$51)^Parameters!B$65</f>
        <v>14.946348453330867</v>
      </c>
      <c r="J213" s="7">
        <f>J212*(1+Parameters!$B$53)^Parameters!B$65</f>
        <v>565.99444520017175</v>
      </c>
      <c r="K213" s="7">
        <f>'6states'!$O$4</f>
        <v>0.98104277196026479</v>
      </c>
      <c r="L213" s="9">
        <f t="shared" si="43"/>
        <v>0.5</v>
      </c>
      <c r="N213" s="7">
        <f>(Parameters!$B$19*(E213+Parameters!$B$20)^L213+Parameters!$B$18*F213^L213)^(1/L213)</f>
        <v>0.53556375468926831</v>
      </c>
      <c r="O213" s="7">
        <f>(Parameters!$B$10*G213^Parameters!$B$9 + Parameters!$B$11*N213^Parameters!$B$9) ^ (Parameters!$B$7/Parameters!$B$9) * K213</f>
        <v>1.5070071666009477</v>
      </c>
      <c r="P213" s="7">
        <f t="shared" si="40"/>
        <v>1.1491121929858243</v>
      </c>
      <c r="Q213" s="7">
        <f>EXP(-Parameters!$B$55*A213)</f>
        <v>4.2600043695132594E-2</v>
      </c>
      <c r="R213" s="7">
        <f>IF(P213&gt;0,P213^(1-Parameters!$B$52)/(1-Parameters!$B$52)*Q213,-10+P213*1000)</f>
        <v>-0.11593515545849026</v>
      </c>
      <c r="S213" s="7"/>
      <c r="T213" s="7"/>
      <c r="U213" s="7"/>
      <c r="V213" s="7"/>
    </row>
    <row r="214" spans="1:22" x14ac:dyDescent="0.25">
      <c r="A214">
        <f>A213+Parameters!$B$65</f>
        <v>210</v>
      </c>
      <c r="B214" s="9">
        <f t="shared" ref="B214:D214" si="52">B213</f>
        <v>5.191758263687303E-2</v>
      </c>
      <c r="C214" s="9">
        <f t="shared" si="52"/>
        <v>1.0017548050425843E-2</v>
      </c>
      <c r="D214" s="7">
        <f t="shared" si="52"/>
        <v>0.2959598429278244</v>
      </c>
      <c r="E214" s="7">
        <f>MAX((1-Parameters!$B$4)^Parameters!B$65*E213+B213*Parameters!B$65-Parameters!$B$5*B213^2/E213*Parameters!B$65,0.0001)</f>
        <v>0.76972616834290819</v>
      </c>
      <c r="F214" s="9">
        <f>MAX((1-Parameters!$B$4)^Parameters!B$65*F213+C213*Parameters!B$65-Parameters!$B$5*C213^2/F213*Parameters!B$65,0.0001)</f>
        <v>0.14851941239081551</v>
      </c>
      <c r="G214" s="7">
        <f>MAX((1-Parameters!$B$4)^Parameters!B$65*G213+D213*Parameters!B$65-Parameters!$B$5*D213^2/G213*Parameters!B$65,0.0001)</f>
        <v>4.3878783271760433</v>
      </c>
      <c r="I214" s="7">
        <f>I213*(1+Parameters!$B$51)^Parameters!B$65</f>
        <v>14.989692863845525</v>
      </c>
      <c r="J214" s="7">
        <f>J213*(1+Parameters!$B$53)^Parameters!B$65</f>
        <v>577.31433410417515</v>
      </c>
      <c r="K214" s="7">
        <f>'6states'!$O$4</f>
        <v>0.98104277196026479</v>
      </c>
      <c r="L214" s="9">
        <f t="shared" si="43"/>
        <v>0.5</v>
      </c>
      <c r="N214" s="7">
        <f>(Parameters!$B$19*(E214+Parameters!$B$20)^L214+Parameters!$B$18*F214^L214)^(1/L214)</f>
        <v>0.53556375168345816</v>
      </c>
      <c r="O214" s="7">
        <f>(Parameters!$B$10*G214^Parameters!$B$9 + Parameters!$B$11*N214^Parameters!$B$9) ^ (Parameters!$B$7/Parameters!$B$9) * K214</f>
        <v>1.5070071640585778</v>
      </c>
      <c r="P214" s="7">
        <f t="shared" si="40"/>
        <v>1.1491121904434545</v>
      </c>
      <c r="Q214" s="7">
        <f>EXP(-Parameters!$B$55*A214)</f>
        <v>4.1961615300342196E-2</v>
      </c>
      <c r="R214" s="7">
        <f>IF(P214&gt;0,P214^(1-Parameters!$B$52)/(1-Parameters!$B$52)*Q214,-10+P214*1000)</f>
        <v>-0.11419768561076669</v>
      </c>
      <c r="S214" s="7"/>
      <c r="T214" s="7"/>
      <c r="U214" s="7"/>
      <c r="V214" s="7"/>
    </row>
    <row r="215" spans="1:22" x14ac:dyDescent="0.25">
      <c r="A215">
        <f>A214+Parameters!$B$65</f>
        <v>211</v>
      </c>
      <c r="B215" s="9">
        <f t="shared" ref="B215:D215" si="53">B214</f>
        <v>5.191758263687303E-2</v>
      </c>
      <c r="C215" s="9">
        <f t="shared" si="53"/>
        <v>1.0017548050425843E-2</v>
      </c>
      <c r="D215" s="7">
        <f t="shared" si="53"/>
        <v>0.2959598429278244</v>
      </c>
      <c r="E215" s="7">
        <f>MAX((1-Parameters!$B$4)^Parameters!B$65*E214+B214*Parameters!B$65-Parameters!$B$5*B214^2/E214*Parameters!B$65,0.0001)</f>
        <v>0.76972616422022966</v>
      </c>
      <c r="F215" s="9">
        <f>MAX((1-Parameters!$B$4)^Parameters!B$65*F214+C214*Parameters!B$65-Parameters!$B$5*C214^2/F214*Parameters!B$65,0.0001)</f>
        <v>0.14851941160777701</v>
      </c>
      <c r="G215" s="7">
        <f>MAX((1-Parameters!$B$4)^Parameters!B$65*G214+D214*Parameters!B$65-Parameters!$B$5*D214^2/G214*Parameters!B$65,0.0001)</f>
        <v>4.3878783039312319</v>
      </c>
      <c r="I215" s="7">
        <f>I214*(1+Parameters!$B$51)^Parameters!B$65</f>
        <v>15.033162973150676</v>
      </c>
      <c r="J215" s="7">
        <f>J214*(1+Parameters!$B$53)^Parameters!B$65</f>
        <v>588.86062078625866</v>
      </c>
      <c r="K215" s="7">
        <f>'6states'!$O$4</f>
        <v>0.98104277196026479</v>
      </c>
      <c r="L215" s="9">
        <f t="shared" si="43"/>
        <v>0.5</v>
      </c>
      <c r="N215" s="7">
        <f>(Parameters!$B$19*(E215+Parameters!$B$20)^L215+Parameters!$B$18*F215^L215)^(1/L215)</f>
        <v>0.53556374885303881</v>
      </c>
      <c r="O215" s="7">
        <f>(Parameters!$B$10*G215^Parameters!$B$9 + Parameters!$B$11*N215^Parameters!$B$9) ^ (Parameters!$B$7/Parameters!$B$9) * K215</f>
        <v>1.5070071616645564</v>
      </c>
      <c r="P215" s="7">
        <f t="shared" si="40"/>
        <v>1.149112188049433</v>
      </c>
      <c r="Q215" s="7">
        <f>EXP(-Parameters!$B$55*A215)</f>
        <v>4.1332754755251451E-2</v>
      </c>
      <c r="R215" s="7">
        <f>IF(P215&gt;0,P215^(1-Parameters!$B$52)/(1-Parameters!$B$52)*Q215,-10+P215*1000)</f>
        <v>-0.11248625446433738</v>
      </c>
      <c r="S215" s="7"/>
      <c r="T215" s="7"/>
      <c r="U215" s="7"/>
      <c r="V215" s="7"/>
    </row>
    <row r="216" spans="1:22" x14ac:dyDescent="0.25">
      <c r="A216">
        <f>A215+Parameters!$B$65</f>
        <v>212</v>
      </c>
      <c r="B216" s="9">
        <f t="shared" ref="B216:D216" si="54">B215</f>
        <v>5.191758263687303E-2</v>
      </c>
      <c r="C216" s="9">
        <f t="shared" si="54"/>
        <v>1.0017548050425843E-2</v>
      </c>
      <c r="D216" s="7">
        <f t="shared" si="54"/>
        <v>0.2959598429278244</v>
      </c>
      <c r="E216" s="7">
        <f>MAX((1-Parameters!$B$4)^Parameters!B$65*E215+B215*Parameters!B$65-Parameters!$B$5*B215^2/E215*Parameters!B$65,0.0001)</f>
        <v>0.7697261603381117</v>
      </c>
      <c r="F216" s="9">
        <f>MAX((1-Parameters!$B$4)^Parameters!B$65*F215+C215*Parameters!B$65-Parameters!$B$5*C215^2/F215*Parameters!B$65,0.0001)</f>
        <v>0.14851941087042925</v>
      </c>
      <c r="G216" s="7">
        <f>MAX((1-Parameters!$B$4)^Parameters!B$65*G215+D215*Parameters!B$65-Parameters!$B$5*D215^2/G215*Parameters!B$65,0.0001)</f>
        <v>4.3878782820427693</v>
      </c>
      <c r="I216" s="7">
        <f>I215*(1+Parameters!$B$51)^Parameters!B$65</f>
        <v>15.076759145772812</v>
      </c>
      <c r="J216" s="7">
        <f>J215*(1+Parameters!$B$53)^Parameters!B$65</f>
        <v>600.63783320198388</v>
      </c>
      <c r="K216" s="7">
        <f>'6states'!$O$4</f>
        <v>0.98104277196026479</v>
      </c>
      <c r="L216" s="9">
        <f t="shared" si="43"/>
        <v>0.5</v>
      </c>
      <c r="N216" s="7">
        <f>(Parameters!$B$19*(E216+Parameters!$B$20)^L216+Parameters!$B$18*F216^L216)^(1/L216)</f>
        <v>0.53556374618777614</v>
      </c>
      <c r="O216" s="7">
        <f>(Parameters!$B$10*G216^Parameters!$B$9 + Parameters!$B$11*N216^Parameters!$B$9) ^ (Parameters!$B$7/Parameters!$B$9) * K216</f>
        <v>1.5070071594102277</v>
      </c>
      <c r="P216" s="7">
        <f t="shared" si="40"/>
        <v>1.1491121857951043</v>
      </c>
      <c r="Q216" s="7">
        <f>EXP(-Parameters!$B$55*A216)</f>
        <v>4.0713318670643026E-2</v>
      </c>
      <c r="R216" s="7">
        <f>IF(P216&gt;0,P216^(1-Parameters!$B$52)/(1-Parameters!$B$52)*Q216,-10+P216*1000)</f>
        <v>-0.11080047178893386</v>
      </c>
      <c r="S216" s="7"/>
      <c r="T216" s="7"/>
      <c r="U216" s="7"/>
      <c r="V216" s="7"/>
    </row>
    <row r="217" spans="1:22" x14ac:dyDescent="0.25">
      <c r="A217">
        <f>A216+Parameters!$B$65</f>
        <v>213</v>
      </c>
      <c r="B217" s="9">
        <f t="shared" ref="B217:D217" si="55">B216</f>
        <v>5.191758263687303E-2</v>
      </c>
      <c r="C217" s="9">
        <f t="shared" si="55"/>
        <v>1.0017548050425843E-2</v>
      </c>
      <c r="D217" s="7">
        <f t="shared" si="55"/>
        <v>0.2959598429278244</v>
      </c>
      <c r="E217" s="7">
        <f>MAX((1-Parameters!$B$4)^Parameters!B$65*E216+B216*Parameters!B$65-Parameters!$B$5*B216^2/E216*Parameters!B$65,0.0001)</f>
        <v>0.76972615668251754</v>
      </c>
      <c r="F217" s="9">
        <f>MAX((1-Parameters!$B$4)^Parameters!B$65*F216+C216*Parameters!B$65-Parameters!$B$5*C216^2/F216*Parameters!B$65,0.0001)</f>
        <v>0.14851941017610615</v>
      </c>
      <c r="G217" s="7">
        <f>MAX((1-Parameters!$B$4)^Parameters!B$65*G216+D216*Parameters!B$65-Parameters!$B$5*D216^2/G216*Parameters!B$65,0.0001)</f>
        <v>4.3878782614315108</v>
      </c>
      <c r="I217" s="7">
        <f>I216*(1+Parameters!$B$51)^Parameters!B$65</f>
        <v>15.120481747295552</v>
      </c>
      <c r="J217" s="7">
        <f>J216*(1+Parameters!$B$53)^Parameters!B$65</f>
        <v>612.65058986602355</v>
      </c>
      <c r="K217" s="7">
        <f>'6states'!$O$4</f>
        <v>0.98104277196026479</v>
      </c>
      <c r="L217" s="9">
        <f t="shared" si="43"/>
        <v>0.5</v>
      </c>
      <c r="N217" s="7">
        <f>(Parameters!$B$19*(E217+Parameters!$B$20)^L217+Parameters!$B$18*F217^L217)^(1/L217)</f>
        <v>0.53556374367803294</v>
      </c>
      <c r="O217" s="7">
        <f>(Parameters!$B$10*G217^Parameters!$B$9 + Parameters!$B$11*N217^Parameters!$B$9) ^ (Parameters!$B$7/Parameters!$B$9) * K217</f>
        <v>1.5070071572874399</v>
      </c>
      <c r="P217" s="7">
        <f t="shared" si="40"/>
        <v>1.1491121836723166</v>
      </c>
      <c r="Q217" s="7">
        <f>EXP(-Parameters!$B$55*A217)</f>
        <v>4.0103165806211608E-2</v>
      </c>
      <c r="R217" s="7">
        <f>IF(P217&gt;0,P217^(1-Parameters!$B$52)/(1-Parameters!$B$52)*Q217,-10+P217*1000)</f>
        <v>-0.10913995320246601</v>
      </c>
      <c r="S217" s="7"/>
      <c r="T217" s="7"/>
      <c r="U217" s="7"/>
      <c r="V217" s="7"/>
    </row>
    <row r="218" spans="1:22" x14ac:dyDescent="0.25">
      <c r="A218">
        <f>A217+Parameters!$B$65</f>
        <v>214</v>
      </c>
      <c r="B218" s="9">
        <f t="shared" ref="B218:D218" si="56">B217</f>
        <v>5.191758263687303E-2</v>
      </c>
      <c r="C218" s="9">
        <f t="shared" si="56"/>
        <v>1.0017548050425843E-2</v>
      </c>
      <c r="D218" s="7">
        <f t="shared" si="56"/>
        <v>0.2959598429278244</v>
      </c>
      <c r="E218" s="7">
        <f>MAX((1-Parameters!$B$4)^Parameters!B$65*E217+B217*Parameters!B$65-Parameters!$B$5*B217^2/E217*Parameters!B$65,0.0001)</f>
        <v>0.76972615324022942</v>
      </c>
      <c r="F218" s="9">
        <f>MAX((1-Parameters!$B$4)^Parameters!B$65*F217+C217*Parameters!B$65-Parameters!$B$5*C217^2/F217*Parameters!B$65,0.0001)</f>
        <v>0.1485194095222972</v>
      </c>
      <c r="G218" s="7">
        <f>MAX((1-Parameters!$B$4)^Parameters!B$65*G217+D217*Parameters!B$65-Parameters!$B$5*D217^2/G217*Parameters!B$65,0.0001)</f>
        <v>4.3878782420229312</v>
      </c>
      <c r="I218" s="7">
        <f>I217*(1+Parameters!$B$51)^Parameters!B$65</f>
        <v>15.164331144362707</v>
      </c>
      <c r="J218" s="7">
        <f>J217*(1+Parameters!$B$53)^Parameters!B$65</f>
        <v>624.90360166334403</v>
      </c>
      <c r="K218" s="7">
        <f>'6states'!$O$4</f>
        <v>0.98104277196026479</v>
      </c>
      <c r="L218" s="9">
        <f t="shared" si="43"/>
        <v>0.5</v>
      </c>
      <c r="N218" s="7">
        <f>(Parameters!$B$19*(E218+Parameters!$B$20)^L218+Parameters!$B$18*F218^L218)^(1/L218)</f>
        <v>0.53556374131473483</v>
      </c>
      <c r="O218" s="7">
        <f>(Parameters!$B$10*G218^Parameters!$B$9 + Parameters!$B$11*N218^Parameters!$B$9) ^ (Parameters!$B$7/Parameters!$B$9) * K218</f>
        <v>1.5070071552885185</v>
      </c>
      <c r="P218" s="7">
        <f t="shared" si="40"/>
        <v>1.1491121816733951</v>
      </c>
      <c r="Q218" s="7">
        <f>EXP(-Parameters!$B$55*A218)</f>
        <v>3.9502157038359118E-2</v>
      </c>
      <c r="R218" s="7">
        <f>IF(P218&gt;0,P218^(1-Parameters!$B$52)/(1-Parameters!$B$52)*Q218,-10+P218*1000)</f>
        <v>-0.10750432008338009</v>
      </c>
      <c r="S218" s="7"/>
      <c r="T218" s="7"/>
      <c r="U218" s="7"/>
      <c r="V218" s="7"/>
    </row>
    <row r="219" spans="1:22" x14ac:dyDescent="0.25">
      <c r="A219">
        <f>A218+Parameters!$B$65</f>
        <v>215</v>
      </c>
      <c r="B219" s="9">
        <f t="shared" ref="B219:D219" si="57">B218</f>
        <v>5.191758263687303E-2</v>
      </c>
      <c r="C219" s="9">
        <f t="shared" si="57"/>
        <v>1.0017548050425843E-2</v>
      </c>
      <c r="D219" s="7">
        <f t="shared" si="57"/>
        <v>0.2959598429278244</v>
      </c>
      <c r="E219" s="7">
        <f>MAX((1-Parameters!$B$4)^Parameters!B$65*E218+B218*Parameters!B$65-Parameters!$B$5*B218^2/E218*Parameters!B$65,0.0001)</f>
        <v>0.76972614999880073</v>
      </c>
      <c r="F219" s="9">
        <f>MAX((1-Parameters!$B$4)^Parameters!B$65*F218+C218*Parameters!B$65-Parameters!$B$5*C218^2/F218*Parameters!B$65,0.0001)</f>
        <v>0.14851940890663837</v>
      </c>
      <c r="G219" s="7">
        <f>MAX((1-Parameters!$B$4)^Parameters!B$65*G218+D218*Parameters!B$65-Parameters!$B$5*D218^2/G218*Parameters!B$65,0.0001)</f>
        <v>4.3878782237468528</v>
      </c>
      <c r="I219" s="7">
        <f>I218*(1+Parameters!$B$51)^Parameters!B$65</f>
        <v>15.208307704681358</v>
      </c>
      <c r="J219" s="7">
        <f>J218*(1+Parameters!$B$53)^Parameters!B$65</f>
        <v>637.40167369661094</v>
      </c>
      <c r="K219" s="7">
        <f>'6states'!$O$4</f>
        <v>0.98104277196026479</v>
      </c>
      <c r="L219" s="9">
        <f t="shared" si="43"/>
        <v>0.5</v>
      </c>
      <c r="N219" s="7">
        <f>(Parameters!$B$19*(E219+Parameters!$B$20)^L219+Parameters!$B$18*F219^L219)^(1/L219)</f>
        <v>0.53556373908933619</v>
      </c>
      <c r="O219" s="7">
        <f>(Parameters!$B$10*G219^Parameters!$B$9 + Parameters!$B$11*N219^Parameters!$B$9) ^ (Parameters!$B$7/Parameters!$B$9) * K219</f>
        <v>1.507007153406235</v>
      </c>
      <c r="P219" s="7">
        <f t="shared" si="40"/>
        <v>1.1491121797911119</v>
      </c>
      <c r="Q219" s="7">
        <f>EXP(-Parameters!$B$55*A219)</f>
        <v>3.8910155328472619E-2</v>
      </c>
      <c r="R219" s="7">
        <f>IF(P219&gt;0,P219^(1-Parameters!$B$52)/(1-Parameters!$B$52)*Q219,-10+P219*1000)</f>
        <v>-0.10589319948433085</v>
      </c>
      <c r="S219" s="7"/>
      <c r="T219" s="7"/>
      <c r="U219" s="7"/>
      <c r="V219" s="7"/>
    </row>
    <row r="220" spans="1:22" x14ac:dyDescent="0.25">
      <c r="A220">
        <f>A219+Parameters!$B$65</f>
        <v>216</v>
      </c>
      <c r="B220" s="9">
        <f t="shared" ref="B220:D220" si="58">B219</f>
        <v>5.191758263687303E-2</v>
      </c>
      <c r="C220" s="9">
        <f t="shared" si="58"/>
        <v>1.0017548050425843E-2</v>
      </c>
      <c r="D220" s="7">
        <f t="shared" si="58"/>
        <v>0.2959598429278244</v>
      </c>
      <c r="E220" s="7">
        <f>MAX((1-Parameters!$B$4)^Parameters!B$65*E219+B219*Parameters!B$65-Parameters!$B$5*B219^2/E219*Parameters!B$65,0.0001)</f>
        <v>0.76972614694651142</v>
      </c>
      <c r="F220" s="9">
        <f>MAX((1-Parameters!$B$4)^Parameters!B$65*F219+C219*Parameters!B$65-Parameters!$B$5*C219^2/F219*Parameters!B$65,0.0001)</f>
        <v>0.14851940832690361</v>
      </c>
      <c r="G220" s="7">
        <f>MAX((1-Parameters!$B$4)^Parameters!B$65*G219+D219*Parameters!B$65-Parameters!$B$5*D219^2/G219*Parameters!B$65,0.0001)</f>
        <v>4.3878782065371942</v>
      </c>
      <c r="I220" s="7">
        <f>I219*(1+Parameters!$B$51)^Parameters!B$65</f>
        <v>15.252411797024932</v>
      </c>
      <c r="J220" s="7">
        <f>J219*(1+Parameters!$B$53)^Parameters!B$65</f>
        <v>650.14970717054314</v>
      </c>
      <c r="K220" s="7">
        <f>'6states'!$O$4</f>
        <v>0.98104277196026479</v>
      </c>
      <c r="L220" s="9">
        <f t="shared" si="43"/>
        <v>0.5</v>
      </c>
      <c r="N220" s="7">
        <f>(Parameters!$B$19*(E220+Parameters!$B$20)^L220+Parameters!$B$18*F220^L220)^(1/L220)</f>
        <v>0.53556373699379145</v>
      </c>
      <c r="O220" s="7">
        <f>(Parameters!$B$10*G220^Parameters!$B$9 + Parameters!$B$11*N220^Parameters!$B$9) ^ (Parameters!$B$7/Parameters!$B$9) * K220</f>
        <v>1.5070071516337842</v>
      </c>
      <c r="P220" s="7">
        <f t="shared" si="40"/>
        <v>1.1491121780186608</v>
      </c>
      <c r="Q220" s="7">
        <f>EXP(-Parameters!$B$55*A220)</f>
        <v>3.8327025691677424E-2</v>
      </c>
      <c r="R220" s="7">
        <f>IF(P220&gt;0,P220^(1-Parameters!$B$52)/(1-Parameters!$B$52)*Q220,-10+P220*1000)</f>
        <v>-0.10430622404714621</v>
      </c>
      <c r="S220" s="7"/>
      <c r="T220" s="7"/>
      <c r="U220" s="7"/>
      <c r="V220" s="7"/>
    </row>
    <row r="221" spans="1:22" x14ac:dyDescent="0.25">
      <c r="A221">
        <f>A220+Parameters!$B$65</f>
        <v>217</v>
      </c>
      <c r="B221" s="9">
        <f t="shared" ref="B221:D221" si="59">B220</f>
        <v>5.191758263687303E-2</v>
      </c>
      <c r="C221" s="9">
        <f t="shared" si="59"/>
        <v>1.0017548050425843E-2</v>
      </c>
      <c r="D221" s="7">
        <f t="shared" si="59"/>
        <v>0.2959598429278244</v>
      </c>
      <c r="E221" s="7">
        <f>MAX((1-Parameters!$B$4)^Parameters!B$65*E220+B220*Parameters!B$65-Parameters!$B$5*B220^2/E220*Parameters!B$65,0.0001)</f>
        <v>0.76972614407232487</v>
      </c>
      <c r="F221" s="9">
        <f>MAX((1-Parameters!$B$4)^Parameters!B$65*F220+C220*Parameters!B$65-Parameters!$B$5*C220^2/F220*Parameters!B$65,0.0001)</f>
        <v>0.1485194077809967</v>
      </c>
      <c r="G221" s="7">
        <f>MAX((1-Parameters!$B$4)^Parameters!B$65*G220+D220*Parameters!B$65-Parameters!$B$5*D220^2/G220*Parameters!B$65,0.0001)</f>
        <v>4.3878781903317288</v>
      </c>
      <c r="I221" s="7">
        <f>I220*(1+Parameters!$B$51)^Parameters!B$65</f>
        <v>15.296643791236303</v>
      </c>
      <c r="J221" s="7">
        <f>J220*(1+Parameters!$B$53)^Parameters!B$65</f>
        <v>663.15270131395403</v>
      </c>
      <c r="K221" s="7">
        <f>'6states'!$O$4</f>
        <v>0.98104277196026479</v>
      </c>
      <c r="L221" s="9">
        <f t="shared" si="43"/>
        <v>0.5</v>
      </c>
      <c r="N221" s="7">
        <f>(Parameters!$B$19*(E221+Parameters!$B$20)^L221+Parameters!$B$18*F221^L221)^(1/L221)</f>
        <v>0.53556373502052246</v>
      </c>
      <c r="O221" s="7">
        <f>(Parameters!$B$10*G221^Parameters!$B$9 + Parameters!$B$11*N221^Parameters!$B$9) ^ (Parameters!$B$7/Parameters!$B$9) * K221</f>
        <v>1.5070071499647564</v>
      </c>
      <c r="P221" s="7">
        <f t="shared" si="40"/>
        <v>1.1491121763496333</v>
      </c>
      <c r="Q221" s="7">
        <f>EXP(-Parameters!$B$55*A221)</f>
        <v>3.7752635166058694E-2</v>
      </c>
      <c r="R221" s="7">
        <f>IF(P221&gt;0,P221^(1-Parameters!$B$52)/(1-Parameters!$B$52)*Q221,-10+P221*1000)</f>
        <v>-0.10274303191906703</v>
      </c>
      <c r="S221" s="7"/>
      <c r="T221" s="7"/>
      <c r="U221" s="7"/>
      <c r="V221" s="7"/>
    </row>
    <row r="222" spans="1:22" x14ac:dyDescent="0.25">
      <c r="A222">
        <f>A221+Parameters!$B$65</f>
        <v>218</v>
      </c>
      <c r="B222" s="9">
        <f t="shared" ref="B222:D222" si="60">B221</f>
        <v>5.191758263687303E-2</v>
      </c>
      <c r="C222" s="9">
        <f t="shared" si="60"/>
        <v>1.0017548050425843E-2</v>
      </c>
      <c r="D222" s="7">
        <f t="shared" si="60"/>
        <v>0.2959598429278244</v>
      </c>
      <c r="E222" s="7">
        <f>MAX((1-Parameters!$B$4)^Parameters!B$65*E221+B221*Parameters!B$65-Parameters!$B$5*B221^2/E221*Parameters!B$65,0.0001)</f>
        <v>0.76972614136584883</v>
      </c>
      <c r="F222" s="9">
        <f>MAX((1-Parameters!$B$4)^Parameters!B$65*F221+C221*Parameters!B$65-Parameters!$B$5*C221^2/F221*Parameters!B$65,0.0001)</f>
        <v>0.14851940726694376</v>
      </c>
      <c r="G222" s="7">
        <f>MAX((1-Parameters!$B$4)^Parameters!B$65*G221+D221*Parameters!B$65-Parameters!$B$5*D221^2/G221*Parameters!B$65,0.0001)</f>
        <v>4.3878781750718625</v>
      </c>
      <c r="I222" s="7">
        <f>I221*(1+Parameters!$B$51)^Parameters!B$65</f>
        <v>15.341004058230887</v>
      </c>
      <c r="J222" s="7">
        <f>J221*(1+Parameters!$B$53)^Parameters!B$65</f>
        <v>676.41575534023309</v>
      </c>
      <c r="K222" s="7">
        <f>'6states'!$O$4</f>
        <v>0.98104277196026479</v>
      </c>
      <c r="L222" s="9">
        <f t="shared" si="43"/>
        <v>0.5</v>
      </c>
      <c r="N222" s="7">
        <f>(Parameters!$B$19*(E222+Parameters!$B$20)^L222+Parameters!$B$18*F222^L222)^(1/L222)</f>
        <v>0.53556373316239503</v>
      </c>
      <c r="O222" s="7">
        <f>(Parameters!$B$10*G222^Parameters!$B$9 + Parameters!$B$11*N222^Parameters!$B$9) ^ (Parameters!$B$7/Parameters!$B$9) * K222</f>
        <v>1.5070071483931173</v>
      </c>
      <c r="P222" s="7">
        <f t="shared" si="40"/>
        <v>1.149112174777994</v>
      </c>
      <c r="Q222" s="7">
        <f>EXP(-Parameters!$B$55*A222)</f>
        <v>3.7186852782344175E-2</v>
      </c>
      <c r="R222" s="7">
        <f>IF(P222&gt;0,P222^(1-Parameters!$B$52)/(1-Parameters!$B$52)*Q222,-10+P222*1000)</f>
        <v>-0.10120326667024158</v>
      </c>
      <c r="S222" s="7"/>
      <c r="T222" s="7"/>
      <c r="U222" s="7"/>
      <c r="V222" s="7"/>
    </row>
    <row r="223" spans="1:22" x14ac:dyDescent="0.25">
      <c r="A223">
        <f>A222+Parameters!$B$65</f>
        <v>219</v>
      </c>
      <c r="B223" s="9">
        <f t="shared" ref="B223:D223" si="61">B222</f>
        <v>5.191758263687303E-2</v>
      </c>
      <c r="C223" s="9">
        <f t="shared" si="61"/>
        <v>1.0017548050425843E-2</v>
      </c>
      <c r="D223" s="7">
        <f t="shared" si="61"/>
        <v>0.2959598429278244</v>
      </c>
      <c r="E223" s="7">
        <f>MAX((1-Parameters!$B$4)^Parameters!B$65*E222+B222*Parameters!B$65-Parameters!$B$5*B222^2/E222*Parameters!B$65,0.0001)</f>
        <v>0.76972613881729712</v>
      </c>
      <c r="F223" s="9">
        <f>MAX((1-Parameters!$B$4)^Parameters!B$65*F222+C222*Parameters!B$65-Parameters!$B$5*C222^2/F222*Parameters!B$65,0.0001)</f>
        <v>0.14851940678288614</v>
      </c>
      <c r="G223" s="7">
        <f>MAX((1-Parameters!$B$4)^Parameters!B$65*G222+D222*Parameters!B$65-Parameters!$B$5*D222^2/G222*Parameters!B$65,0.0001)</f>
        <v>4.3878781607024182</v>
      </c>
      <c r="I223" s="7">
        <f>I222*(1+Parameters!$B$51)^Parameters!B$65</f>
        <v>15.385492969999754</v>
      </c>
      <c r="J223" s="7">
        <f>J222*(1+Parameters!$B$53)^Parameters!B$65</f>
        <v>689.9440704470378</v>
      </c>
      <c r="K223" s="7">
        <f>'6states'!$O$4</f>
        <v>0.98104277196026479</v>
      </c>
      <c r="L223" s="9">
        <f t="shared" si="43"/>
        <v>0.5</v>
      </c>
      <c r="N223" s="7">
        <f>(Parameters!$B$19*(E223+Parameters!$B$20)^L223+Parameters!$B$18*F223^L223)^(1/L223)</f>
        <v>0.53556373141269031</v>
      </c>
      <c r="O223" s="7">
        <f>(Parameters!$B$10*G223^Parameters!$B$9 + Parameters!$B$11*N223^Parameters!$B$9) ^ (Parameters!$B$7/Parameters!$B$9) * K223</f>
        <v>1.5070071469131845</v>
      </c>
      <c r="P223" s="7">
        <f t="shared" si="40"/>
        <v>1.1491121732980614</v>
      </c>
      <c r="Q223" s="7">
        <f>EXP(-Parameters!$B$55*A223)</f>
        <v>3.662954953404135E-2</v>
      </c>
      <c r="R223" s="7">
        <f>IF(P223&gt;0,P223^(1-Parameters!$B$52)/(1-Parameters!$B$52)*Q223,-10+P223*1000)</f>
        <v>-9.9686577212456343E-2</v>
      </c>
      <c r="S223" s="7"/>
      <c r="T223" s="7"/>
      <c r="U223" s="7"/>
      <c r="V223" s="7"/>
    </row>
    <row r="224" spans="1:22" x14ac:dyDescent="0.25">
      <c r="A224">
        <f>A223+Parameters!$B$65</f>
        <v>220</v>
      </c>
      <c r="B224" s="9">
        <f t="shared" ref="B224:D224" si="62">B223</f>
        <v>5.191758263687303E-2</v>
      </c>
      <c r="C224" s="9">
        <f t="shared" si="62"/>
        <v>1.0017548050425843E-2</v>
      </c>
      <c r="D224" s="7">
        <f t="shared" si="62"/>
        <v>0.2959598429278244</v>
      </c>
      <c r="E224" s="7">
        <f>MAX((1-Parameters!$B$4)^Parameters!B$65*E223+B223*Parameters!B$65-Parameters!$B$5*B223^2/E223*Parameters!B$65,0.0001)</f>
        <v>0.76972613641745502</v>
      </c>
      <c r="F224" s="9">
        <f>MAX((1-Parameters!$B$4)^Parameters!B$65*F223+C223*Parameters!B$65-Parameters!$B$5*C223^2/F223*Parameters!B$65,0.0001)</f>
        <v>0.14851940632707356</v>
      </c>
      <c r="G224" s="7">
        <f>MAX((1-Parameters!$B$4)^Parameters!B$65*G223+D223*Parameters!B$65-Parameters!$B$5*D223^2/G223*Parameters!B$65,0.0001)</f>
        <v>4.3878781471714383</v>
      </c>
      <c r="I224" s="7">
        <f>I223*(1+Parameters!$B$51)^Parameters!B$65</f>
        <v>15.430110899612751</v>
      </c>
      <c r="J224" s="7">
        <f>J223*(1+Parameters!$B$53)^Parameters!B$65</f>
        <v>703.74295185597862</v>
      </c>
      <c r="K224" s="7">
        <f>'6states'!$O$4</f>
        <v>0.98104277196026479</v>
      </c>
      <c r="L224" s="9">
        <f t="shared" si="43"/>
        <v>0.5</v>
      </c>
      <c r="N224" s="7">
        <f>(Parameters!$B$19*(E224+Parameters!$B$20)^L224+Parameters!$B$18*F224^L224)^(1/L224)</f>
        <v>0.53556372976508215</v>
      </c>
      <c r="O224" s="7">
        <f>(Parameters!$B$10*G224^Parameters!$B$9 + Parameters!$B$11*N224^Parameters!$B$9) ^ (Parameters!$B$7/Parameters!$B$9) * K224</f>
        <v>1.5070071455196068</v>
      </c>
      <c r="P224" s="7">
        <f t="shared" si="40"/>
        <v>1.1491121719044837</v>
      </c>
      <c r="Q224" s="7">
        <f>EXP(-Parameters!$B$55*A224)</f>
        <v>3.608059834802213E-2</v>
      </c>
      <c r="R224" s="7">
        <f>IF(P224&gt;0,P224^(1-Parameters!$B$52)/(1-Parameters!$B$52)*Q224,-10+P224*1000)</f>
        <v>-9.8192617719084982E-2</v>
      </c>
      <c r="S224" s="7"/>
      <c r="T224" s="7"/>
      <c r="U224" s="7"/>
      <c r="V224" s="7"/>
    </row>
    <row r="225" spans="1:22" x14ac:dyDescent="0.25">
      <c r="A225">
        <f>A224+Parameters!$B$65</f>
        <v>221</v>
      </c>
      <c r="B225" s="9">
        <f t="shared" ref="B225:D225" si="63">B224</f>
        <v>5.191758263687303E-2</v>
      </c>
      <c r="C225" s="9">
        <f t="shared" si="63"/>
        <v>1.0017548050425843E-2</v>
      </c>
      <c r="D225" s="7">
        <f t="shared" si="63"/>
        <v>0.2959598429278244</v>
      </c>
      <c r="E225" s="7">
        <f>MAX((1-Parameters!$B$4)^Parameters!B$65*E224+B224*Parameters!B$65-Parameters!$B$5*B224^2/E224*Parameters!B$65,0.0001)</f>
        <v>0.76972613415764501</v>
      </c>
      <c r="F225" s="9">
        <f>MAX((1-Parameters!$B$4)^Parameters!B$65*F224+C224*Parameters!B$65-Parameters!$B$5*C224^2/F224*Parameters!B$65,0.0001)</f>
        <v>0.14851940589785786</v>
      </c>
      <c r="G225" s="7">
        <f>MAX((1-Parameters!$B$4)^Parameters!B$65*G224+D224*Parameters!B$65-Parameters!$B$5*D224^2/G224*Parameters!B$65,0.0001)</f>
        <v>4.3878781344299993</v>
      </c>
      <c r="I225" s="7">
        <f>I224*(1+Parameters!$B$51)^Parameters!B$65</f>
        <v>15.474858221221627</v>
      </c>
      <c r="J225" s="7">
        <f>J224*(1+Parameters!$B$53)^Parameters!B$65</f>
        <v>717.81781089309823</v>
      </c>
      <c r="K225" s="7">
        <f>'6states'!$O$4</f>
        <v>0.98104277196026479</v>
      </c>
      <c r="L225" s="9">
        <f t="shared" si="43"/>
        <v>0.5</v>
      </c>
      <c r="N225" s="7">
        <f>(Parameters!$B$19*(E225+Parameters!$B$20)^L225+Parameters!$B$18*F225^L225)^(1/L225)</f>
        <v>0.53556372821361264</v>
      </c>
      <c r="O225" s="7">
        <f>(Parameters!$B$10*G225^Parameters!$B$9 + Parameters!$B$11*N225^Parameters!$B$9) ^ (Parameters!$B$7/Parameters!$B$9) * K225</f>
        <v>1.5070071442073452</v>
      </c>
      <c r="P225" s="7">
        <f t="shared" si="40"/>
        <v>1.1491121705922218</v>
      </c>
      <c r="Q225" s="7">
        <f>EXP(-Parameters!$B$55*A225)</f>
        <v>3.5539874055548294E-2</v>
      </c>
      <c r="R225" s="7">
        <f>IF(P225&gt;0,P225^(1-Parameters!$B$52)/(1-Parameters!$B$52)*Q225,-10+P225*1000)</f>
        <v>-9.6721047546236449E-2</v>
      </c>
      <c r="S225" s="7"/>
      <c r="T225" s="7"/>
      <c r="U225" s="7"/>
      <c r="V225" s="7"/>
    </row>
    <row r="226" spans="1:22" x14ac:dyDescent="0.25">
      <c r="A226">
        <f>A225+Parameters!$B$65</f>
        <v>222</v>
      </c>
      <c r="B226" s="9">
        <f t="shared" ref="B226:D226" si="64">B225</f>
        <v>5.191758263687303E-2</v>
      </c>
      <c r="C226" s="9">
        <f t="shared" si="64"/>
        <v>1.0017548050425843E-2</v>
      </c>
      <c r="D226" s="7">
        <f t="shared" si="64"/>
        <v>0.2959598429278244</v>
      </c>
      <c r="E226" s="7">
        <f>MAX((1-Parameters!$B$4)^Parameters!B$65*E225+B225*Parameters!B$65-Parameters!$B$5*B225^2/E225*Parameters!B$65,0.0001)</f>
        <v>0.7697261320296962</v>
      </c>
      <c r="F226" s="9">
        <f>MAX((1-Parameters!$B$4)^Parameters!B$65*F225+C225*Parameters!B$65-Parameters!$B$5*C225^2/F225*Parameters!B$65,0.0001)</f>
        <v>0.14851940549368717</v>
      </c>
      <c r="G226" s="7">
        <f>MAX((1-Parameters!$B$4)^Parameters!B$65*G225+D225*Parameters!B$65-Parameters!$B$5*D225^2/G225*Parameters!B$65,0.0001)</f>
        <v>4.3878781224320305</v>
      </c>
      <c r="I226" s="7">
        <f>I225*(1+Parameters!$B$51)^Parameters!B$65</f>
        <v>15.519735310063169</v>
      </c>
      <c r="J226" s="7">
        <f>J225*(1+Parameters!$B$53)^Parameters!B$65</f>
        <v>732.17416711096018</v>
      </c>
      <c r="K226" s="7">
        <f>'6states'!$O$4</f>
        <v>0.98104277196026479</v>
      </c>
      <c r="L226" s="9">
        <f t="shared" si="43"/>
        <v>0.5</v>
      </c>
      <c r="N226" s="7">
        <f>(Parameters!$B$19*(E226+Parameters!$B$20)^L226+Parameters!$B$18*F226^L226)^(1/L226)</f>
        <v>0.53556372675267216</v>
      </c>
      <c r="O226" s="7">
        <f>(Parameters!$B$10*G226^Parameters!$B$9 + Parameters!$B$11*N226^Parameters!$B$9) ^ (Parameters!$B$7/Parameters!$B$9) * K226</f>
        <v>1.5070071429716543</v>
      </c>
      <c r="P226" s="7">
        <f t="shared" si="40"/>
        <v>1.1491121693565312</v>
      </c>
      <c r="Q226" s="7">
        <f>EXP(-Parameters!$B$55*A226)</f>
        <v>3.5007253363731262E-2</v>
      </c>
      <c r="R226" s="7">
        <f>IF(P226&gt;0,P226^(1-Parameters!$B$52)/(1-Parameters!$B$52)*Q226,-10+P226*1000)</f>
        <v>-9.5271531155084924E-2</v>
      </c>
      <c r="S226" s="7"/>
      <c r="T226" s="7"/>
      <c r="U226" s="7"/>
      <c r="V226" s="7"/>
    </row>
    <row r="227" spans="1:22" x14ac:dyDescent="0.25">
      <c r="A227">
        <f>A226+Parameters!$B$65</f>
        <v>223</v>
      </c>
      <c r="B227" s="9">
        <f t="shared" ref="B227:D227" si="65">B226</f>
        <v>5.191758263687303E-2</v>
      </c>
      <c r="C227" s="9">
        <f t="shared" si="65"/>
        <v>1.0017548050425843E-2</v>
      </c>
      <c r="D227" s="7">
        <f t="shared" si="65"/>
        <v>0.2959598429278244</v>
      </c>
      <c r="E227" s="7">
        <f>MAX((1-Parameters!$B$4)^Parameters!B$65*E226+B226*Parameters!B$65-Parameters!$B$5*B226^2/E226*Parameters!B$65,0.0001)</f>
        <v>0.76972613002591439</v>
      </c>
      <c r="F227" s="9">
        <f>MAX((1-Parameters!$B$4)^Parameters!B$65*F226+C226*Parameters!B$65-Parameters!$B$5*C226^2/F226*Parameters!B$65,0.0001)</f>
        <v>0.14851940511310008</v>
      </c>
      <c r="G227" s="7">
        <f>MAX((1-Parameters!$B$4)^Parameters!B$65*G226+D226*Parameters!B$65-Parameters!$B$5*D226^2/G226*Parameters!B$65,0.0001)</f>
        <v>4.3878781111341505</v>
      </c>
      <c r="I227" s="7">
        <f>I226*(1+Parameters!$B$51)^Parameters!B$65</f>
        <v>15.56474254246235</v>
      </c>
      <c r="J227" s="7">
        <f>J226*(1+Parameters!$B$53)^Parameters!B$65</f>
        <v>746.81765045317945</v>
      </c>
      <c r="K227" s="7">
        <f>'6states'!$O$4</f>
        <v>0.98104277196026479</v>
      </c>
      <c r="L227" s="9">
        <f t="shared" si="43"/>
        <v>0.5</v>
      </c>
      <c r="N227" s="7">
        <f>(Parameters!$B$19*(E227+Parameters!$B$20)^L227+Parameters!$B$18*F227^L227)^(1/L227)</f>
        <v>0.53556372537697861</v>
      </c>
      <c r="O227" s="7">
        <f>(Parameters!$B$10*G227^Parameters!$B$9 + Parameters!$B$11*N227^Parameters!$B$9) ^ (Parameters!$B$7/Parameters!$B$9) * K227</f>
        <v>1.5070071418080671</v>
      </c>
      <c r="P227" s="7">
        <f t="shared" si="40"/>
        <v>1.1491121681929437</v>
      </c>
      <c r="Q227" s="7">
        <f>EXP(-Parameters!$B$55*A227)</f>
        <v>3.4482614827419586E-2</v>
      </c>
      <c r="R227" s="7">
        <f>IF(P227&gt;0,P227^(1-Parameters!$B$52)/(1-Parameters!$B$52)*Q227,-10+P227*1000)</f>
        <v>-9.3843738035363861E-2</v>
      </c>
      <c r="S227" s="7"/>
      <c r="T227" s="7"/>
      <c r="U227" s="7"/>
      <c r="V227" s="7"/>
    </row>
    <row r="228" spans="1:22" x14ac:dyDescent="0.25">
      <c r="A228">
        <f>A227+Parameters!$B$65</f>
        <v>224</v>
      </c>
      <c r="B228" s="9">
        <f t="shared" ref="B228:D228" si="66">B227</f>
        <v>5.191758263687303E-2</v>
      </c>
      <c r="C228" s="9">
        <f t="shared" si="66"/>
        <v>1.0017548050425843E-2</v>
      </c>
      <c r="D228" s="7">
        <f t="shared" si="66"/>
        <v>0.2959598429278244</v>
      </c>
      <c r="E228" s="7">
        <f>MAX((1-Parameters!$B$4)^Parameters!B$65*E227+B227*Parameters!B$65-Parameters!$B$5*B227^2/E227*Parameters!B$65,0.0001)</f>
        <v>0.76972612813905439</v>
      </c>
      <c r="F228" s="9">
        <f>MAX((1-Parameters!$B$4)^Parameters!B$65*F227+C227*Parameters!B$65-Parameters!$B$5*C227^2/F227*Parameters!B$65,0.0001)</f>
        <v>0.14851940475472047</v>
      </c>
      <c r="G228" s="7">
        <f>MAX((1-Parameters!$B$4)^Parameters!B$65*G227+D227*Parameters!B$65-Parameters!$B$5*D227^2/G227*Parameters!B$65,0.0001)</f>
        <v>4.3878781004955085</v>
      </c>
      <c r="I228" s="7">
        <f>I227*(1+Parameters!$B$51)^Parameters!B$65</f>
        <v>15.609880295835488</v>
      </c>
      <c r="J228" s="7">
        <f>J227*(1+Parameters!$B$53)^Parameters!B$65</f>
        <v>761.75400346224308</v>
      </c>
      <c r="K228" s="7">
        <f>'6states'!$O$4</f>
        <v>0.98104277196026479</v>
      </c>
      <c r="L228" s="9">
        <f t="shared" si="43"/>
        <v>0.5</v>
      </c>
      <c r="N228" s="7">
        <f>(Parameters!$B$19*(E228+Parameters!$B$20)^L228+Parameters!$B$18*F228^L228)^(1/L228)</f>
        <v>0.5355637240815575</v>
      </c>
      <c r="O228" s="7">
        <f>(Parameters!$B$10*G228^Parameters!$B$9 + Parameters!$B$11*N228^Parameters!$B$9) ^ (Parameters!$B$7/Parameters!$B$9) * K228</f>
        <v>1.5070071407123757</v>
      </c>
      <c r="P228" s="7">
        <f t="shared" si="40"/>
        <v>1.1491121670972526</v>
      </c>
      <c r="Q228" s="7">
        <f>EXP(-Parameters!$B$55*A228)</f>
        <v>3.3965838821507631E-2</v>
      </c>
      <c r="R228" s="7">
        <f>IF(P228&gt;0,P228^(1-Parameters!$B$52)/(1-Parameters!$B$52)*Q228,-10+P228*1000)</f>
        <v>-9.243734263000597E-2</v>
      </c>
      <c r="S228" s="7"/>
      <c r="T228" s="7"/>
      <c r="U228" s="7"/>
      <c r="V228" s="7"/>
    </row>
    <row r="229" spans="1:22" x14ac:dyDescent="0.25">
      <c r="A229">
        <f>A228+Parameters!$B$65</f>
        <v>225</v>
      </c>
      <c r="B229" s="9">
        <f t="shared" ref="B229:D229" si="67">B228</f>
        <v>5.191758263687303E-2</v>
      </c>
      <c r="C229" s="9">
        <f t="shared" si="67"/>
        <v>1.0017548050425843E-2</v>
      </c>
      <c r="D229" s="7">
        <f t="shared" si="67"/>
        <v>0.2959598429278244</v>
      </c>
      <c r="E229" s="7">
        <f>MAX((1-Parameters!$B$4)^Parameters!B$65*E228+B228*Parameters!B$65-Parameters!$B$5*B228^2/E228*Parameters!B$65,0.0001)</f>
        <v>0.76972612636229376</v>
      </c>
      <c r="F229" s="9">
        <f>MAX((1-Parameters!$B$4)^Parameters!B$65*F228+C228*Parameters!B$65-Parameters!$B$5*C228^2/F228*Parameters!B$65,0.0001)</f>
        <v>0.1485194044172525</v>
      </c>
      <c r="G229" s="7">
        <f>MAX((1-Parameters!$B$4)^Parameters!B$65*G228+D228*Parameters!B$65-Parameters!$B$5*D228^2/G228*Parameters!B$65,0.0001)</f>
        <v>4.3878780904776375</v>
      </c>
      <c r="I229" s="7">
        <f>I228*(1+Parameters!$B$51)^Parameters!B$65</f>
        <v>15.655148948693409</v>
      </c>
      <c r="J229" s="7">
        <f>J228*(1+Parameters!$B$53)^Parameters!B$65</f>
        <v>776.98908353148795</v>
      </c>
      <c r="K229" s="7">
        <f>'6states'!$O$4</f>
        <v>0.98104277196026479</v>
      </c>
      <c r="L229" s="9">
        <f t="shared" si="43"/>
        <v>0.5</v>
      </c>
      <c r="N229" s="7">
        <f>(Parameters!$B$19*(E229+Parameters!$B$20)^L229+Parameters!$B$18*F229^L229)^(1/L229)</f>
        <v>0.53556372286172471</v>
      </c>
      <c r="O229" s="7">
        <f>(Parameters!$B$10*G229^Parameters!$B$9 + Parameters!$B$11*N229^Parameters!$B$9) ^ (Parameters!$B$7/Parameters!$B$9) * K229</f>
        <v>1.5070071396806186</v>
      </c>
      <c r="P229" s="7">
        <f t="shared" si="40"/>
        <v>1.1491121660654953</v>
      </c>
      <c r="Q229" s="7">
        <f>EXP(-Parameters!$B$55*A229)</f>
        <v>3.3456807513659412E-2</v>
      </c>
      <c r="R229" s="7">
        <f>IF(P229&gt;0,P229^(1-Parameters!$B$52)/(1-Parameters!$B$52)*Q229,-10+P229*1000)</f>
        <v>-9.1052024260913161E-2</v>
      </c>
      <c r="S229" s="7"/>
      <c r="T229" s="7"/>
      <c r="U229" s="7"/>
      <c r="V229" s="7"/>
    </row>
    <row r="230" spans="1:22" x14ac:dyDescent="0.25">
      <c r="A230">
        <f>A229+Parameters!$B$65</f>
        <v>226</v>
      </c>
      <c r="B230" s="9">
        <f t="shared" ref="B230:D230" si="68">B229</f>
        <v>5.191758263687303E-2</v>
      </c>
      <c r="C230" s="9">
        <f t="shared" si="68"/>
        <v>1.0017548050425843E-2</v>
      </c>
      <c r="D230" s="7">
        <f t="shared" si="68"/>
        <v>0.2959598429278244</v>
      </c>
      <c r="E230" s="7">
        <f>MAX((1-Parameters!$B$4)^Parameters!B$65*E229+B229*Parameters!B$65-Parameters!$B$5*B229^2/E229*Parameters!B$65,0.0001)</f>
        <v>0.7697261246892082</v>
      </c>
      <c r="F230" s="9">
        <f>MAX((1-Parameters!$B$4)^Parameters!B$65*F229+C229*Parameters!B$65-Parameters!$B$5*C229^2/F229*Parameters!B$65,0.0001)</f>
        <v>0.14851940409947598</v>
      </c>
      <c r="G230" s="7">
        <f>MAX((1-Parameters!$B$4)^Parameters!B$65*G229+D229*Parameters!B$65-Parameters!$B$5*D229^2/G229*Parameters!B$65,0.0001)</f>
        <v>4.3878780810443141</v>
      </c>
      <c r="I230" s="7">
        <f>I229*(1+Parameters!$B$51)^Parameters!B$65</f>
        <v>15.700548880644618</v>
      </c>
      <c r="J230" s="7">
        <f>J229*(1+Parameters!$B$53)^Parameters!B$65</f>
        <v>792.52886520211769</v>
      </c>
      <c r="K230" s="7">
        <f>'6states'!$O$4</f>
        <v>0.98104277196026479</v>
      </c>
      <c r="L230" s="9">
        <f t="shared" si="43"/>
        <v>0.5</v>
      </c>
      <c r="N230" s="7">
        <f>(Parameters!$B$19*(E230+Parameters!$B$20)^L230+Parameters!$B$18*F230^L230)^(1/L230)</f>
        <v>0.53556372171307032</v>
      </c>
      <c r="O230" s="7">
        <f>(Parameters!$B$10*G230^Parameters!$B$9 + Parameters!$B$11*N230^Parameters!$B$9) ^ (Parameters!$B$7/Parameters!$B$9) * K230</f>
        <v>1.5070071387090651</v>
      </c>
      <c r="P230" s="7">
        <f t="shared" si="40"/>
        <v>1.1491121650939418</v>
      </c>
      <c r="Q230" s="7">
        <f>EXP(-Parameters!$B$55*A230)</f>
        <v>3.2955404837441082E-2</v>
      </c>
      <c r="R230" s="7">
        <f>IF(P230&gt;0,P230^(1-Parameters!$B$52)/(1-Parameters!$B$52)*Q230,-10+P230*1000)</f>
        <v>-8.9687467055838244E-2</v>
      </c>
      <c r="S230" s="7"/>
      <c r="T230" s="7"/>
      <c r="U230" s="7"/>
      <c r="V230" s="7"/>
    </row>
    <row r="231" spans="1:22" x14ac:dyDescent="0.25">
      <c r="A231">
        <f>A230+Parameters!$B$65</f>
        <v>227</v>
      </c>
      <c r="B231" s="9">
        <f t="shared" ref="B231:D231" si="69">B230</f>
        <v>5.191758263687303E-2</v>
      </c>
      <c r="C231" s="9">
        <f t="shared" si="69"/>
        <v>1.0017548050425843E-2</v>
      </c>
      <c r="D231" s="7">
        <f t="shared" si="69"/>
        <v>0.2959598429278244</v>
      </c>
      <c r="E231" s="7">
        <f>MAX((1-Parameters!$B$4)^Parameters!B$65*E230+B230*Parameters!B$65-Parameters!$B$5*B230^2/E230*Parameters!B$65,0.0001)</f>
        <v>0.76972612311374811</v>
      </c>
      <c r="F231" s="9">
        <f>MAX((1-Parameters!$B$4)^Parameters!B$65*F230+C230*Parameters!B$65-Parameters!$B$5*C230^2/F230*Parameters!B$65,0.0001)</f>
        <v>0.14851940380024189</v>
      </c>
      <c r="G231" s="7">
        <f>MAX((1-Parameters!$B$4)^Parameters!B$65*G230+D230*Parameters!B$65-Parameters!$B$5*D230^2/G230*Parameters!B$65,0.0001)</f>
        <v>4.3878780721614312</v>
      </c>
      <c r="I231" s="7">
        <f>I230*(1+Parameters!$B$51)^Parameters!B$65</f>
        <v>15.746080472398486</v>
      </c>
      <c r="J231" s="7">
        <f>J230*(1+Parameters!$B$53)^Parameters!B$65</f>
        <v>808.3794425061601</v>
      </c>
      <c r="K231" s="7">
        <f>'6states'!$O$4</f>
        <v>0.98104277196026479</v>
      </c>
      <c r="L231" s="9">
        <f t="shared" si="43"/>
        <v>0.5</v>
      </c>
      <c r="N231" s="7">
        <f>(Parameters!$B$19*(E231+Parameters!$B$20)^L231+Parameters!$B$18*F231^L231)^(1/L231)</f>
        <v>0.53556372063144042</v>
      </c>
      <c r="O231" s="7">
        <f>(Parameters!$B$10*G231^Parameters!$B$9 + Parameters!$B$11*N231^Parameters!$B$9) ^ (Parameters!$B$7/Parameters!$B$9) * K231</f>
        <v>1.5070071377942025</v>
      </c>
      <c r="P231" s="7">
        <f t="shared" si="40"/>
        <v>1.1491121641790794</v>
      </c>
      <c r="Q231" s="7">
        <f>EXP(-Parameters!$B$55*A231)</f>
        <v>3.2461516465856148E-2</v>
      </c>
      <c r="R231" s="7">
        <f>IF(P231&gt;0,P231^(1-Parameters!$B$52)/(1-Parameters!$B$52)*Q231,-10+P231*1000)</f>
        <v>-8.8343359876362909E-2</v>
      </c>
      <c r="S231" s="7"/>
      <c r="T231" s="7"/>
      <c r="U231" s="7"/>
      <c r="V231" s="7"/>
    </row>
    <row r="232" spans="1:22" x14ac:dyDescent="0.25">
      <c r="A232">
        <f>A231+Parameters!$B$65</f>
        <v>228</v>
      </c>
      <c r="B232" s="9">
        <f t="shared" ref="B232:D232" si="70">B231</f>
        <v>5.191758263687303E-2</v>
      </c>
      <c r="C232" s="9">
        <f t="shared" si="70"/>
        <v>1.0017548050425843E-2</v>
      </c>
      <c r="D232" s="7">
        <f t="shared" si="70"/>
        <v>0.2959598429278244</v>
      </c>
      <c r="E232" s="7">
        <f>MAX((1-Parameters!$B$4)^Parameters!B$65*E231+B231*Parameters!B$65-Parameters!$B$5*B231^2/E231*Parameters!B$65,0.0001)</f>
        <v>0.76972612163021703</v>
      </c>
      <c r="F232" s="9">
        <f>MAX((1-Parameters!$B$4)^Parameters!B$65*F231+C231*Parameters!B$65-Parameters!$B$5*C231^2/F231*Parameters!B$65,0.0001)</f>
        <v>0.14851940351846832</v>
      </c>
      <c r="G232" s="7">
        <f>MAX((1-Parameters!$B$4)^Parameters!B$65*G231+D231*Parameters!B$65-Parameters!$B$5*D231^2/G231*Parameters!B$65,0.0001)</f>
        <v>4.3878780637968697</v>
      </c>
      <c r="I232" s="7">
        <f>I231*(1+Parameters!$B$51)^Parameters!B$65</f>
        <v>15.791744105768441</v>
      </c>
      <c r="J232" s="7">
        <f>J231*(1+Parameters!$B$53)^Parameters!B$65</f>
        <v>824.54703135628336</v>
      </c>
      <c r="K232" s="7">
        <f>'6states'!$O$4</f>
        <v>0.98104277196026479</v>
      </c>
      <c r="L232" s="9">
        <f t="shared" si="43"/>
        <v>0.5</v>
      </c>
      <c r="N232" s="7">
        <f>(Parameters!$B$19*(E232+Parameters!$B$20)^L232+Parameters!$B$18*F232^L232)^(1/L232)</f>
        <v>0.53556371961292404</v>
      </c>
      <c r="O232" s="7">
        <f>(Parameters!$B$10*G232^Parameters!$B$9 + Parameters!$B$11*N232^Parameters!$B$9) ^ (Parameters!$B$7/Parameters!$B$9) * K232</f>
        <v>1.5070071369327223</v>
      </c>
      <c r="P232" s="7">
        <f t="shared" si="40"/>
        <v>1.1491121633175991</v>
      </c>
      <c r="Q232" s="7">
        <f>EXP(-Parameters!$B$55*A232)</f>
        <v>3.1975029785277304E-2</v>
      </c>
      <c r="R232" s="7">
        <f>IF(P232&gt;0,P232^(1-Parameters!$B$52)/(1-Parameters!$B$52)*Q232,-10+P232*1000)</f>
        <v>-8.7019396246954539E-2</v>
      </c>
      <c r="S232" s="7"/>
      <c r="T232" s="7"/>
      <c r="U232" s="7"/>
      <c r="V232" s="7"/>
    </row>
    <row r="233" spans="1:22" x14ac:dyDescent="0.25">
      <c r="A233">
        <f>A232+Parameters!$B$65</f>
        <v>229</v>
      </c>
      <c r="B233" s="9">
        <f t="shared" ref="B233:D233" si="71">B232</f>
        <v>5.191758263687303E-2</v>
      </c>
      <c r="C233" s="9">
        <f t="shared" si="71"/>
        <v>1.0017548050425843E-2</v>
      </c>
      <c r="D233" s="7">
        <f t="shared" si="71"/>
        <v>0.2959598429278244</v>
      </c>
      <c r="E233" s="7">
        <f>MAX((1-Parameters!$B$4)^Parameters!B$65*E232+B232*Parameters!B$65-Parameters!$B$5*B232^2/E232*Parameters!B$65,0.0001)</f>
        <v>0.76972612023325093</v>
      </c>
      <c r="F233" s="9">
        <f>MAX((1-Parameters!$B$4)^Parameters!B$65*F232+C232*Parameters!B$65-Parameters!$B$5*C232^2/F232*Parameters!B$65,0.0001)</f>
        <v>0.14851940325313637</v>
      </c>
      <c r="G233" s="7">
        <f>MAX((1-Parameters!$B$4)^Parameters!B$65*G232+D232*Parameters!B$65-Parameters!$B$5*D232^2/G232*Parameters!B$65,0.0001)</f>
        <v>4.3878780559203845</v>
      </c>
      <c r="I233" s="7">
        <f>I232*(1+Parameters!$B$51)^Parameters!B$65</f>
        <v>15.837540163675168</v>
      </c>
      <c r="J233" s="7">
        <f>J232*(1+Parameters!$B$53)^Parameters!B$65</f>
        <v>841.03797198340908</v>
      </c>
      <c r="K233" s="7">
        <f>'6states'!$O$4</f>
        <v>0.98104277196026479</v>
      </c>
      <c r="L233" s="9">
        <f t="shared" si="43"/>
        <v>0.5</v>
      </c>
      <c r="N233" s="7">
        <f>(Parameters!$B$19*(E233+Parameters!$B$20)^L233+Parameters!$B$18*F233^L233)^(1/L233)</f>
        <v>0.53556371865383878</v>
      </c>
      <c r="O233" s="7">
        <f>(Parameters!$B$10*G233^Parameters!$B$9 + Parameters!$B$11*N233^Parameters!$B$9) ^ (Parameters!$B$7/Parameters!$B$9) * K233</f>
        <v>1.50700713612151</v>
      </c>
      <c r="P233" s="7">
        <f t="shared" si="40"/>
        <v>1.1491121625063867</v>
      </c>
      <c r="Q233" s="7">
        <f>EXP(-Parameters!$B$55*A233)</f>
        <v>3.1495833869768834E-2</v>
      </c>
      <c r="R233" s="7">
        <f>IF(P233&gt;0,P233^(1-Parameters!$B$52)/(1-Parameters!$B$52)*Q233,-10+P233*1000)</f>
        <v>-8.5715274285086504E-2</v>
      </c>
      <c r="S233" s="7"/>
      <c r="T233" s="7"/>
      <c r="U233" s="7"/>
      <c r="V233" s="7"/>
    </row>
    <row r="234" spans="1:22" x14ac:dyDescent="0.25">
      <c r="A234">
        <f>A233+Parameters!$B$65</f>
        <v>230</v>
      </c>
      <c r="B234" s="9">
        <f t="shared" ref="B234:D234" si="72">B233</f>
        <v>5.191758263687303E-2</v>
      </c>
      <c r="C234" s="9">
        <f t="shared" si="72"/>
        <v>1.0017548050425843E-2</v>
      </c>
      <c r="D234" s="7">
        <f t="shared" si="72"/>
        <v>0.2959598429278244</v>
      </c>
      <c r="E234" s="7">
        <f>MAX((1-Parameters!$B$4)^Parameters!B$65*E233+B233*Parameters!B$65-Parameters!$B$5*B233^2/E233*Parameters!B$65,0.0001)</f>
        <v>0.76972611891779863</v>
      </c>
      <c r="F234" s="9">
        <f>MAX((1-Parameters!$B$4)^Parameters!B$65*F233+C233*Parameters!B$65-Parameters!$B$5*C233^2/F233*Parameters!B$65,0.0001)</f>
        <v>0.1485194030032867</v>
      </c>
      <c r="G234" s="7">
        <f>MAX((1-Parameters!$B$4)^Parameters!B$65*G233+D233*Parameters!B$65-Parameters!$B$5*D233^2/G233*Parameters!B$65,0.0001)</f>
        <v>4.3878780485034969</v>
      </c>
      <c r="I234" s="7">
        <f>I233*(1+Parameters!$B$51)^Parameters!B$65</f>
        <v>15.883469030149826</v>
      </c>
      <c r="J234" s="7">
        <f>J233*(1+Parameters!$B$53)^Parameters!B$65</f>
        <v>857.8587314230773</v>
      </c>
      <c r="K234" s="7">
        <f>'6states'!$O$4</f>
        <v>0.98104277196026479</v>
      </c>
      <c r="L234" s="9">
        <f t="shared" si="43"/>
        <v>0.5</v>
      </c>
      <c r="N234" s="7">
        <f>(Parameters!$B$19*(E234+Parameters!$B$20)^L234+Parameters!$B$18*F234^L234)^(1/L234)</f>
        <v>0.53556371775071687</v>
      </c>
      <c r="O234" s="7">
        <f>(Parameters!$B$10*G234^Parameters!$B$9 + Parameters!$B$11*N234^Parameters!$B$9) ^ (Parameters!$B$7/Parameters!$B$9) * K234</f>
        <v>1.5070071353576326</v>
      </c>
      <c r="P234" s="7">
        <f t="shared" si="40"/>
        <v>1.1491121617425093</v>
      </c>
      <c r="Q234" s="7">
        <f>EXP(-Parameters!$B$55*A234)</f>
        <v>3.1023819455793956E-2</v>
      </c>
      <c r="R234" s="7">
        <f>IF(P234&gt;0,P234^(1-Parameters!$B$52)/(1-Parameters!$B$52)*Q234,-10+P234*1000)</f>
        <v>-8.4430696632405225E-2</v>
      </c>
      <c r="S234" s="7"/>
      <c r="T234" s="7"/>
      <c r="U234" s="7"/>
      <c r="V234" s="7"/>
    </row>
    <row r="235" spans="1:22" x14ac:dyDescent="0.25">
      <c r="A235">
        <f>A234+Parameters!$B$65</f>
        <v>231</v>
      </c>
      <c r="B235" s="9">
        <f t="shared" ref="B235:D235" si="73">B234</f>
        <v>5.191758263687303E-2</v>
      </c>
      <c r="C235" s="9">
        <f t="shared" si="73"/>
        <v>1.0017548050425843E-2</v>
      </c>
      <c r="D235" s="7">
        <f t="shared" si="73"/>
        <v>0.2959598429278244</v>
      </c>
      <c r="E235" s="7">
        <f>MAX((1-Parameters!$B$4)^Parameters!B$65*E234+B234*Parameters!B$65-Parameters!$B$5*B234^2/E234*Parameters!B$65,0.0001)</f>
        <v>0.76972611767910371</v>
      </c>
      <c r="F235" s="9">
        <f>MAX((1-Parameters!$B$4)^Parameters!B$65*F234+C234*Parameters!B$65-Parameters!$B$5*C234^2/F234*Parameters!B$65,0.0001)</f>
        <v>0.1485194027680159</v>
      </c>
      <c r="G235" s="7">
        <f>MAX((1-Parameters!$B$4)^Parameters!B$65*G234+D234*Parameters!B$65-Parameters!$B$5*D234^2/G234*Parameters!B$65,0.0001)</f>
        <v>4.3878780415193894</v>
      </c>
      <c r="I235" s="7">
        <f>I234*(1+Parameters!$B$51)^Parameters!B$65</f>
        <v>15.929531090337258</v>
      </c>
      <c r="J235" s="7">
        <f>J234*(1+Parameters!$B$53)^Parameters!B$65</f>
        <v>875.01590605153888</v>
      </c>
      <c r="K235" s="7">
        <f>'6states'!$O$4</f>
        <v>0.98104277196026479</v>
      </c>
      <c r="L235" s="9">
        <f t="shared" si="43"/>
        <v>0.5</v>
      </c>
      <c r="N235" s="7">
        <f>(Parameters!$B$19*(E235+Parameters!$B$20)^L235+Parameters!$B$18*F235^L235)^(1/L235)</f>
        <v>0.53556371690029247</v>
      </c>
      <c r="O235" s="7">
        <f>(Parameters!$B$10*G235^Parameters!$B$9 + Parameters!$B$11*N235^Parameters!$B$9) ^ (Parameters!$B$7/Parameters!$B$9) * K235</f>
        <v>1.5070071346383278</v>
      </c>
      <c r="P235" s="7">
        <f t="shared" si="40"/>
        <v>1.1491121610232047</v>
      </c>
      <c r="Q235" s="7">
        <f>EXP(-Parameters!$B$55*A235)</f>
        <v>3.0558878917301198E-2</v>
      </c>
      <c r="R235" s="7">
        <f>IF(P235&gt;0,P235^(1-Parameters!$B$52)/(1-Parameters!$B$52)*Q235,-10+P235*1000)</f>
        <v>-8.3165370386929408E-2</v>
      </c>
      <c r="S235" s="7"/>
      <c r="T235" s="7"/>
      <c r="U235" s="7"/>
      <c r="V235" s="7"/>
    </row>
    <row r="236" spans="1:22" x14ac:dyDescent="0.25">
      <c r="A236">
        <f>A235+Parameters!$B$65</f>
        <v>232</v>
      </c>
      <c r="B236" s="9">
        <f t="shared" ref="B236:D236" si="74">B235</f>
        <v>5.191758263687303E-2</v>
      </c>
      <c r="C236" s="9">
        <f t="shared" si="74"/>
        <v>1.0017548050425843E-2</v>
      </c>
      <c r="D236" s="7">
        <f t="shared" si="74"/>
        <v>0.2959598429278244</v>
      </c>
      <c r="E236" s="7">
        <f>MAX((1-Parameters!$B$4)^Parameters!B$65*E235+B235*Parameters!B$65-Parameters!$B$5*B235^2/E235*Parameters!B$65,0.0001)</f>
        <v>0.7697261165126873</v>
      </c>
      <c r="F236" s="9">
        <f>MAX((1-Parameters!$B$4)^Parameters!B$65*F235+C235*Parameters!B$65-Parameters!$B$5*C235^2/F235*Parameters!B$65,0.0001)</f>
        <v>0.14851940254647328</v>
      </c>
      <c r="G236" s="7">
        <f>MAX((1-Parameters!$B$4)^Parameters!B$65*G235+D235*Parameters!B$65-Parameters!$B$5*D235^2/G235*Parameters!B$65,0.0001)</f>
        <v>4.3878780349428093</v>
      </c>
      <c r="I236" s="7">
        <f>I235*(1+Parameters!$B$51)^Parameters!B$65</f>
        <v>15.975726730499234</v>
      </c>
      <c r="J236" s="7">
        <f>J235*(1+Parameters!$B$53)^Parameters!B$65</f>
        <v>892.51622417256965</v>
      </c>
      <c r="K236" s="7">
        <f>'6states'!$O$4</f>
        <v>0.98104277196026479</v>
      </c>
      <c r="L236" s="9">
        <f t="shared" si="43"/>
        <v>0.5</v>
      </c>
      <c r="N236" s="7">
        <f>(Parameters!$B$19*(E236+Parameters!$B$20)^L236+Parameters!$B$18*F236^L236)^(1/L236)</f>
        <v>0.53556371609949083</v>
      </c>
      <c r="O236" s="7">
        <f>(Parameters!$B$10*G236^Parameters!$B$9 + Parameters!$B$11*N236^Parameters!$B$9) ^ (Parameters!$B$7/Parameters!$B$9) * K236</f>
        <v>1.5070071339609952</v>
      </c>
      <c r="P236" s="7">
        <f t="shared" si="40"/>
        <v>1.1491121603458718</v>
      </c>
      <c r="Q236" s="7">
        <f>EXP(-Parameters!$B$55*A236)</f>
        <v>3.0100906241184062E-2</v>
      </c>
      <c r="R236" s="7">
        <f>IF(P236&gt;0,P236^(1-Parameters!$B$52)/(1-Parameters!$B$52)*Q236,-10+P236*1000)</f>
        <v>-8.1919007036264771E-2</v>
      </c>
      <c r="S236" s="7"/>
      <c r="T236" s="7"/>
      <c r="U236" s="7"/>
      <c r="V236" s="7"/>
    </row>
    <row r="237" spans="1:22" x14ac:dyDescent="0.25">
      <c r="A237">
        <f>A236+Parameters!$B$65</f>
        <v>233</v>
      </c>
      <c r="B237" s="9">
        <f t="shared" ref="B237:D237" si="75">B236</f>
        <v>5.191758263687303E-2</v>
      </c>
      <c r="C237" s="9">
        <f t="shared" si="75"/>
        <v>1.0017548050425843E-2</v>
      </c>
      <c r="D237" s="7">
        <f t="shared" si="75"/>
        <v>0.2959598429278244</v>
      </c>
      <c r="E237" s="7">
        <f>MAX((1-Parameters!$B$4)^Parameters!B$65*E236+B236*Parameters!B$65-Parameters!$B$5*B236^2/E236*Parameters!B$65,0.0001)</f>
        <v>0.769726115414332</v>
      </c>
      <c r="F237" s="9">
        <f>MAX((1-Parameters!$B$4)^Parameters!B$65*F236+C236*Parameters!B$65-Parameters!$B$5*C236^2/F236*Parameters!B$65,0.0001)</f>
        <v>0.14851940233785779</v>
      </c>
      <c r="G237" s="7">
        <f>MAX((1-Parameters!$B$4)^Parameters!B$65*G236+D236*Parameters!B$65-Parameters!$B$5*D236^2/G236*Parameters!B$65,0.0001)</f>
        <v>4.3878780287499755</v>
      </c>
      <c r="I237" s="7">
        <f>I236*(1+Parameters!$B$51)^Parameters!B$65</f>
        <v>16.022056338017681</v>
      </c>
      <c r="J237" s="7">
        <f>J236*(1+Parameters!$B$53)^Parameters!B$65</f>
        <v>910.36654865602111</v>
      </c>
      <c r="K237" s="7">
        <f>'6states'!$O$4</f>
        <v>0.98104277196026479</v>
      </c>
      <c r="L237" s="9">
        <f t="shared" si="43"/>
        <v>0.5</v>
      </c>
      <c r="N237" s="7">
        <f>(Parameters!$B$19*(E237+Parameters!$B$20)^L237+Parameters!$B$18*F237^L237)^(1/L237)</f>
        <v>0.53556371534541658</v>
      </c>
      <c r="O237" s="7">
        <f>(Parameters!$B$10*G237^Parameters!$B$9 + Parameters!$B$11*N237^Parameters!$B$9) ^ (Parameters!$B$7/Parameters!$B$9) * K237</f>
        <v>1.5070071333231847</v>
      </c>
      <c r="P237" s="7">
        <f t="shared" si="40"/>
        <v>1.1491121597080616</v>
      </c>
      <c r="Q237" s="7">
        <f>EXP(-Parameters!$B$55*A237)</f>
        <v>2.9649797003108529E-2</v>
      </c>
      <c r="R237" s="7">
        <f>IF(P237&gt;0,P237^(1-Parameters!$B$52)/(1-Parameters!$B$52)*Q237,-10+P237*1000)</f>
        <v>-8.0691322391819642E-2</v>
      </c>
      <c r="S237" s="7"/>
      <c r="T237" s="7"/>
      <c r="U237" s="7"/>
      <c r="V237" s="7"/>
    </row>
    <row r="238" spans="1:22" x14ac:dyDescent="0.25">
      <c r="A238">
        <f>A237+Parameters!$B$65</f>
        <v>234</v>
      </c>
      <c r="B238" s="9">
        <f t="shared" ref="B238:D238" si="76">B237</f>
        <v>5.191758263687303E-2</v>
      </c>
      <c r="C238" s="9">
        <f t="shared" si="76"/>
        <v>1.0017548050425843E-2</v>
      </c>
      <c r="D238" s="7">
        <f t="shared" si="76"/>
        <v>0.2959598429278244</v>
      </c>
      <c r="E238" s="7">
        <f>MAX((1-Parameters!$B$4)^Parameters!B$65*E237+B237*Parameters!B$65-Parameters!$B$5*B237^2/E237*Parameters!B$65,0.0001)</f>
        <v>0.76972611438006633</v>
      </c>
      <c r="F238" s="9">
        <f>MAX((1-Parameters!$B$4)^Parameters!B$65*F237+C237*Parameters!B$65-Parameters!$B$5*C237^2/F237*Parameters!B$65,0.0001)</f>
        <v>0.14851940214141515</v>
      </c>
      <c r="G238" s="7">
        <f>MAX((1-Parameters!$B$4)^Parameters!B$65*G237+D237*Parameters!B$65-Parameters!$B$5*D237^2/G237*Parameters!B$65,0.0001)</f>
        <v>4.387878022918497</v>
      </c>
      <c r="I238" s="7">
        <f>I237*(1+Parameters!$B$51)^Parameters!B$65</f>
        <v>16.068520301397932</v>
      </c>
      <c r="J238" s="7">
        <f>J237*(1+Parameters!$B$53)^Parameters!B$65</f>
        <v>928.57387962914152</v>
      </c>
      <c r="K238" s="7">
        <f>'6states'!$O$4</f>
        <v>0.98104277196026479</v>
      </c>
      <c r="L238" s="9">
        <f t="shared" si="43"/>
        <v>0.5</v>
      </c>
      <c r="N238" s="7">
        <f>(Parameters!$B$19*(E238+Parameters!$B$20)^L238+Parameters!$B$18*F238^L238)^(1/L238)</f>
        <v>0.53556371463534291</v>
      </c>
      <c r="O238" s="7">
        <f>(Parameters!$B$10*G238^Parameters!$B$9 + Parameters!$B$11*N238^Parameters!$B$9) ^ (Parameters!$B$7/Parameters!$B$9) * K238</f>
        <v>1.5070071327225913</v>
      </c>
      <c r="P238" s="7">
        <f t="shared" si="40"/>
        <v>1.1491121591074682</v>
      </c>
      <c r="Q238" s="7">
        <f>EXP(-Parameters!$B$55*A238)</f>
        <v>2.9205448343702842E-2</v>
      </c>
      <c r="R238" s="7">
        <f>IF(P238&gt;0,P238^(1-Parameters!$B$52)/(1-Parameters!$B$52)*Q238,-10+P238*1000)</f>
        <v>-7.9482036524006816E-2</v>
      </c>
      <c r="S238" s="7"/>
      <c r="T238" s="7"/>
      <c r="U238" s="7"/>
      <c r="V238" s="7"/>
    </row>
    <row r="239" spans="1:22" x14ac:dyDescent="0.25">
      <c r="A239">
        <f>A238+Parameters!$B$65</f>
        <v>235</v>
      </c>
      <c r="B239" s="9">
        <f t="shared" ref="B239:D239" si="77">B238</f>
        <v>5.191758263687303E-2</v>
      </c>
      <c r="C239" s="9">
        <f t="shared" si="77"/>
        <v>1.0017548050425843E-2</v>
      </c>
      <c r="D239" s="7">
        <f t="shared" si="77"/>
        <v>0.2959598429278244</v>
      </c>
      <c r="E239" s="7">
        <f>MAX((1-Parameters!$B$4)^Parameters!B$65*E238+B238*Parameters!B$65-Parameters!$B$5*B238^2/E238*Parameters!B$65,0.0001)</f>
        <v>0.7697261134061506</v>
      </c>
      <c r="F239" s="9">
        <f>MAX((1-Parameters!$B$4)^Parameters!B$65*F238+C238*Parameters!B$65-Parameters!$B$5*C238^2/F238*Parameters!B$65,0.0001)</f>
        <v>0.14851940195643507</v>
      </c>
      <c r="G239" s="7">
        <f>MAX((1-Parameters!$B$4)^Parameters!B$65*G238+D238*Parameters!B$65-Parameters!$B$5*D238^2/G238*Parameters!B$65,0.0001)</f>
        <v>4.3878780174272887</v>
      </c>
      <c r="I239" s="7">
        <f>I238*(1+Parameters!$B$51)^Parameters!B$65</f>
        <v>16.115119010271986</v>
      </c>
      <c r="J239" s="7">
        <f>J238*(1+Parameters!$B$53)^Parameters!B$65</f>
        <v>947.14535722172434</v>
      </c>
      <c r="K239" s="7">
        <f>'6states'!$O$4</f>
        <v>0.98104277196026479</v>
      </c>
      <c r="L239" s="9">
        <f t="shared" si="43"/>
        <v>0.5</v>
      </c>
      <c r="N239" s="7">
        <f>(Parameters!$B$19*(E239+Parameters!$B$20)^L239+Parameters!$B$18*F239^L239)^(1/L239)</f>
        <v>0.53556371396670255</v>
      </c>
      <c r="O239" s="7">
        <f>(Parameters!$B$10*G239^Parameters!$B$9 + Parameters!$B$11*N239^Parameters!$B$9) ^ (Parameters!$B$7/Parameters!$B$9) * K239</f>
        <v>1.5070071321570424</v>
      </c>
      <c r="P239" s="7">
        <f t="shared" si="40"/>
        <v>1.1491121585419193</v>
      </c>
      <c r="Q239" s="7">
        <f>EXP(-Parameters!$B$55*A239)</f>
        <v>2.8767758945104051E-2</v>
      </c>
      <c r="R239" s="7">
        <f>IF(P239&gt;0,P239^(1-Parameters!$B$52)/(1-Parameters!$B$52)*Q239,-10+P239*1000)</f>
        <v>-7.8290873698416003E-2</v>
      </c>
      <c r="S239" s="7"/>
      <c r="T239" s="7"/>
      <c r="U239" s="7"/>
      <c r="V239" s="7"/>
    </row>
    <row r="240" spans="1:22" x14ac:dyDescent="0.25">
      <c r="A240">
        <f>A239+Parameters!$B$65</f>
        <v>236</v>
      </c>
      <c r="B240" s="9">
        <f t="shared" ref="B240:D240" si="78">B239</f>
        <v>5.191758263687303E-2</v>
      </c>
      <c r="C240" s="9">
        <f t="shared" si="78"/>
        <v>1.0017548050425843E-2</v>
      </c>
      <c r="D240" s="7">
        <f t="shared" si="78"/>
        <v>0.2959598429278244</v>
      </c>
      <c r="E240" s="7">
        <f>MAX((1-Parameters!$B$4)^Parameters!B$65*E239+B239*Parameters!B$65-Parameters!$B$5*B239^2/E239*Parameters!B$65,0.0001)</f>
        <v>0.76972611248906353</v>
      </c>
      <c r="F240" s="9">
        <f>MAX((1-Parameters!$B$4)^Parameters!B$65*F239+C239*Parameters!B$65-Parameters!$B$5*C239^2/F239*Parameters!B$65,0.0001)</f>
        <v>0.14851940178224868</v>
      </c>
      <c r="G240" s="7">
        <f>MAX((1-Parameters!$B$4)^Parameters!B$65*G239+D239*Parameters!B$65-Parameters!$B$5*D239^2/G239*Parameters!B$65,0.0001)</f>
        <v>4.387878012256496</v>
      </c>
      <c r="I240" s="7">
        <f>I239*(1+Parameters!$B$51)^Parameters!B$65</f>
        <v>16.161852855401772</v>
      </c>
      <c r="J240" s="7">
        <f>J239*(1+Parameters!$B$53)^Parameters!B$65</f>
        <v>966.0882643661588</v>
      </c>
      <c r="K240" s="7">
        <f>'6states'!$O$4</f>
        <v>0.98104277196026479</v>
      </c>
      <c r="L240" s="9">
        <f t="shared" si="43"/>
        <v>0.5</v>
      </c>
      <c r="N240" s="7">
        <f>(Parameters!$B$19*(E240+Parameters!$B$20)^L240+Parameters!$B$18*F240^L240)^(1/L240)</f>
        <v>0.53556371333707764</v>
      </c>
      <c r="O240" s="7">
        <f>(Parameters!$B$10*G240^Parameters!$B$9 + Parameters!$B$11*N240^Parameters!$B$9) ^ (Parameters!$B$7/Parameters!$B$9) * K240</f>
        <v>1.5070071316244942</v>
      </c>
      <c r="P240" s="7">
        <f t="shared" si="40"/>
        <v>1.1491121580093711</v>
      </c>
      <c r="Q240" s="7">
        <f>EXP(-Parameters!$B$55*A240)</f>
        <v>2.8336629007856159E-2</v>
      </c>
      <c r="R240" s="7">
        <f>IF(P240&gt;0,P240^(1-Parameters!$B$52)/(1-Parameters!$B$52)*Q240,-10+P240*1000)</f>
        <v>-7.7117562312943158E-2</v>
      </c>
      <c r="S240" s="7"/>
      <c r="T240" s="7"/>
      <c r="U240" s="7"/>
      <c r="V240" s="7"/>
    </row>
    <row r="241" spans="1:22" x14ac:dyDescent="0.25">
      <c r="A241">
        <f>A240+Parameters!$B$65</f>
        <v>237</v>
      </c>
      <c r="B241" s="9">
        <f t="shared" ref="B241:D241" si="79">B240</f>
        <v>5.191758263687303E-2</v>
      </c>
      <c r="C241" s="9">
        <f t="shared" si="79"/>
        <v>1.0017548050425843E-2</v>
      </c>
      <c r="D241" s="7">
        <f t="shared" si="79"/>
        <v>0.2959598429278244</v>
      </c>
      <c r="E241" s="7">
        <f>MAX((1-Parameters!$B$4)^Parameters!B$65*E240+B240*Parameters!B$65-Parameters!$B$5*B240^2/E240*Parameters!B$65,0.0001)</f>
        <v>0.76972611162548898</v>
      </c>
      <c r="F241" s="9">
        <f>MAX((1-Parameters!$B$4)^Parameters!B$65*F240+C240*Parameters!B$65-Parameters!$B$5*C240^2/F240*Parameters!B$65,0.0001)</f>
        <v>0.14851940161822616</v>
      </c>
      <c r="G241" s="7">
        <f>MAX((1-Parameters!$B$4)^Parameters!B$65*G240+D240*Parameters!B$65-Parameters!$B$5*D240^2/G240*Parameters!B$65,0.0001)</f>
        <v>4.3878780073874211</v>
      </c>
      <c r="I241" s="7">
        <f>I240*(1+Parameters!$B$51)^Parameters!B$65</f>
        <v>16.208722228682436</v>
      </c>
      <c r="J241" s="7">
        <f>J240*(1+Parameters!$B$53)^Parameters!B$65</f>
        <v>985.41002965348196</v>
      </c>
      <c r="K241" s="7">
        <f>'6states'!$O$4</f>
        <v>0.98104277196026479</v>
      </c>
      <c r="L241" s="9">
        <f t="shared" si="43"/>
        <v>0.5</v>
      </c>
      <c r="N241" s="7">
        <f>(Parameters!$B$19*(E241+Parameters!$B$20)^L241+Parameters!$B$18*F241^L241)^(1/L241)</f>
        <v>0.53556371274419168</v>
      </c>
      <c r="O241" s="7">
        <f>(Parameters!$B$10*G241^Parameters!$B$9 + Parameters!$B$11*N241^Parameters!$B$9) ^ (Parameters!$B$7/Parameters!$B$9) * K241</f>
        <v>1.5070071311230202</v>
      </c>
      <c r="P241" s="7">
        <f t="shared" si="40"/>
        <v>1.1491121575078971</v>
      </c>
      <c r="Q241" s="7">
        <f>EXP(-Parameters!$B$55*A241)</f>
        <v>2.7911960228154321E-2</v>
      </c>
      <c r="R241" s="7">
        <f>IF(P241&gt;0,P241^(1-Parameters!$B$52)/(1-Parameters!$B$52)*Q241,-10+P241*1000)</f>
        <v>-7.5961834835861664E-2</v>
      </c>
      <c r="S241" s="7"/>
      <c r="T241" s="7"/>
      <c r="U241" s="7"/>
      <c r="V241" s="7"/>
    </row>
    <row r="242" spans="1:22" x14ac:dyDescent="0.25">
      <c r="A242">
        <f>A241+Parameters!$B$65</f>
        <v>238</v>
      </c>
      <c r="B242" s="9">
        <f t="shared" ref="B242:D242" si="80">B241</f>
        <v>5.191758263687303E-2</v>
      </c>
      <c r="C242" s="9">
        <f t="shared" si="80"/>
        <v>1.0017548050425843E-2</v>
      </c>
      <c r="D242" s="7">
        <f t="shared" si="80"/>
        <v>0.2959598429278244</v>
      </c>
      <c r="E242" s="7">
        <f>MAX((1-Parameters!$B$4)^Parameters!B$65*E241+B241*Parameters!B$65-Parameters!$B$5*B241^2/E241*Parameters!B$65,0.0001)</f>
        <v>0.76972611081230446</v>
      </c>
      <c r="F242" s="9">
        <f>MAX((1-Parameters!$B$4)^Parameters!B$65*F241+C241*Parameters!B$65-Parameters!$B$5*C241^2/F241*Parameters!B$65,0.0001)</f>
        <v>0.14851940146377446</v>
      </c>
      <c r="G242" s="7">
        <f>MAX((1-Parameters!$B$4)^Parameters!B$65*G241+D241*Parameters!B$65-Parameters!$B$5*D241^2/G241*Parameters!B$65,0.0001)</f>
        <v>4.3878780028024602</v>
      </c>
      <c r="I242" s="7">
        <f>I241*(1+Parameters!$B$51)^Parameters!B$65</f>
        <v>16.255727523145612</v>
      </c>
      <c r="J242" s="7">
        <f>J241*(1+Parameters!$B$53)^Parameters!B$65</f>
        <v>1005.1182302465517</v>
      </c>
      <c r="K242" s="7">
        <f>'6states'!$O$4</f>
        <v>0.98104277196026479</v>
      </c>
      <c r="L242" s="9">
        <f t="shared" si="43"/>
        <v>0.5</v>
      </c>
      <c r="N242" s="7">
        <f>(Parameters!$B$19*(E242+Parameters!$B$20)^L242+Parameters!$B$18*F242^L242)^(1/L242)</f>
        <v>0.53556371218590093</v>
      </c>
      <c r="O242" s="7">
        <f>(Parameters!$B$10*G242^Parameters!$B$9 + Parameters!$B$11*N242^Parameters!$B$9) ^ (Parameters!$B$7/Parameters!$B$9) * K242</f>
        <v>1.5070071306508073</v>
      </c>
      <c r="P242" s="7">
        <f t="shared" si="40"/>
        <v>1.1491121570356841</v>
      </c>
      <c r="Q242" s="7">
        <f>EXP(-Parameters!$B$55*A242)</f>
        <v>2.7493655775430236E-2</v>
      </c>
      <c r="R242" s="7">
        <f>IF(P242&gt;0,P242^(1-Parameters!$B$52)/(1-Parameters!$B$52)*Q242,-10+P242*1000)</f>
        <v>-7.4823427744821855E-2</v>
      </c>
      <c r="S242" s="7"/>
      <c r="T242" s="7"/>
      <c r="U242" s="7"/>
      <c r="V242" s="7"/>
    </row>
    <row r="243" spans="1:22" x14ac:dyDescent="0.25">
      <c r="A243">
        <f>A242+Parameters!$B$65</f>
        <v>239</v>
      </c>
      <c r="B243" s="9">
        <f t="shared" ref="B243:D243" si="81">B242</f>
        <v>5.191758263687303E-2</v>
      </c>
      <c r="C243" s="9">
        <f t="shared" si="81"/>
        <v>1.0017548050425843E-2</v>
      </c>
      <c r="D243" s="7">
        <f t="shared" si="81"/>
        <v>0.2959598429278244</v>
      </c>
      <c r="E243" s="7">
        <f>MAX((1-Parameters!$B$4)^Parameters!B$65*E242+B242*Parameters!B$65-Parameters!$B$5*B242^2/E242*Parameters!B$65,0.0001)</f>
        <v>0.76972611004656977</v>
      </c>
      <c r="F243" s="9">
        <f>MAX((1-Parameters!$B$4)^Parameters!B$65*F242+C242*Parameters!B$65-Parameters!$B$5*C242^2/F242*Parameters!B$65,0.0001)</f>
        <v>0.1485194013183351</v>
      </c>
      <c r="G243" s="7">
        <f>MAX((1-Parameters!$B$4)^Parameters!B$65*G242+D242*Parameters!B$65-Parameters!$B$5*D242^2/G242*Parameters!B$65,0.0001)</f>
        <v>4.3878779984850347</v>
      </c>
      <c r="I243" s="7">
        <f>I242*(1+Parameters!$B$51)^Parameters!B$65</f>
        <v>16.302869132962734</v>
      </c>
      <c r="J243" s="7">
        <f>J242*(1+Parameters!$B$53)^Parameters!B$65</f>
        <v>1025.2205948514827</v>
      </c>
      <c r="K243" s="7">
        <f>'6states'!$O$4</f>
        <v>0.98104277196026479</v>
      </c>
      <c r="L243" s="9">
        <f t="shared" si="43"/>
        <v>0.5</v>
      </c>
      <c r="N243" s="7">
        <f>(Parameters!$B$19*(E243+Parameters!$B$20)^L243+Parameters!$B$18*F243^L243)^(1/L243)</f>
        <v>0.53556371166018668</v>
      </c>
      <c r="O243" s="7">
        <f>(Parameters!$B$10*G243^Parameters!$B$9 + Parameters!$B$11*N243^Parameters!$B$9) ^ (Parameters!$B$7/Parameters!$B$9) * K243</f>
        <v>1.5070071302061483</v>
      </c>
      <c r="P243" s="7">
        <f t="shared" si="40"/>
        <v>1.1491121565910252</v>
      </c>
      <c r="Q243" s="7">
        <f>EXP(-Parameters!$B$55*A243)</f>
        <v>2.7081620270273384E-2</v>
      </c>
      <c r="R243" s="7">
        <f>IF(P243&gt;0,P243^(1-Parameters!$B$52)/(1-Parameters!$B$52)*Q243,-10+P243*1000)</f>
        <v>-7.3702081466764574E-2</v>
      </c>
      <c r="S243" s="7"/>
      <c r="T243" s="7"/>
      <c r="U243" s="7"/>
      <c r="V243" s="7"/>
    </row>
    <row r="244" spans="1:22" x14ac:dyDescent="0.25">
      <c r="A244">
        <f>A243+Parameters!$B$65</f>
        <v>240</v>
      </c>
      <c r="B244" s="9">
        <f t="shared" ref="B244:D244" si="82">B243</f>
        <v>5.191758263687303E-2</v>
      </c>
      <c r="C244" s="9">
        <f t="shared" si="82"/>
        <v>1.0017548050425843E-2</v>
      </c>
      <c r="D244" s="7">
        <f t="shared" si="82"/>
        <v>0.2959598429278244</v>
      </c>
      <c r="E244" s="7">
        <f>MAX((1-Parameters!$B$4)^Parameters!B$65*E243+B243*Parameters!B$65-Parameters!$B$5*B243^2/E243*Parameters!B$65,0.0001)</f>
        <v>0.76972610932551611</v>
      </c>
      <c r="F244" s="9">
        <f>MAX((1-Parameters!$B$4)^Parameters!B$65*F243+C243*Parameters!B$65-Parameters!$B$5*C243^2/F243*Parameters!B$65,0.0001)</f>
        <v>0.14851940118138221</v>
      </c>
      <c r="G244" s="7">
        <f>MAX((1-Parameters!$B$4)^Parameters!B$65*G243+D243*Parameters!B$65-Parameters!$B$5*D243^2/G243*Parameters!B$65,0.0001)</f>
        <v>4.387877994419533</v>
      </c>
      <c r="I244" s="7">
        <f>I243*(1+Parameters!$B$51)^Parameters!B$65</f>
        <v>16.350147453448322</v>
      </c>
      <c r="J244" s="7">
        <f>J243*(1+Parameters!$B$53)^Parameters!B$65</f>
        <v>1045.7250067485124</v>
      </c>
      <c r="K244" s="7">
        <f>'6states'!$O$4</f>
        <v>0.98104277196026479</v>
      </c>
      <c r="L244" s="9">
        <f t="shared" si="43"/>
        <v>0.5</v>
      </c>
      <c r="N244" s="7">
        <f>(Parameters!$B$19*(E244+Parameters!$B$20)^L244+Parameters!$B$18*F244^L244)^(1/L244)</f>
        <v>0.53556371116514834</v>
      </c>
      <c r="O244" s="7">
        <f>(Parameters!$B$10*G244^Parameters!$B$9 + Parameters!$B$11*N244^Parameters!$B$9) ^ (Parameters!$B$7/Parameters!$B$9) * K244</f>
        <v>1.5070071297874359</v>
      </c>
      <c r="P244" s="7">
        <f t="shared" si="40"/>
        <v>1.1491121561723125</v>
      </c>
      <c r="Q244" s="7">
        <f>EXP(-Parameters!$B$55*A244)</f>
        <v>2.6675759762683122E-2</v>
      </c>
      <c r="R244" s="7">
        <f>IF(P244&gt;0,P244^(1-Parameters!$B$52)/(1-Parameters!$B$52)*Q244,-10+P244*1000)</f>
        <v>-7.2597540318735221E-2</v>
      </c>
      <c r="S244" s="7"/>
      <c r="T244" s="7"/>
      <c r="U244" s="7"/>
      <c r="V244" s="7"/>
    </row>
    <row r="245" spans="1:22" x14ac:dyDescent="0.25">
      <c r="A245">
        <f>A244+Parameters!$B$65</f>
        <v>241</v>
      </c>
      <c r="B245" s="9">
        <f t="shared" ref="B245:D245" si="83">B244</f>
        <v>5.191758263687303E-2</v>
      </c>
      <c r="C245" s="9">
        <f t="shared" si="83"/>
        <v>1.0017548050425843E-2</v>
      </c>
      <c r="D245" s="7">
        <f t="shared" si="83"/>
        <v>0.2959598429278244</v>
      </c>
      <c r="E245" s="7">
        <f>MAX((1-Parameters!$B$4)^Parameters!B$65*E244+B244*Parameters!B$65-Parameters!$B$5*B244^2/E244*Parameters!B$65,0.0001)</f>
        <v>0.76972610864653634</v>
      </c>
      <c r="F245" s="9">
        <f>MAX((1-Parameters!$B$4)^Parameters!B$65*F244+C244*Parameters!B$65-Parameters!$B$5*C244^2/F244*Parameters!B$65,0.0001)</f>
        <v>0.14851940105242059</v>
      </c>
      <c r="G245" s="7">
        <f>MAX((1-Parameters!$B$4)^Parameters!B$65*G244+D244*Parameters!B$65-Parameters!$B$5*D244^2/G244*Parameters!B$65,0.0001)</f>
        <v>4.3878779905912557</v>
      </c>
      <c r="I245" s="7">
        <f>I244*(1+Parameters!$B$51)^Parameters!B$65</f>
        <v>16.397562881063322</v>
      </c>
      <c r="J245" s="7">
        <f>J244*(1+Parameters!$B$53)^Parameters!B$65</f>
        <v>1066.6395068834827</v>
      </c>
      <c r="K245" s="7">
        <f>'6states'!$O$4</f>
        <v>0.98104277196026479</v>
      </c>
      <c r="L245" s="9">
        <f t="shared" si="43"/>
        <v>0.5</v>
      </c>
      <c r="N245" s="7">
        <f>(Parameters!$B$19*(E245+Parameters!$B$20)^L245+Parameters!$B$18*F245^L245)^(1/L245)</f>
        <v>0.53556371069899578</v>
      </c>
      <c r="O245" s="7">
        <f>(Parameters!$B$10*G245^Parameters!$B$9 + Parameters!$B$11*N245^Parameters!$B$9) ^ (Parameters!$B$7/Parameters!$B$9) * K245</f>
        <v>1.5070071293931553</v>
      </c>
      <c r="P245" s="7">
        <f t="shared" si="40"/>
        <v>1.1491121557780319</v>
      </c>
      <c r="Q245" s="7">
        <f>EXP(-Parameters!$B$55*A245)</f>
        <v>2.6275981710646754E-2</v>
      </c>
      <c r="R245" s="7">
        <f>IF(P245&gt;0,P245^(1-Parameters!$B$52)/(1-Parameters!$B$52)*Q245,-10+P245*1000)</f>
        <v>-7.1509552449584693E-2</v>
      </c>
      <c r="S245" s="7"/>
      <c r="T245" s="7"/>
      <c r="U245" s="7"/>
      <c r="V245" s="7"/>
    </row>
    <row r="246" spans="1:22" x14ac:dyDescent="0.25">
      <c r="A246">
        <f>A245+Parameters!$B$65</f>
        <v>242</v>
      </c>
      <c r="B246" s="9">
        <f t="shared" ref="B246:D246" si="84">B245</f>
        <v>5.191758263687303E-2</v>
      </c>
      <c r="C246" s="9">
        <f t="shared" si="84"/>
        <v>1.0017548050425843E-2</v>
      </c>
      <c r="D246" s="7">
        <f t="shared" si="84"/>
        <v>0.2959598429278244</v>
      </c>
      <c r="E246" s="7">
        <f>MAX((1-Parameters!$B$4)^Parameters!B$65*E245+B245*Parameters!B$65-Parameters!$B$5*B245^2/E245*Parameters!B$65,0.0001)</f>
        <v>0.76972610800717545</v>
      </c>
      <c r="F246" s="9">
        <f>MAX((1-Parameters!$B$4)^Parameters!B$65*F245+C245*Parameters!B$65-Parameters!$B$5*C245^2/F245*Parameters!B$65,0.0001)</f>
        <v>0.14851940093098395</v>
      </c>
      <c r="G246" s="7">
        <f>MAX((1-Parameters!$B$4)^Parameters!B$65*G245+D245*Parameters!B$65-Parameters!$B$5*D245^2/G245*Parameters!B$65,0.0001)</f>
        <v>4.3878779869863607</v>
      </c>
      <c r="I246" s="7">
        <f>I245*(1+Parameters!$B$51)^Parameters!B$65</f>
        <v>16.445115813418404</v>
      </c>
      <c r="J246" s="7">
        <f>J245*(1+Parameters!$B$53)^Parameters!B$65</f>
        <v>1087.9722970211524</v>
      </c>
      <c r="K246" s="7">
        <f>'6states'!$O$4</f>
        <v>0.98104277196026479</v>
      </c>
      <c r="L246" s="9">
        <f t="shared" si="43"/>
        <v>0.5</v>
      </c>
      <c r="N246" s="7">
        <f>(Parameters!$B$19*(E246+Parameters!$B$20)^L246+Parameters!$B$18*F246^L246)^(1/L246)</f>
        <v>0.53556371026004335</v>
      </c>
      <c r="O246" s="7">
        <f>(Parameters!$B$10*G246^Parameters!$B$9 + Parameters!$B$11*N246^Parameters!$B$9) ^ (Parameters!$B$7/Parameters!$B$9) * K246</f>
        <v>1.5070071290218812</v>
      </c>
      <c r="P246" s="7">
        <f t="shared" si="40"/>
        <v>1.1491121554067578</v>
      </c>
      <c r="Q246" s="7">
        <f>EXP(-Parameters!$B$55*A246)</f>
        <v>2.5882194959038634E-2</v>
      </c>
      <c r="R246" s="7">
        <f>IF(P246&gt;0,P246^(1-Parameters!$B$52)/(1-Parameters!$B$52)*Q246,-10+P246*1000)</f>
        <v>-7.0437869782544155E-2</v>
      </c>
      <c r="S246" s="7"/>
      <c r="T246" s="7"/>
      <c r="U246" s="7"/>
      <c r="V246" s="7"/>
    </row>
    <row r="247" spans="1:22" x14ac:dyDescent="0.25">
      <c r="A247">
        <f>A246+Parameters!$B$65</f>
        <v>243</v>
      </c>
      <c r="B247" s="9">
        <f t="shared" ref="B247:D247" si="85">B246</f>
        <v>5.191758263687303E-2</v>
      </c>
      <c r="C247" s="9">
        <f t="shared" si="85"/>
        <v>1.0017548050425843E-2</v>
      </c>
      <c r="D247" s="7">
        <f t="shared" si="85"/>
        <v>0.2959598429278244</v>
      </c>
      <c r="E247" s="7">
        <f>MAX((1-Parameters!$B$4)^Parameters!B$65*E246+B246*Parameters!B$65-Parameters!$B$5*B246^2/E246*Parameters!B$65,0.0001)</f>
        <v>0.7697261074051216</v>
      </c>
      <c r="F247" s="9">
        <f>MAX((1-Parameters!$B$4)^Parameters!B$65*F246+C246*Parameters!B$65-Parameters!$B$5*C246^2/F246*Parameters!B$65,0.0001)</f>
        <v>0.14851940081663323</v>
      </c>
      <c r="G247" s="7">
        <f>MAX((1-Parameters!$B$4)^Parameters!B$65*G246+D246*Parameters!B$65-Parameters!$B$5*D246^2/G246*Parameters!B$65,0.0001)</f>
        <v>4.3878779835918138</v>
      </c>
      <c r="I247" s="7">
        <f>I246*(1+Parameters!$B$51)^Parameters!B$65</f>
        <v>16.492806649277316</v>
      </c>
      <c r="J247" s="7">
        <f>J246*(1+Parameters!$B$53)^Parameters!B$65</f>
        <v>1109.7317429615755</v>
      </c>
      <c r="K247" s="7">
        <f>'6states'!$O$4</f>
        <v>0.98104277196026479</v>
      </c>
      <c r="L247" s="9">
        <f t="shared" si="43"/>
        <v>0.5</v>
      </c>
      <c r="N247" s="7">
        <f>(Parameters!$B$19*(E247+Parameters!$B$20)^L247+Parameters!$B$18*F247^L247)^(1/L247)</f>
        <v>0.53556370984670409</v>
      </c>
      <c r="O247" s="7">
        <f>(Parameters!$B$10*G247^Parameters!$B$9 + Parameters!$B$11*N247^Parameters!$B$9) ^ (Parameters!$B$7/Parameters!$B$9) * K247</f>
        <v>1.5070071286722713</v>
      </c>
      <c r="P247" s="7">
        <f t="shared" si="40"/>
        <v>1.1491121550571481</v>
      </c>
      <c r="Q247" s="7">
        <f>EXP(-Parameters!$B$55*A247)</f>
        <v>2.549430971883547E-2</v>
      </c>
      <c r="R247" s="7">
        <f>IF(P247&gt;0,P247^(1-Parameters!$B$52)/(1-Parameters!$B$52)*Q247,-10+P247*1000)</f>
        <v>-6.9382247958660256E-2</v>
      </c>
      <c r="S247" s="7"/>
      <c r="T247" s="7"/>
      <c r="U247" s="7"/>
      <c r="V247" s="7"/>
    </row>
    <row r="248" spans="1:22" x14ac:dyDescent="0.25">
      <c r="A248">
        <f>A247+Parameters!$B$65</f>
        <v>244</v>
      </c>
      <c r="B248" s="9">
        <f t="shared" ref="B248:D248" si="86">B247</f>
        <v>5.191758263687303E-2</v>
      </c>
      <c r="C248" s="9">
        <f t="shared" si="86"/>
        <v>1.0017548050425843E-2</v>
      </c>
      <c r="D248" s="7">
        <f t="shared" si="86"/>
        <v>0.2959598429278244</v>
      </c>
      <c r="E248" s="7">
        <f>MAX((1-Parameters!$B$4)^Parameters!B$65*E247+B247*Parameters!B$65-Parameters!$B$5*B247^2/E247*Parameters!B$65,0.0001)</f>
        <v>0.76972610683819798</v>
      </c>
      <c r="F248" s="9">
        <f>MAX((1-Parameters!$B$4)^Parameters!B$65*F247+C247*Parameters!B$65-Parameters!$B$5*C247^2/F247*Parameters!B$65,0.0001)</f>
        <v>0.14851940070895492</v>
      </c>
      <c r="G248" s="7">
        <f>MAX((1-Parameters!$B$4)^Parameters!B$65*G247+D247*Parameters!B$65-Parameters!$B$5*D247^2/G247*Parameters!B$65,0.0001)</f>
        <v>4.3878779803953405</v>
      </c>
      <c r="I248" s="7">
        <f>I247*(1+Parameters!$B$51)^Parameters!B$65</f>
        <v>16.54063578856022</v>
      </c>
      <c r="J248" s="7">
        <f>J247*(1+Parameters!$B$53)^Parameters!B$65</f>
        <v>1131.9263778208069</v>
      </c>
      <c r="K248" s="7">
        <f>'6states'!$O$4</f>
        <v>0.98104277196026479</v>
      </c>
      <c r="L248" s="9">
        <f t="shared" si="43"/>
        <v>0.5</v>
      </c>
      <c r="N248" s="7">
        <f>(Parameters!$B$19*(E248+Parameters!$B$20)^L248+Parameters!$B$18*F248^L248)^(1/L248)</f>
        <v>0.53556370945748366</v>
      </c>
      <c r="O248" s="7">
        <f>(Parameters!$B$10*G248^Parameters!$B$9 + Parameters!$B$11*N248^Parameters!$B$9) ^ (Parameters!$B$7/Parameters!$B$9) * K248</f>
        <v>1.5070071283430611</v>
      </c>
      <c r="P248" s="7">
        <f t="shared" si="40"/>
        <v>1.1491121547279377</v>
      </c>
      <c r="Q248" s="7">
        <f>EXP(-Parameters!$B$55*A248)</f>
        <v>2.5112237546643188E-2</v>
      </c>
      <c r="R248" s="7">
        <f>IF(P248&gt;0,P248^(1-Parameters!$B$52)/(1-Parameters!$B$52)*Q248,-10+P248*1000)</f>
        <v>-6.8342446281078231E-2</v>
      </c>
      <c r="S248" s="7"/>
      <c r="T248" s="7"/>
      <c r="U248" s="7"/>
      <c r="V248" s="7"/>
    </row>
    <row r="249" spans="1:22" x14ac:dyDescent="0.25">
      <c r="A249">
        <f>A248+Parameters!$B$65</f>
        <v>245</v>
      </c>
      <c r="B249" s="9">
        <f t="shared" ref="B249:D249" si="87">B248</f>
        <v>5.191758263687303E-2</v>
      </c>
      <c r="C249" s="9">
        <f t="shared" si="87"/>
        <v>1.0017548050425843E-2</v>
      </c>
      <c r="D249" s="7">
        <f t="shared" si="87"/>
        <v>0.2959598429278244</v>
      </c>
      <c r="E249" s="7">
        <f>MAX((1-Parameters!$B$4)^Parameters!B$65*E248+B248*Parameters!B$65-Parameters!$B$5*B248^2/E248*Parameters!B$65,0.0001)</f>
        <v>0.76972610630435467</v>
      </c>
      <c r="F249" s="9">
        <f>MAX((1-Parameters!$B$4)^Parameters!B$65*F248+C248*Parameters!B$65-Parameters!$B$5*C248^2/F248*Parameters!B$65,0.0001)</f>
        <v>0.14851940060755969</v>
      </c>
      <c r="G249" s="7">
        <f>MAX((1-Parameters!$B$4)^Parameters!B$65*G248+D248*Parameters!B$65-Parameters!$B$5*D248^2/G248*Parameters!B$65,0.0001)</f>
        <v>4.3878779773853829</v>
      </c>
      <c r="I249" s="7">
        <f>I248*(1+Parameters!$B$51)^Parameters!B$65</f>
        <v>16.588603632347041</v>
      </c>
      <c r="J249" s="7">
        <f>J248*(1+Parameters!$B$53)^Parameters!B$65</f>
        <v>1154.5649053772231</v>
      </c>
      <c r="K249" s="7">
        <f>'6states'!$O$4</f>
        <v>0.98104277196026479</v>
      </c>
      <c r="L249" s="9">
        <f t="shared" si="43"/>
        <v>0.5</v>
      </c>
      <c r="N249" s="7">
        <f>(Parameters!$B$19*(E249+Parameters!$B$20)^L249+Parameters!$B$18*F249^L249)^(1/L249)</f>
        <v>0.53556370909097417</v>
      </c>
      <c r="O249" s="7">
        <f>(Parameters!$B$10*G249^Parameters!$B$9 + Parameters!$B$11*N249^Parameters!$B$9) ^ (Parameters!$B$7/Parameters!$B$9) * K249</f>
        <v>1.5070071280330604</v>
      </c>
      <c r="P249" s="7">
        <f t="shared" si="40"/>
        <v>1.1491121544179372</v>
      </c>
      <c r="Q249" s="7">
        <f>EXP(-Parameters!$B$55*A249)</f>
        <v>2.4735891324530496E-2</v>
      </c>
      <c r="R249" s="7">
        <f>IF(P249&gt;0,P249^(1-Parameters!$B$52)/(1-Parameters!$B$52)*Q249,-10+P249*1000)</f>
        <v>-6.7318227660159588E-2</v>
      </c>
      <c r="S249" s="7"/>
      <c r="T249" s="7"/>
      <c r="U249" s="7"/>
      <c r="V249" s="7"/>
    </row>
    <row r="250" spans="1:22" x14ac:dyDescent="0.25">
      <c r="A250">
        <f>A249+Parameters!$B$65</f>
        <v>246</v>
      </c>
      <c r="B250" s="9">
        <f t="shared" ref="B250:D250" si="88">B249</f>
        <v>5.191758263687303E-2</v>
      </c>
      <c r="C250" s="9">
        <f t="shared" si="88"/>
        <v>1.0017548050425843E-2</v>
      </c>
      <c r="D250" s="7">
        <f t="shared" si="88"/>
        <v>0.2959598429278244</v>
      </c>
      <c r="E250" s="7">
        <f>MAX((1-Parameters!$B$4)^Parameters!B$65*E249+B249*Parameters!B$65-Parameters!$B$5*B249^2/E249*Parameters!B$65,0.0001)</f>
        <v>0.76972610580166134</v>
      </c>
      <c r="F250" s="9">
        <f>MAX((1-Parameters!$B$4)^Parameters!B$65*F249+C249*Parameters!B$65-Parameters!$B$5*C249^2/F249*Parameters!B$65,0.0001)</f>
        <v>0.14851940051208093</v>
      </c>
      <c r="G250" s="7">
        <f>MAX((1-Parameters!$B$4)^Parameters!B$65*G249+D249*Parameters!B$65-Parameters!$B$5*D249^2/G249*Parameters!B$65,0.0001)</f>
        <v>4.3878779745510581</v>
      </c>
      <c r="I250" s="7">
        <f>I249*(1+Parameters!$B$51)^Parameters!B$65</f>
        <v>16.636710582880845</v>
      </c>
      <c r="J250" s="7">
        <f>J249*(1+Parameters!$B$53)^Parameters!B$65</f>
        <v>1177.6562034847675</v>
      </c>
      <c r="K250" s="7">
        <f>'6states'!$O$4</f>
        <v>0.98104277196026479</v>
      </c>
      <c r="L250" s="9">
        <f t="shared" si="43"/>
        <v>0.5</v>
      </c>
      <c r="N250" s="7">
        <f>(Parameters!$B$19*(E250+Parameters!$B$20)^L250+Parameters!$B$18*F250^L250)^(1/L250)</f>
        <v>0.53556370874585069</v>
      </c>
      <c r="O250" s="7">
        <f>(Parameters!$B$10*G250^Parameters!$B$9 + Parameters!$B$11*N250^Parameters!$B$9) ^ (Parameters!$B$7/Parameters!$B$9) * K250</f>
        <v>1.507007127741149</v>
      </c>
      <c r="P250" s="7">
        <f t="shared" si="40"/>
        <v>1.1491121541260259</v>
      </c>
      <c r="Q250" s="7">
        <f>EXP(-Parameters!$B$55*A250)</f>
        <v>2.4365185240164795E-2</v>
      </c>
      <c r="R250" s="7">
        <f>IF(P250&gt;0,P250^(1-Parameters!$B$52)/(1-Parameters!$B$52)*Q250,-10+P250*1000)</f>
        <v>-6.6309358559422785E-2</v>
      </c>
      <c r="S250" s="7"/>
      <c r="T250" s="7"/>
      <c r="U250" s="7"/>
      <c r="V250" s="7"/>
    </row>
    <row r="251" spans="1:22" x14ac:dyDescent="0.25">
      <c r="A251">
        <f>A250+Parameters!$B$65</f>
        <v>247</v>
      </c>
      <c r="B251" s="9">
        <f t="shared" ref="B251:D251" si="89">B250</f>
        <v>5.191758263687303E-2</v>
      </c>
      <c r="C251" s="9">
        <f t="shared" si="89"/>
        <v>1.0017548050425843E-2</v>
      </c>
      <c r="D251" s="7">
        <f t="shared" si="89"/>
        <v>0.2959598429278244</v>
      </c>
      <c r="E251" s="7">
        <f>MAX((1-Parameters!$B$4)^Parameters!B$65*E250+B250*Parameters!B$65-Parameters!$B$5*B250^2/E250*Parameters!B$65,0.0001)</f>
        <v>0.76972610532830055</v>
      </c>
      <c r="F251" s="9">
        <f>MAX((1-Parameters!$B$4)^Parameters!B$65*F250+C250*Parameters!B$65-Parameters!$B$5*C250^2/F250*Parameters!B$65,0.0001)</f>
        <v>0.1485194004221734</v>
      </c>
      <c r="G251" s="7">
        <f>MAX((1-Parameters!$B$4)^Parameters!B$65*G250+D250*Parameters!B$65-Parameters!$B$5*D250^2/G250*Parameters!B$65,0.0001)</f>
        <v>4.3878779718821184</v>
      </c>
      <c r="I251" s="7">
        <f>I250*(1+Parameters!$B$51)^Parameters!B$65</f>
        <v>16.684957043571199</v>
      </c>
      <c r="J251" s="7">
        <f>J250*(1+Parameters!$B$53)^Parameters!B$65</f>
        <v>1201.2093275544628</v>
      </c>
      <c r="K251" s="7">
        <f>'6states'!$O$4</f>
        <v>0.98104277196026479</v>
      </c>
      <c r="L251" s="9">
        <f t="shared" si="43"/>
        <v>0.5</v>
      </c>
      <c r="N251" s="7">
        <f>(Parameters!$B$19*(E251+Parameters!$B$20)^L251+Parameters!$B$18*F251^L251)^(1/L251)</f>
        <v>0.53556370842086543</v>
      </c>
      <c r="O251" s="7">
        <f>(Parameters!$B$10*G251^Parameters!$B$9 + Parameters!$B$11*N251^Parameters!$B$9) ^ (Parameters!$B$7/Parameters!$B$9) * K251</f>
        <v>1.5070071274662702</v>
      </c>
      <c r="P251" s="7">
        <f t="shared" si="40"/>
        <v>1.1491121538511471</v>
      </c>
      <c r="Q251" s="7">
        <f>EXP(-Parameters!$B$55*A251)</f>
        <v>2.400003476724576E-2</v>
      </c>
      <c r="R251" s="7">
        <f>IF(P251&gt;0,P251^(1-Parameters!$B$52)/(1-Parameters!$B$52)*Q251,-10+P251*1000)</f>
        <v>-6.5315608942293768E-2</v>
      </c>
      <c r="S251" s="7"/>
      <c r="T251" s="7"/>
      <c r="U251" s="7"/>
      <c r="V251" s="7"/>
    </row>
    <row r="252" spans="1:22" x14ac:dyDescent="0.25">
      <c r="A252">
        <f>A251+Parameters!$B$65</f>
        <v>248</v>
      </c>
      <c r="B252" s="9">
        <f t="shared" ref="B252:D252" si="90">B251</f>
        <v>5.191758263687303E-2</v>
      </c>
      <c r="C252" s="9">
        <f t="shared" si="90"/>
        <v>1.0017548050425843E-2</v>
      </c>
      <c r="D252" s="7">
        <f t="shared" si="90"/>
        <v>0.2959598429278244</v>
      </c>
      <c r="E252" s="7">
        <f>MAX((1-Parameters!$B$4)^Parameters!B$65*E251+B251*Parameters!B$65-Parameters!$B$5*B251^2/E251*Parameters!B$65,0.0001)</f>
        <v>0.76972610488256066</v>
      </c>
      <c r="F252" s="9">
        <f>MAX((1-Parameters!$B$4)^Parameters!B$65*F251+C251*Parameters!B$65-Parameters!$B$5*C251^2/F251*Parameters!B$65,0.0001)</f>
        <v>0.14851940033751204</v>
      </c>
      <c r="G252" s="7">
        <f>MAX((1-Parameters!$B$4)^Parameters!B$65*G251+D251*Parameters!B$65-Parameters!$B$5*D251^2/G251*Parameters!B$65,0.0001)</f>
        <v>4.3878779693689127</v>
      </c>
      <c r="I252" s="7">
        <f>I251*(1+Parameters!$B$51)^Parameters!B$65</f>
        <v>16.733343418997553</v>
      </c>
      <c r="J252" s="7">
        <f>J251*(1+Parameters!$B$53)^Parameters!B$65</f>
        <v>1225.2335141055521</v>
      </c>
      <c r="K252" s="7">
        <f>'6states'!$O$4</f>
        <v>0.98104277196026479</v>
      </c>
      <c r="L252" s="9">
        <f t="shared" si="43"/>
        <v>0.5</v>
      </c>
      <c r="N252" s="7">
        <f>(Parameters!$B$19*(E252+Parameters!$B$20)^L252+Parameters!$B$18*F252^L252)^(1/L252)</f>
        <v>0.53556370811484333</v>
      </c>
      <c r="O252" s="7">
        <f>(Parameters!$B$10*G252^Parameters!$B$9 + Parameters!$B$11*N252^Parameters!$B$9) ^ (Parameters!$B$7/Parameters!$B$9) * K252</f>
        <v>1.507007127207431</v>
      </c>
      <c r="P252" s="7">
        <f t="shared" si="40"/>
        <v>1.1491121535923079</v>
      </c>
      <c r="Q252" s="7">
        <f>EXP(-Parameters!$B$55*A252)</f>
        <v>2.3640356646232066E-2</v>
      </c>
      <c r="R252" s="7">
        <f>IF(P252&gt;0,P252^(1-Parameters!$B$52)/(1-Parameters!$B$52)*Q252,-10+P252*1000)</f>
        <v>-6.4336752219654403E-2</v>
      </c>
      <c r="S252" s="7"/>
      <c r="T252" s="7"/>
      <c r="U252" s="7"/>
      <c r="V252" s="7"/>
    </row>
    <row r="253" spans="1:22" x14ac:dyDescent="0.25">
      <c r="A253">
        <f>A252+Parameters!$B$65</f>
        <v>249</v>
      </c>
      <c r="B253" s="9">
        <f t="shared" ref="B253:D253" si="91">B252</f>
        <v>5.191758263687303E-2</v>
      </c>
      <c r="C253" s="9">
        <f t="shared" si="91"/>
        <v>1.0017548050425843E-2</v>
      </c>
      <c r="D253" s="7">
        <f t="shared" si="91"/>
        <v>0.2959598429278244</v>
      </c>
      <c r="E253" s="7">
        <f>MAX((1-Parameters!$B$4)^Parameters!B$65*E252+B252*Parameters!B$65-Parameters!$B$5*B252^2/E252*Parameters!B$65,0.0001)</f>
        <v>0.76972610446282996</v>
      </c>
      <c r="F253" s="9">
        <f>MAX((1-Parameters!$B$4)^Parameters!B$65*F252+C252*Parameters!B$65-Parameters!$B$5*C252^2/F252*Parameters!B$65,0.0001)</f>
        <v>0.1485194002577907</v>
      </c>
      <c r="G253" s="7">
        <f>MAX((1-Parameters!$B$4)^Parameters!B$65*G252+D252*Parameters!B$65-Parameters!$B$5*D252^2/G252*Parameters!B$65,0.0001)</f>
        <v>4.3878779670023542</v>
      </c>
      <c r="I253" s="7">
        <f>I252*(1+Parameters!$B$51)^Parameters!B$65</f>
        <v>16.781870114912643</v>
      </c>
      <c r="J253" s="7">
        <f>J252*(1+Parameters!$B$53)^Parameters!B$65</f>
        <v>1249.7381843876631</v>
      </c>
      <c r="K253" s="7">
        <f>'6states'!$O$4</f>
        <v>0.98104277196026479</v>
      </c>
      <c r="L253" s="9">
        <f t="shared" si="43"/>
        <v>0.5</v>
      </c>
      <c r="N253" s="7">
        <f>(Parameters!$B$19*(E253+Parameters!$B$20)^L253+Parameters!$B$18*F253^L253)^(1/L253)</f>
        <v>0.53556370782667784</v>
      </c>
      <c r="O253" s="7">
        <f>(Parameters!$B$10*G253^Parameters!$B$9 + Parameters!$B$11*N253^Parameters!$B$9) ^ (Parameters!$B$7/Parameters!$B$9) * K253</f>
        <v>1.5070071269636951</v>
      </c>
      <c r="P253" s="7">
        <f t="shared" si="40"/>
        <v>1.1491121533485718</v>
      </c>
      <c r="Q253" s="7">
        <f>EXP(-Parameters!$B$55*A253)</f>
        <v>2.3286068865357064E-2</v>
      </c>
      <c r="R253" s="7">
        <f>IF(P253&gt;0,P253^(1-Parameters!$B$52)/(1-Parameters!$B$52)*Q253,-10+P253*1000)</f>
        <v>-6.3372565198177314E-2</v>
      </c>
      <c r="S253" s="7"/>
      <c r="T253" s="7"/>
      <c r="U253" s="7"/>
      <c r="V253" s="7"/>
    </row>
    <row r="254" spans="1:22" x14ac:dyDescent="0.25">
      <c r="A254">
        <f>A253+Parameters!$B$65</f>
        <v>250</v>
      </c>
      <c r="B254" s="9">
        <f t="shared" ref="B254:D254" si="92">B253</f>
        <v>5.191758263687303E-2</v>
      </c>
      <c r="C254" s="9">
        <f t="shared" si="92"/>
        <v>1.0017548050425843E-2</v>
      </c>
      <c r="D254" s="7">
        <f t="shared" si="92"/>
        <v>0.2959598429278244</v>
      </c>
      <c r="E254" s="7">
        <f>MAX((1-Parameters!$B$4)^Parameters!B$65*E253+B253*Parameters!B$65-Parameters!$B$5*B253^2/E253*Parameters!B$65,0.0001)</f>
        <v>0.76972610406759068</v>
      </c>
      <c r="F254" s="9">
        <f>MAX((1-Parameters!$B$4)^Parameters!B$65*F253+C253*Parameters!B$65-Parameters!$B$5*C253^2/F253*Parameters!B$65,0.0001)</f>
        <v>0.14851940018272117</v>
      </c>
      <c r="G254" s="7">
        <f>MAX((1-Parameters!$B$4)^Parameters!B$65*G253+D253*Parameters!B$65-Parameters!$B$5*D253^2/G253*Parameters!B$65,0.0001)</f>
        <v>4.3878779647738853</v>
      </c>
      <c r="I254" s="7">
        <f>I253*(1+Parameters!$B$51)^Parameters!B$65</f>
        <v>16.830537538245888</v>
      </c>
      <c r="J254" s="7">
        <f>J253*(1+Parameters!$B$53)^Parameters!B$65</f>
        <v>1274.7329480754163</v>
      </c>
      <c r="K254" s="7">
        <f>'6states'!$O$4</f>
        <v>0.98104277196026479</v>
      </c>
      <c r="L254" s="9">
        <f t="shared" si="43"/>
        <v>0.5</v>
      </c>
      <c r="N254" s="7">
        <f>(Parameters!$B$19*(E254+Parameters!$B$20)^L254+Parameters!$B$18*F254^L254)^(1/L254)</f>
        <v>0.5355637075553269</v>
      </c>
      <c r="O254" s="7">
        <f>(Parameters!$B$10*G254^Parameters!$B$9 + Parameters!$B$11*N254^Parameters!$B$9) ^ (Parameters!$B$7/Parameters!$B$9) * K254</f>
        <v>1.5070071267341818</v>
      </c>
      <c r="P254" s="7">
        <f t="shared" si="40"/>
        <v>1.1491121531190585</v>
      </c>
      <c r="Q254" s="7">
        <f>EXP(-Parameters!$B$55*A254)</f>
        <v>2.293709064192892E-2</v>
      </c>
      <c r="R254" s="7">
        <f>IF(P254&gt;0,P254^(1-Parameters!$B$52)/(1-Parameters!$B$52)*Q254,-10+P254*1000)</f>
        <v>-6.2422828029434684E-2</v>
      </c>
      <c r="S254" s="7"/>
      <c r="T254" s="7"/>
      <c r="U254" s="7"/>
      <c r="V254" s="7"/>
    </row>
    <row r="255" spans="1:22" x14ac:dyDescent="0.25">
      <c r="A255">
        <f>A254+Parameters!$B$65</f>
        <v>251</v>
      </c>
      <c r="B255" s="9">
        <f t="shared" ref="B255:D255" si="93">B254</f>
        <v>5.191758263687303E-2</v>
      </c>
      <c r="C255" s="9">
        <f t="shared" si="93"/>
        <v>1.0017548050425843E-2</v>
      </c>
      <c r="D255" s="7">
        <f t="shared" si="93"/>
        <v>0.2959598429278244</v>
      </c>
      <c r="E255" s="7">
        <f>MAX((1-Parameters!$B$4)^Parameters!B$65*E254+B254*Parameters!B$65-Parameters!$B$5*B254^2/E254*Parameters!B$65,0.0001)</f>
        <v>0.76972610369541383</v>
      </c>
      <c r="F255" s="9">
        <f>MAX((1-Parameters!$B$4)^Parameters!B$65*F254+C254*Parameters!B$65-Parameters!$B$5*C254^2/F254*Parameters!B$65,0.0001)</f>
        <v>0.14851940011203199</v>
      </c>
      <c r="G255" s="7">
        <f>MAX((1-Parameters!$B$4)^Parameters!B$65*G254+D254*Parameters!B$65-Parameters!$B$5*D254^2/G254*Parameters!B$65,0.0001)</f>
        <v>4.3878779626754483</v>
      </c>
      <c r="I255" s="7">
        <f>I254*(1+Parameters!$B$51)^Parameters!B$65</f>
        <v>16.879346097106801</v>
      </c>
      <c r="J255" s="7">
        <f>J254*(1+Parameters!$B$53)^Parameters!B$65</f>
        <v>1300.2276070369246</v>
      </c>
      <c r="K255" s="7">
        <f>'6states'!$O$4</f>
        <v>0.98104277196026479</v>
      </c>
      <c r="L255" s="9">
        <f t="shared" si="43"/>
        <v>0.5</v>
      </c>
      <c r="N255" s="7">
        <f>(Parameters!$B$19*(E255+Parameters!$B$20)^L255+Parameters!$B$18*F255^L255)^(1/L255)</f>
        <v>0.53556370729980929</v>
      </c>
      <c r="O255" s="7">
        <f>(Parameters!$B$10*G255^Parameters!$B$9 + Parameters!$B$11*N255^Parameters!$B$9) ^ (Parameters!$B$7/Parameters!$B$9) * K255</f>
        <v>1.50700712651806</v>
      </c>
      <c r="P255" s="7">
        <f t="shared" si="40"/>
        <v>1.1491121529029367</v>
      </c>
      <c r="Q255" s="7">
        <f>EXP(-Parameters!$B$55*A255)</f>
        <v>2.259334240391098E-2</v>
      </c>
      <c r="R255" s="7">
        <f>IF(P255&gt;0,P255^(1-Parameters!$B$52)/(1-Parameters!$B$52)*Q255,-10+P255*1000)</f>
        <v>-6.1487324159769895E-2</v>
      </c>
      <c r="S255" s="7"/>
      <c r="T255" s="7"/>
      <c r="U255" s="7"/>
      <c r="V255" s="7"/>
    </row>
    <row r="256" spans="1:22" x14ac:dyDescent="0.25">
      <c r="A256">
        <f>A255+Parameters!$B$65</f>
        <v>252</v>
      </c>
      <c r="B256" s="9">
        <f t="shared" ref="B256:D256" si="94">B255</f>
        <v>5.191758263687303E-2</v>
      </c>
      <c r="C256" s="9">
        <f t="shared" si="94"/>
        <v>1.0017548050425843E-2</v>
      </c>
      <c r="D256" s="7">
        <f t="shared" si="94"/>
        <v>0.2959598429278244</v>
      </c>
      <c r="E256" s="7">
        <f>MAX((1-Parameters!$B$4)^Parameters!B$65*E255+B255*Parameters!B$65-Parameters!$B$5*B255^2/E255*Parameters!B$65,0.0001)</f>
        <v>0.76972610334495373</v>
      </c>
      <c r="F256" s="9">
        <f>MAX((1-Parameters!$B$4)^Parameters!B$65*F255+C255*Parameters!B$65-Parameters!$B$5*C255^2/F255*Parameters!B$65,0.0001)</f>
        <v>0.14851940004546757</v>
      </c>
      <c r="G256" s="7">
        <f>MAX((1-Parameters!$B$4)^Parameters!B$65*G255+D255*Parameters!B$65-Parameters!$B$5*D255^2/G255*Parameters!B$65,0.0001)</f>
        <v>4.3878779606994565</v>
      </c>
      <c r="I256" s="7">
        <f>I255*(1+Parameters!$B$51)^Parameters!B$65</f>
        <v>16.928296200788409</v>
      </c>
      <c r="J256" s="7">
        <f>J255*(1+Parameters!$B$53)^Parameters!B$65</f>
        <v>1326.2321591776631</v>
      </c>
      <c r="K256" s="7">
        <f>'6states'!$O$4</f>
        <v>0.98104277196026479</v>
      </c>
      <c r="L256" s="9">
        <f t="shared" si="43"/>
        <v>0.5</v>
      </c>
      <c r="N256" s="7">
        <f>(Parameters!$B$19*(E256+Parameters!$B$20)^L256+Parameters!$B$18*F256^L256)^(1/L256)</f>
        <v>0.53556370705920153</v>
      </c>
      <c r="O256" s="7">
        <f>(Parameters!$B$10*G256^Parameters!$B$9 + Parameters!$B$11*N256^Parameters!$B$9) ^ (Parameters!$B$7/Parameters!$B$9) * K256</f>
        <v>1.5070071263145495</v>
      </c>
      <c r="P256" s="7">
        <f t="shared" si="40"/>
        <v>1.1491121526994261</v>
      </c>
      <c r="Q256" s="7">
        <f>EXP(-Parameters!$B$55*A256)</f>
        <v>2.2254745771778255E-2</v>
      </c>
      <c r="R256" s="7">
        <f>IF(P256&gt;0,P256^(1-Parameters!$B$52)/(1-Parameters!$B$52)*Q256,-10+P256*1000)</f>
        <v>-6.0565840280920401E-2</v>
      </c>
      <c r="S256" s="7"/>
      <c r="T256" s="7"/>
      <c r="U256" s="7"/>
      <c r="V256" s="7"/>
    </row>
    <row r="257" spans="1:22" x14ac:dyDescent="0.25">
      <c r="A257">
        <f>A256+Parameters!$B$65</f>
        <v>253</v>
      </c>
      <c r="B257" s="9">
        <f t="shared" ref="B257:D257" si="95">B256</f>
        <v>5.191758263687303E-2</v>
      </c>
      <c r="C257" s="9">
        <f t="shared" si="95"/>
        <v>1.0017548050425843E-2</v>
      </c>
      <c r="D257" s="7">
        <f t="shared" si="95"/>
        <v>0.2959598429278244</v>
      </c>
      <c r="E257" s="7">
        <f>MAX((1-Parameters!$B$4)^Parameters!B$65*E256+B256*Parameters!B$65-Parameters!$B$5*B256^2/E256*Parameters!B$65,0.0001)</f>
        <v>0.76972610301494315</v>
      </c>
      <c r="F257" s="9">
        <f>MAX((1-Parameters!$B$4)^Parameters!B$65*F256+C256*Parameters!B$65-Parameters!$B$5*C256^2/F256*Parameters!B$65,0.0001)</f>
        <v>0.14851939998278721</v>
      </c>
      <c r="G257" s="7">
        <f>MAX((1-Parameters!$B$4)^Parameters!B$65*G256+D256*Parameters!B$65-Parameters!$B$5*D256^2/G256*Parameters!B$65,0.0001)</f>
        <v>4.3878779588387653</v>
      </c>
      <c r="I257" s="7">
        <f>I256*(1+Parameters!$B$51)^Parameters!B$65</f>
        <v>16.977388259770695</v>
      </c>
      <c r="J257" s="7">
        <f>J256*(1+Parameters!$B$53)^Parameters!B$65</f>
        <v>1352.7568023612164</v>
      </c>
      <c r="K257" s="7">
        <f>'6states'!$O$4</f>
        <v>0.98104277196026479</v>
      </c>
      <c r="L257" s="9">
        <f t="shared" si="43"/>
        <v>0.5</v>
      </c>
      <c r="N257" s="7">
        <f>(Parameters!$B$19*(E257+Parameters!$B$20)^L257+Parameters!$B$18*F257^L257)^(1/L257)</f>
        <v>0.53556370683263321</v>
      </c>
      <c r="O257" s="7">
        <f>(Parameters!$B$10*G257^Parameters!$B$9 + Parameters!$B$11*N257^Parameters!$B$9) ^ (Parameters!$B$7/Parameters!$B$9) * K257</f>
        <v>1.5070071261229139</v>
      </c>
      <c r="P257" s="7">
        <f t="shared" si="40"/>
        <v>1.1491121525077905</v>
      </c>
      <c r="Q257" s="7">
        <f>EXP(-Parameters!$B$55*A257)</f>
        <v>2.1921223540645702E-2</v>
      </c>
      <c r="R257" s="7">
        <f>IF(P257&gt;0,P257^(1-Parameters!$B$52)/(1-Parameters!$B$52)*Q257,-10+P257*1000)</f>
        <v>-5.9658166281380418E-2</v>
      </c>
      <c r="S257" s="7"/>
      <c r="T257" s="7"/>
      <c r="U257" s="7"/>
      <c r="V257" s="7"/>
    </row>
    <row r="258" spans="1:22" x14ac:dyDescent="0.25">
      <c r="A258">
        <f>A257+Parameters!$B$65</f>
        <v>254</v>
      </c>
      <c r="B258" s="9">
        <f t="shared" ref="B258:D258" si="96">B257</f>
        <v>5.191758263687303E-2</v>
      </c>
      <c r="C258" s="9">
        <f t="shared" si="96"/>
        <v>1.0017548050425843E-2</v>
      </c>
      <c r="D258" s="7">
        <f t="shared" si="96"/>
        <v>0.2959598429278244</v>
      </c>
      <c r="E258" s="7">
        <f>MAX((1-Parameters!$B$4)^Parameters!B$65*E257+B257*Parameters!B$65-Parameters!$B$5*B257^2/E257*Parameters!B$65,0.0001)</f>
        <v>0.76972610270418895</v>
      </c>
      <c r="F258" s="9">
        <f>MAX((1-Parameters!$B$4)^Parameters!B$65*F257+C257*Parameters!B$65-Parameters!$B$5*C257^2/F257*Parameters!B$65,0.0001)</f>
        <v>0.14851939992376428</v>
      </c>
      <c r="G258" s="7">
        <f>MAX((1-Parameters!$B$4)^Parameters!B$65*G257+D257*Parameters!B$65-Parameters!$B$5*D257^2/G257*Parameters!B$65,0.0001)</f>
        <v>4.387877957086646</v>
      </c>
      <c r="I258" s="7">
        <f>I257*(1+Parameters!$B$51)^Parameters!B$65</f>
        <v>17.026622685724028</v>
      </c>
      <c r="J258" s="7">
        <f>J257*(1+Parameters!$B$53)^Parameters!B$65</f>
        <v>1379.8119384084407</v>
      </c>
      <c r="K258" s="7">
        <f>'6states'!$O$4</f>
        <v>0.98104277196026479</v>
      </c>
      <c r="L258" s="9">
        <f t="shared" si="43"/>
        <v>0.5</v>
      </c>
      <c r="N258" s="7">
        <f>(Parameters!$B$19*(E258+Parameters!$B$20)^L258+Parameters!$B$18*F258^L258)^(1/L258)</f>
        <v>0.53556370661928521</v>
      </c>
      <c r="O258" s="7">
        <f>(Parameters!$B$10*G258^Parameters!$B$9 + Parameters!$B$11*N258^Parameters!$B$9) ^ (Parameters!$B$7/Parameters!$B$9) * K258</f>
        <v>1.5070071259424602</v>
      </c>
      <c r="P258" s="7">
        <f t="shared" si="40"/>
        <v>1.1491121523273371</v>
      </c>
      <c r="Q258" s="7">
        <f>EXP(-Parameters!$B$55*A258)</f>
        <v>2.159269966266443E-2</v>
      </c>
      <c r="R258" s="7">
        <f>IF(P258&gt;0,P258^(1-Parameters!$B$52)/(1-Parameters!$B$52)*Q258,-10+P258*1000)</f>
        <v>-5.8764095198492731E-2</v>
      </c>
      <c r="S258" s="7"/>
      <c r="T258" s="7"/>
      <c r="U258" s="7"/>
      <c r="V258" s="7"/>
    </row>
    <row r="259" spans="1:22" x14ac:dyDescent="0.25">
      <c r="A259">
        <f>A258+Parameters!$B$65</f>
        <v>255</v>
      </c>
      <c r="B259" s="9">
        <f t="shared" ref="B259:D259" si="97">B258</f>
        <v>5.191758263687303E-2</v>
      </c>
      <c r="C259" s="9">
        <f t="shared" si="97"/>
        <v>1.0017548050425843E-2</v>
      </c>
      <c r="D259" s="7">
        <f t="shared" si="97"/>
        <v>0.2959598429278244</v>
      </c>
      <c r="E259" s="7">
        <f>MAX((1-Parameters!$B$4)^Parameters!B$65*E258+B258*Parameters!B$65-Parameters!$B$5*B258^2/E258*Parameters!B$65,0.0001)</f>
        <v>0.76972610241156736</v>
      </c>
      <c r="F259" s="9">
        <f>MAX((1-Parameters!$B$4)^Parameters!B$65*F258+C258*Parameters!B$65-Parameters!$B$5*C258^2/F258*Parameters!B$65,0.0001)</f>
        <v>0.14851939986818538</v>
      </c>
      <c r="G259" s="7">
        <f>MAX((1-Parameters!$B$4)^Parameters!B$65*G258+D258*Parameters!B$65-Parameters!$B$5*D258^2/G258*Parameters!B$65,0.0001)</f>
        <v>4.387877955436764</v>
      </c>
      <c r="I259" s="7">
        <f>I258*(1+Parameters!$B$51)^Parameters!B$65</f>
        <v>17.075999891512627</v>
      </c>
      <c r="J259" s="7">
        <f>J258*(1+Parameters!$B$53)^Parameters!B$65</f>
        <v>1407.4081771766096</v>
      </c>
      <c r="K259" s="7">
        <f>'6states'!$O$4</f>
        <v>0.98104277196026479</v>
      </c>
      <c r="L259" s="9">
        <f t="shared" si="43"/>
        <v>0.5</v>
      </c>
      <c r="N259" s="7">
        <f>(Parameters!$B$19*(E259+Parameters!$B$20)^L259+Parameters!$B$18*F259^L259)^(1/L259)</f>
        <v>0.53556370641838635</v>
      </c>
      <c r="O259" s="7">
        <f>(Parameters!$B$10*G259^Parameters!$B$9 + Parameters!$B$11*N259^Parameters!$B$9) ^ (Parameters!$B$7/Parameters!$B$9) * K259</f>
        <v>1.5070071257725359</v>
      </c>
      <c r="P259" s="7">
        <f t="shared" si="40"/>
        <v>1.1491121521574126</v>
      </c>
      <c r="Q259" s="7">
        <f>EXP(-Parameters!$B$55*A259)</f>
        <v>2.1269099229681749E-2</v>
      </c>
      <c r="R259" s="7">
        <f>IF(P259&gt;0,P259^(1-Parameters!$B$52)/(1-Parameters!$B$52)*Q259,-10+P259*1000)</f>
        <v>-5.7883423171258434E-2</v>
      </c>
      <c r="S259" s="7"/>
      <c r="T259" s="7"/>
      <c r="U259" s="7"/>
      <c r="V259" s="7"/>
    </row>
    <row r="260" spans="1:22" x14ac:dyDescent="0.25">
      <c r="A260">
        <f>A259+Parameters!$B$65</f>
        <v>256</v>
      </c>
      <c r="B260" s="9">
        <f t="shared" ref="B260:D260" si="98">B259</f>
        <v>5.191758263687303E-2</v>
      </c>
      <c r="C260" s="9">
        <f t="shared" si="98"/>
        <v>1.0017548050425843E-2</v>
      </c>
      <c r="D260" s="7">
        <f t="shared" si="98"/>
        <v>0.2959598429278244</v>
      </c>
      <c r="E260" s="7">
        <f>MAX((1-Parameters!$B$4)^Parameters!B$65*E259+B259*Parameters!B$65-Parameters!$B$5*B259^2/E259*Parameters!B$65,0.0001)</f>
        <v>0.76972610213602044</v>
      </c>
      <c r="F260" s="9">
        <f>MAX((1-Parameters!$B$4)^Parameters!B$65*F259+C259*Parameters!B$65-Parameters!$B$5*C259^2/F259*Parameters!B$65,0.0001)</f>
        <v>0.14851939981584955</v>
      </c>
      <c r="G260" s="7">
        <f>MAX((1-Parameters!$B$4)^Parameters!B$65*G259+D259*Parameters!B$65-Parameters!$B$5*D259^2/G259*Parameters!B$65,0.0001)</f>
        <v>4.3878779538831534</v>
      </c>
      <c r="I260" s="7">
        <f>I259*(1+Parameters!$B$51)^Parameters!B$65</f>
        <v>17.125520291198011</v>
      </c>
      <c r="J260" s="7">
        <f>J259*(1+Parameters!$B$53)^Parameters!B$65</f>
        <v>1435.5563407201419</v>
      </c>
      <c r="K260" s="7">
        <f>'6states'!$O$4</f>
        <v>0.98104277196026479</v>
      </c>
      <c r="L260" s="9">
        <f t="shared" si="43"/>
        <v>0.5</v>
      </c>
      <c r="N260" s="7">
        <f>(Parameters!$B$19*(E260+Parameters!$B$20)^L260+Parameters!$B$18*F260^L260)^(1/L260)</f>
        <v>0.5355637062292099</v>
      </c>
      <c r="O260" s="7">
        <f>(Parameters!$B$10*G260^Parameters!$B$9 + Parameters!$B$11*N260^Parameters!$B$9) ^ (Parameters!$B$7/Parameters!$B$9) * K260</f>
        <v>1.507007125612527</v>
      </c>
      <c r="P260" s="7">
        <f t="shared" ref="P260:P304" si="99">O260-B260-C260-D260</f>
        <v>1.1491121519974037</v>
      </c>
      <c r="Q260" s="7">
        <f>EXP(-Parameters!$B$55*A260)</f>
        <v>2.0950348456160946E-2</v>
      </c>
      <c r="R260" s="7">
        <f>IF(P260&gt;0,P260^(1-Parameters!$B$52)/(1-Parameters!$B$52)*Q260,-10+P260*1000)</f>
        <v>-5.7015949393853627E-2</v>
      </c>
      <c r="S260" s="7"/>
      <c r="T260" s="7"/>
      <c r="U260" s="7"/>
      <c r="V260" s="7"/>
    </row>
    <row r="261" spans="1:22" x14ac:dyDescent="0.25">
      <c r="A261">
        <f>A260+Parameters!$B$65</f>
        <v>257</v>
      </c>
      <c r="B261" s="9">
        <f t="shared" ref="B261:D261" si="100">B260</f>
        <v>5.191758263687303E-2</v>
      </c>
      <c r="C261" s="9">
        <f t="shared" si="100"/>
        <v>1.0017548050425843E-2</v>
      </c>
      <c r="D261" s="7">
        <f t="shared" si="100"/>
        <v>0.2959598429278244</v>
      </c>
      <c r="E261" s="7">
        <f>MAX((1-Parameters!$B$4)^Parameters!B$65*E260+B260*Parameters!B$65-Parameters!$B$5*B260^2/E260*Parameters!B$65,0.0001)</f>
        <v>0.76972610187655188</v>
      </c>
      <c r="F261" s="9">
        <f>MAX((1-Parameters!$B$4)^Parameters!B$65*F260+C260*Parameters!B$65-Parameters!$B$5*C260^2/F260*Parameters!B$65,0.0001)</f>
        <v>0.14851939976656756</v>
      </c>
      <c r="G261" s="7">
        <f>MAX((1-Parameters!$B$4)^Parameters!B$65*G260+D260*Parameters!B$65-Parameters!$B$5*D260^2/G260*Parameters!B$65,0.0001)</f>
        <v>4.3878779524201965</v>
      </c>
      <c r="I261" s="7">
        <f>I260*(1+Parameters!$B$51)^Parameters!B$65</f>
        <v>17.175184300042485</v>
      </c>
      <c r="J261" s="7">
        <f>J260*(1+Parameters!$B$53)^Parameters!B$65</f>
        <v>1464.2674675345447</v>
      </c>
      <c r="K261" s="7">
        <f>'6states'!$O$4</f>
        <v>0.98104277196026479</v>
      </c>
      <c r="L261" s="9">
        <f t="shared" si="43"/>
        <v>0.5</v>
      </c>
      <c r="N261" s="7">
        <f>(Parameters!$B$19*(E261+Parameters!$B$20)^L261+Parameters!$B$18*F261^L261)^(1/L261)</f>
        <v>0.53556370605107206</v>
      </c>
      <c r="O261" s="7">
        <f>(Parameters!$B$10*G261^Parameters!$B$9 + Parameters!$B$11*N261^Parameters!$B$9) ^ (Parameters!$B$7/Parameters!$B$9) * K261</f>
        <v>1.5070071254618549</v>
      </c>
      <c r="P261" s="7">
        <f t="shared" si="99"/>
        <v>1.1491121518467318</v>
      </c>
      <c r="Q261" s="7">
        <f>EXP(-Parameters!$B$55*A261)</f>
        <v>2.0636374662357192E-2</v>
      </c>
      <c r="R261" s="7">
        <f>IF(P261&gt;0,P261^(1-Parameters!$B$52)/(1-Parameters!$B$52)*Q261,-10+P261*1000)</f>
        <v>-5.6161476069843126E-2</v>
      </c>
      <c r="S261" s="7"/>
      <c r="T261" s="7"/>
      <c r="U261" s="7"/>
      <c r="V261" s="7"/>
    </row>
    <row r="262" spans="1:22" x14ac:dyDescent="0.25">
      <c r="A262">
        <f>A261+Parameters!$B$65</f>
        <v>258</v>
      </c>
      <c r="B262" s="9">
        <f t="shared" ref="B262:D262" si="101">B261</f>
        <v>5.191758263687303E-2</v>
      </c>
      <c r="C262" s="9">
        <f t="shared" si="101"/>
        <v>1.0017548050425843E-2</v>
      </c>
      <c r="D262" s="7">
        <f t="shared" si="101"/>
        <v>0.2959598429278244</v>
      </c>
      <c r="E262" s="7">
        <f>MAX((1-Parameters!$B$4)^Parameters!B$65*E261+B261*Parameters!B$65-Parameters!$B$5*B261^2/E261*Parameters!B$65,0.0001)</f>
        <v>0.76972610163222355</v>
      </c>
      <c r="F262" s="9">
        <f>MAX((1-Parameters!$B$4)^Parameters!B$65*F261+C261*Parameters!B$65-Parameters!$B$5*C261^2/F261*Parameters!B$65,0.0001)</f>
        <v>0.14851939972016118</v>
      </c>
      <c r="G262" s="7">
        <f>MAX((1-Parameters!$B$4)^Parameters!B$65*G261+D261*Parameters!B$65-Parameters!$B$5*D261^2/G261*Parameters!B$65,0.0001)</f>
        <v>4.3878779510426051</v>
      </c>
      <c r="I262" s="7">
        <f>I261*(1+Parameters!$B$51)^Parameters!B$65</f>
        <v>17.224992334512606</v>
      </c>
      <c r="J262" s="7">
        <f>J261*(1+Parameters!$B$53)^Parameters!B$65</f>
        <v>1493.5528168852356</v>
      </c>
      <c r="K262" s="7">
        <f>'6states'!$O$4</f>
        <v>0.98104277196026479</v>
      </c>
      <c r="L262" s="9">
        <f t="shared" si="43"/>
        <v>0.5</v>
      </c>
      <c r="N262" s="7">
        <f>(Parameters!$B$19*(E262+Parameters!$B$20)^L262+Parameters!$B$18*F262^L262)^(1/L262)</f>
        <v>0.53556370588332869</v>
      </c>
      <c r="O262" s="7">
        <f>(Parameters!$B$10*G262^Parameters!$B$9 + Parameters!$B$11*N262^Parameters!$B$9) ^ (Parameters!$B$7/Parameters!$B$9) * K262</f>
        <v>1.5070071253199744</v>
      </c>
      <c r="P262" s="7">
        <f t="shared" si="99"/>
        <v>1.149112151704851</v>
      </c>
      <c r="Q262" s="7">
        <f>EXP(-Parameters!$B$55*A262)</f>
        <v>2.03271062577455E-2</v>
      </c>
      <c r="R262" s="7">
        <f>IF(P262&gt;0,P262^(1-Parameters!$B$52)/(1-Parameters!$B$52)*Q262,-10+P262*1000)</f>
        <v>-5.5319808367080038E-2</v>
      </c>
      <c r="S262" s="7"/>
      <c r="T262" s="7"/>
      <c r="U262" s="7"/>
      <c r="V262" s="7"/>
    </row>
    <row r="263" spans="1:22" x14ac:dyDescent="0.25">
      <c r="A263">
        <f>A262+Parameters!$B$65</f>
        <v>259</v>
      </c>
      <c r="B263" s="9">
        <f t="shared" ref="B263:D263" si="102">B262</f>
        <v>5.191758263687303E-2</v>
      </c>
      <c r="C263" s="9">
        <f t="shared" si="102"/>
        <v>1.0017548050425843E-2</v>
      </c>
      <c r="D263" s="7">
        <f t="shared" si="102"/>
        <v>0.2959598429278244</v>
      </c>
      <c r="E263" s="7">
        <f>MAX((1-Parameters!$B$4)^Parameters!B$65*E262+B262*Parameters!B$65-Parameters!$B$5*B262^2/E262*Parameters!B$65,0.0001)</f>
        <v>0.76972610140215181</v>
      </c>
      <c r="F263" s="9">
        <f>MAX((1-Parameters!$B$4)^Parameters!B$65*F262+C262*Parameters!B$65-Parameters!$B$5*C262^2/F262*Parameters!B$65,0.0001)</f>
        <v>0.14851939967646263</v>
      </c>
      <c r="G263" s="7">
        <f>MAX((1-Parameters!$B$4)^Parameters!B$65*G262+D262*Parameters!B$65-Parameters!$B$5*D262^2/G262*Parameters!B$65,0.0001)</f>
        <v>4.3878779497453966</v>
      </c>
      <c r="I263" s="7">
        <f>I262*(1+Parameters!$B$51)^Parameters!B$65</f>
        <v>17.274944812282691</v>
      </c>
      <c r="J263" s="7">
        <f>J262*(1+Parameters!$B$53)^Parameters!B$65</f>
        <v>1523.4238732229403</v>
      </c>
      <c r="K263" s="7">
        <f>'6states'!$O$4</f>
        <v>0.98104277196026479</v>
      </c>
      <c r="L263" s="9">
        <f t="shared" si="43"/>
        <v>0.5</v>
      </c>
      <c r="N263" s="7">
        <f>(Parameters!$B$19*(E263+Parameters!$B$20)^L263+Parameters!$B$18*F263^L263)^(1/L263)</f>
        <v>0.53556370572537326</v>
      </c>
      <c r="O263" s="7">
        <f>(Parameters!$B$10*G263^Parameters!$B$9 + Parameters!$B$11*N263^Parameters!$B$9) ^ (Parameters!$B$7/Parameters!$B$9) * K263</f>
        <v>1.5070071251863728</v>
      </c>
      <c r="P263" s="7">
        <f t="shared" si="99"/>
        <v>1.1491121515712495</v>
      </c>
      <c r="Q263" s="7">
        <f>EXP(-Parameters!$B$55*A263)</f>
        <v>2.0022472724697045E-2</v>
      </c>
      <c r="R263" s="7">
        <f>IF(P263&gt;0,P263^(1-Parameters!$B$52)/(1-Parameters!$B$52)*Q263,-10+P263*1000)</f>
        <v>-5.449075437328136E-2</v>
      </c>
      <c r="S263" s="7"/>
      <c r="T263" s="7"/>
      <c r="U263" s="7"/>
      <c r="V263" s="7"/>
    </row>
    <row r="264" spans="1:22" x14ac:dyDescent="0.25">
      <c r="A264">
        <f>A263+Parameters!$B$65</f>
        <v>260</v>
      </c>
      <c r="B264" s="9">
        <f t="shared" ref="B264:D264" si="103">B263</f>
        <v>5.191758263687303E-2</v>
      </c>
      <c r="C264" s="9">
        <f t="shared" si="103"/>
        <v>1.0017548050425843E-2</v>
      </c>
      <c r="D264" s="7">
        <f t="shared" si="103"/>
        <v>0.2959598429278244</v>
      </c>
      <c r="E264" s="7">
        <f>MAX((1-Parameters!$B$4)^Parameters!B$65*E263+B263*Parameters!B$65-Parameters!$B$5*B263^2/E263*Parameters!B$65,0.0001)</f>
        <v>0.76972610118550489</v>
      </c>
      <c r="F264" s="9">
        <f>MAX((1-Parameters!$B$4)^Parameters!B$65*F263+C263*Parameters!B$65-Parameters!$B$5*C263^2/F263*Parameters!B$65,0.0001)</f>
        <v>0.14851939963531394</v>
      </c>
      <c r="G264" s="7">
        <f>MAX((1-Parameters!$B$4)^Parameters!B$65*G263+D263*Parameters!B$65-Parameters!$B$5*D263^2/G263*Parameters!B$65,0.0001)</f>
        <v>4.3878779485238812</v>
      </c>
      <c r="I264" s="7">
        <f>I263*(1+Parameters!$B$51)^Parameters!B$65</f>
        <v>17.325042152238307</v>
      </c>
      <c r="J264" s="7">
        <f>J263*(1+Parameters!$B$53)^Parameters!B$65</f>
        <v>1553.8923506873991</v>
      </c>
      <c r="K264" s="7">
        <f>'6states'!$O$4</f>
        <v>0.98104277196026479</v>
      </c>
      <c r="L264" s="9">
        <f t="shared" si="43"/>
        <v>0.5</v>
      </c>
      <c r="N264" s="7">
        <f>(Parameters!$B$19*(E264+Parameters!$B$20)^L264+Parameters!$B$18*F264^L264)^(1/L264)</f>
        <v>0.5355637055766348</v>
      </c>
      <c r="O264" s="7">
        <f>(Parameters!$B$10*G264^Parameters!$B$9 + Parameters!$B$11*N264^Parameters!$B$9) ^ (Parameters!$B$7/Parameters!$B$9) * K264</f>
        <v>1.507007125060567</v>
      </c>
      <c r="P264" s="7">
        <f t="shared" si="99"/>
        <v>1.1491121514454439</v>
      </c>
      <c r="Q264" s="7">
        <f>EXP(-Parameters!$B$55*A264)</f>
        <v>1.9722404602400177E-2</v>
      </c>
      <c r="R264" s="7">
        <f>IF(P264&gt;0,P264^(1-Parameters!$B$52)/(1-Parameters!$B$52)*Q264,-10+P264*1000)</f>
        <v>-5.3674125052269379E-2</v>
      </c>
      <c r="S264" s="7"/>
      <c r="T264" s="7"/>
      <c r="U264" s="7"/>
      <c r="V264" s="7"/>
    </row>
    <row r="265" spans="1:22" x14ac:dyDescent="0.25">
      <c r="A265">
        <f>A264+Parameters!$B$65</f>
        <v>261</v>
      </c>
      <c r="B265" s="9">
        <f t="shared" ref="B265:D265" si="104">B264</f>
        <v>5.191758263687303E-2</v>
      </c>
      <c r="C265" s="9">
        <f t="shared" si="104"/>
        <v>1.0017548050425843E-2</v>
      </c>
      <c r="D265" s="7">
        <f t="shared" si="104"/>
        <v>0.2959598429278244</v>
      </c>
      <c r="E265" s="7">
        <f>MAX((1-Parameters!$B$4)^Parameters!B$65*E264+B264*Parameters!B$65-Parameters!$B$5*B264^2/E264*Parameters!B$65,0.0001)</f>
        <v>0.76972610098149941</v>
      </c>
      <c r="F265" s="9">
        <f>MAX((1-Parameters!$B$4)^Parameters!B$65*F264+C264*Parameters!B$65-Parameters!$B$5*C264^2/F264*Parameters!B$65,0.0001)</f>
        <v>0.14851939959656629</v>
      </c>
      <c r="G265" s="7">
        <f>MAX((1-Parameters!$B$4)^Parameters!B$65*G264+D264*Parameters!B$65-Parameters!$B$5*D264^2/G264*Parameters!B$65,0.0001)</f>
        <v>4.3878779473736413</v>
      </c>
      <c r="I265" s="7">
        <f>I264*(1+Parameters!$B$51)^Parameters!B$65</f>
        <v>17.375284774479798</v>
      </c>
      <c r="J265" s="7">
        <f>J264*(1+Parameters!$B$53)^Parameters!B$65</f>
        <v>1584.9701977011471</v>
      </c>
      <c r="K265" s="7">
        <f>'6states'!$O$4</f>
        <v>0.98104277196026479</v>
      </c>
      <c r="L265" s="9">
        <f t="shared" si="43"/>
        <v>0.5</v>
      </c>
      <c r="N265" s="7">
        <f>(Parameters!$B$19*(E265+Parameters!$B$20)^L265+Parameters!$B$18*F265^L265)^(1/L265)</f>
        <v>0.53556370543657505</v>
      </c>
      <c r="O265" s="7">
        <f>(Parameters!$B$10*G265^Parameters!$B$9 + Parameters!$B$11*N265^Parameters!$B$9) ^ (Parameters!$B$7/Parameters!$B$9) * K265</f>
        <v>1.5070071249421018</v>
      </c>
      <c r="P265" s="7">
        <f t="shared" si="99"/>
        <v>1.1491121513269786</v>
      </c>
      <c r="Q265" s="7">
        <f>EXP(-Parameters!$B$55*A265)</f>
        <v>1.9426833471022302E-2</v>
      </c>
      <c r="R265" s="7">
        <f>IF(P265&gt;0,P265^(1-Parameters!$B$52)/(1-Parameters!$B$52)*Q265,-10+P265*1000)</f>
        <v>-5.2869734200868726E-2</v>
      </c>
      <c r="S265" s="7"/>
      <c r="T265" s="7"/>
      <c r="U265" s="7"/>
      <c r="V265" s="7"/>
    </row>
    <row r="266" spans="1:22" x14ac:dyDescent="0.25">
      <c r="A266">
        <f>A265+Parameters!$B$65</f>
        <v>262</v>
      </c>
      <c r="B266" s="9">
        <f t="shared" ref="B266:D266" si="105">B265</f>
        <v>5.191758263687303E-2</v>
      </c>
      <c r="C266" s="9">
        <f t="shared" si="105"/>
        <v>1.0017548050425843E-2</v>
      </c>
      <c r="D266" s="7">
        <f t="shared" si="105"/>
        <v>0.2959598429278244</v>
      </c>
      <c r="E266" s="7">
        <f>MAX((1-Parameters!$B$4)^Parameters!B$65*E265+B265*Parameters!B$65-Parameters!$B$5*B265^2/E265*Parameters!B$65,0.0001)</f>
        <v>0.76972610078939785</v>
      </c>
      <c r="F266" s="9">
        <f>MAX((1-Parameters!$B$4)^Parameters!B$65*F265+C265*Parameters!B$65-Parameters!$B$5*C265^2/F265*Parameters!B$65,0.0001)</f>
        <v>0.14851939956007959</v>
      </c>
      <c r="G266" s="7">
        <f>MAX((1-Parameters!$B$4)^Parameters!B$65*G265+D265*Parameters!B$65-Parameters!$B$5*D265^2/G265*Parameters!B$65,0.0001)</f>
        <v>4.3878779462905184</v>
      </c>
      <c r="I266" s="7">
        <f>I265*(1+Parameters!$B$51)^Parameters!B$65</f>
        <v>17.425673100325788</v>
      </c>
      <c r="J266" s="7">
        <f>J265*(1+Parameters!$B$53)^Parameters!B$65</f>
        <v>1616.66960165517</v>
      </c>
      <c r="K266" s="7">
        <f>'6states'!$O$4</f>
        <v>0.98104277196026479</v>
      </c>
      <c r="L266" s="9">
        <f t="shared" si="43"/>
        <v>0.5</v>
      </c>
      <c r="N266" s="7">
        <f>(Parameters!$B$19*(E266+Parameters!$B$20)^L266+Parameters!$B$18*F266^L266)^(1/L266)</f>
        <v>0.53556370530468811</v>
      </c>
      <c r="O266" s="7">
        <f>(Parameters!$B$10*G266^Parameters!$B$9 + Parameters!$B$11*N266^Parameters!$B$9) ^ (Parameters!$B$7/Parameters!$B$9) * K266</f>
        <v>1.507007124830549</v>
      </c>
      <c r="P266" s="7">
        <f t="shared" si="99"/>
        <v>1.1491121512154256</v>
      </c>
      <c r="Q266" s="7">
        <f>EXP(-Parameters!$B$55*A266)</f>
        <v>1.9135691936109211E-2</v>
      </c>
      <c r="R266" s="7">
        <f>IF(P266&gt;0,P266^(1-Parameters!$B$52)/(1-Parameters!$B$52)*Q266,-10+P266*1000)</f>
        <v>-5.2077398406449441E-2</v>
      </c>
      <c r="S266" s="7"/>
      <c r="T266" s="7"/>
      <c r="U266" s="7"/>
      <c r="V266" s="7"/>
    </row>
    <row r="267" spans="1:22" x14ac:dyDescent="0.25">
      <c r="A267">
        <f>A266+Parameters!$B$65</f>
        <v>263</v>
      </c>
      <c r="B267" s="9">
        <f t="shared" ref="B267:D267" si="106">B266</f>
        <v>5.191758263687303E-2</v>
      </c>
      <c r="C267" s="9">
        <f t="shared" si="106"/>
        <v>1.0017548050425843E-2</v>
      </c>
      <c r="D267" s="7">
        <f t="shared" si="106"/>
        <v>0.2959598429278244</v>
      </c>
      <c r="E267" s="7">
        <f>MAX((1-Parameters!$B$4)^Parameters!B$65*E266+B266*Parameters!B$65-Parameters!$B$5*B266^2/E266*Parameters!B$65,0.0001)</f>
        <v>0.76972610060850555</v>
      </c>
      <c r="F267" s="9">
        <f>MAX((1-Parameters!$B$4)^Parameters!B$65*F266+C266*Parameters!B$65-Parameters!$B$5*C266^2/F266*Parameters!B$65,0.0001)</f>
        <v>0.14851939952572191</v>
      </c>
      <c r="G267" s="7">
        <f>MAX((1-Parameters!$B$4)^Parameters!B$65*G266+D266*Parameters!B$65-Parameters!$B$5*D266^2/G266*Parameters!B$65,0.0001)</f>
        <v>4.3878779452705974</v>
      </c>
      <c r="I267" s="7">
        <f>I266*(1+Parameters!$B$51)^Parameters!B$65</f>
        <v>17.47620755231673</v>
      </c>
      <c r="J267" s="7">
        <f>J266*(1+Parameters!$B$53)^Parameters!B$65</f>
        <v>1649.0029936882734</v>
      </c>
      <c r="K267" s="7">
        <f>'6states'!$O$4</f>
        <v>0.98104277196026479</v>
      </c>
      <c r="L267" s="9">
        <f t="shared" si="43"/>
        <v>0.5</v>
      </c>
      <c r="N267" s="7">
        <f>(Parameters!$B$19*(E267+Parameters!$B$20)^L267+Parameters!$B$18*F267^L267)^(1/L267)</f>
        <v>0.53556370518049656</v>
      </c>
      <c r="O267" s="7">
        <f>(Parameters!$B$10*G267^Parameters!$B$9 + Parameters!$B$11*N267^Parameters!$B$9) ^ (Parameters!$B$7/Parameters!$B$9) * K267</f>
        <v>1.5070071247255057</v>
      </c>
      <c r="P267" s="7">
        <f t="shared" si="99"/>
        <v>1.1491121511103826</v>
      </c>
      <c r="Q267" s="7">
        <f>EXP(-Parameters!$B$55*A267)</f>
        <v>1.88489136132182E-2</v>
      </c>
      <c r="R267" s="7">
        <f>IF(P267&gt;0,P267^(1-Parameters!$B$52)/(1-Parameters!$B$52)*Q267,-10+P267*1000)</f>
        <v>-5.1296937005106485E-2</v>
      </c>
      <c r="S267" s="7"/>
      <c r="T267" s="7"/>
      <c r="U267" s="7"/>
      <c r="V267" s="7"/>
    </row>
    <row r="268" spans="1:22" x14ac:dyDescent="0.25">
      <c r="A268">
        <f>A267+Parameters!$B$65</f>
        <v>264</v>
      </c>
      <c r="B268" s="9">
        <f t="shared" ref="B268:D268" si="107">B267</f>
        <v>5.191758263687303E-2</v>
      </c>
      <c r="C268" s="9">
        <f t="shared" si="107"/>
        <v>1.0017548050425843E-2</v>
      </c>
      <c r="D268" s="7">
        <f t="shared" si="107"/>
        <v>0.2959598429278244</v>
      </c>
      <c r="E268" s="7">
        <f>MAX((1-Parameters!$B$4)^Parameters!B$65*E267+B267*Parameters!B$65-Parameters!$B$5*B267^2/E267*Parameters!B$65,0.0001)</f>
        <v>0.76972610043816836</v>
      </c>
      <c r="F268" s="9">
        <f>MAX((1-Parameters!$B$4)^Parameters!B$65*F267+C267*Parameters!B$65-Parameters!$B$5*C267^2/F267*Parameters!B$65,0.0001)</f>
        <v>0.14851939949336901</v>
      </c>
      <c r="G268" s="7">
        <f>MAX((1-Parameters!$B$4)^Parameters!B$65*G267+D267*Parameters!B$65-Parameters!$B$5*D267^2/G267*Parameters!B$65,0.0001)</f>
        <v>4.3878779443101887</v>
      </c>
      <c r="I268" s="7">
        <f>I267*(1+Parameters!$B$51)^Parameters!B$65</f>
        <v>17.526888554218445</v>
      </c>
      <c r="J268" s="7">
        <f>J267*(1+Parameters!$B$53)^Parameters!B$65</f>
        <v>1681.9830535620388</v>
      </c>
      <c r="K268" s="7">
        <f>'6states'!$O$4</f>
        <v>0.98104277196026479</v>
      </c>
      <c r="L268" s="9">
        <f t="shared" si="43"/>
        <v>0.5</v>
      </c>
      <c r="N268" s="7">
        <f>(Parameters!$B$19*(E268+Parameters!$B$20)^L268+Parameters!$B$18*F268^L268)^(1/L268)</f>
        <v>0.53556370506355189</v>
      </c>
      <c r="O268" s="7">
        <f>(Parameters!$B$10*G268^Parameters!$B$9 + Parameters!$B$11*N268^Parameters!$B$9) ^ (Parameters!$B$7/Parameters!$B$9) * K268</f>
        <v>1.5070071246265917</v>
      </c>
      <c r="P268" s="7">
        <f t="shared" si="99"/>
        <v>1.1491121510114684</v>
      </c>
      <c r="Q268" s="7">
        <f>EXP(-Parameters!$B$55*A268)</f>
        <v>1.8566433112781416E-2</v>
      </c>
      <c r="R268" s="7">
        <f>IF(P268&gt;0,P268^(1-Parameters!$B$52)/(1-Parameters!$B$52)*Q268,-10+P268*1000)</f>
        <v>-5.0528172040465703E-2</v>
      </c>
      <c r="S268" s="7"/>
      <c r="T268" s="7"/>
      <c r="U268" s="7"/>
      <c r="V268" s="7"/>
    </row>
    <row r="269" spans="1:22" x14ac:dyDescent="0.25">
      <c r="A269">
        <f>A268+Parameters!$B$65</f>
        <v>265</v>
      </c>
      <c r="B269" s="9">
        <f t="shared" ref="B269:D269" si="108">B268</f>
        <v>5.191758263687303E-2</v>
      </c>
      <c r="C269" s="9">
        <f t="shared" si="108"/>
        <v>1.0017548050425843E-2</v>
      </c>
      <c r="D269" s="7">
        <f t="shared" si="108"/>
        <v>0.2959598429278244</v>
      </c>
      <c r="E269" s="7">
        <f>MAX((1-Parameters!$B$4)^Parameters!B$65*E268+B268*Parameters!B$65-Parameters!$B$5*B268^2/E268*Parameters!B$65,0.0001)</f>
        <v>0.76972610027777044</v>
      </c>
      <c r="F269" s="9">
        <f>MAX((1-Parameters!$B$4)^Parameters!B$65*F268+C268*Parameters!B$65-Parameters!$B$5*C268^2/F268*Parameters!B$65,0.0001)</f>
        <v>0.14851939946290393</v>
      </c>
      <c r="G269" s="7">
        <f>MAX((1-Parameters!$B$4)^Parameters!B$65*G268+D268*Parameters!B$65-Parameters!$B$5*D268^2/G268*Parameters!B$65,0.0001)</f>
        <v>4.3878779434058206</v>
      </c>
      <c r="I269" s="7">
        <f>I268*(1+Parameters!$B$51)^Parameters!B$65</f>
        <v>17.577716531025676</v>
      </c>
      <c r="J269" s="7">
        <f>J268*(1+Parameters!$B$53)^Parameters!B$65</f>
        <v>1715.6227146332797</v>
      </c>
      <c r="K269" s="7">
        <f>'6states'!$O$4</f>
        <v>0.98104277196026479</v>
      </c>
      <c r="L269" s="9">
        <f t="shared" ref="L269:L304" si="109">L268</f>
        <v>0.5</v>
      </c>
      <c r="N269" s="7">
        <f>(Parameters!$B$19*(E269+Parameters!$B$20)^L269+Parameters!$B$18*F269^L269)^(1/L269)</f>
        <v>0.53556370495343097</v>
      </c>
      <c r="O269" s="7">
        <f>(Parameters!$B$10*G269^Parameters!$B$9 + Parameters!$B$11*N269^Parameters!$B$9) ^ (Parameters!$B$7/Parameters!$B$9) * K269</f>
        <v>1.5070071245334493</v>
      </c>
      <c r="P269" s="7">
        <f t="shared" si="99"/>
        <v>1.149112150918326</v>
      </c>
      <c r="Q269" s="7">
        <f>EXP(-Parameters!$B$55*A269)</f>
        <v>1.8288186025196128E-2</v>
      </c>
      <c r="R269" s="7">
        <f>IF(P269&gt;0,P269^(1-Parameters!$B$52)/(1-Parameters!$B$52)*Q269,-10+P269*1000)</f>
        <v>-4.9770928223107268E-2</v>
      </c>
      <c r="S269" s="7"/>
      <c r="T269" s="7"/>
      <c r="U269" s="7"/>
      <c r="V269" s="7"/>
    </row>
    <row r="270" spans="1:22" x14ac:dyDescent="0.25">
      <c r="A270">
        <f>A269+Parameters!$B$65</f>
        <v>266</v>
      </c>
      <c r="B270" s="9">
        <f t="shared" ref="B270:D270" si="110">B269</f>
        <v>5.191758263687303E-2</v>
      </c>
      <c r="C270" s="9">
        <f t="shared" si="110"/>
        <v>1.0017548050425843E-2</v>
      </c>
      <c r="D270" s="7">
        <f t="shared" si="110"/>
        <v>0.2959598429278244</v>
      </c>
      <c r="E270" s="7">
        <f>MAX((1-Parameters!$B$4)^Parameters!B$65*E269+B269*Parameters!B$65-Parameters!$B$5*B269^2/E269*Parameters!B$65,0.0001)</f>
        <v>0.76972610012673182</v>
      </c>
      <c r="F270" s="9">
        <f>MAX((1-Parameters!$B$4)^Parameters!B$65*F269+C269*Parameters!B$65-Parameters!$B$5*C269^2/F269*Parameters!B$65,0.0001)</f>
        <v>0.14851939943421649</v>
      </c>
      <c r="G270" s="7">
        <f>MAX((1-Parameters!$B$4)^Parameters!B$65*G269+D269*Parameters!B$65-Parameters!$B$5*D269^2/G269*Parameters!B$65,0.0001)</f>
        <v>4.3878779425542236</v>
      </c>
      <c r="I270" s="7">
        <f>I269*(1+Parameters!$B$51)^Parameters!B$65</f>
        <v>17.628691908965649</v>
      </c>
      <c r="J270" s="7">
        <f>J269*(1+Parameters!$B$53)^Parameters!B$65</f>
        <v>1749.9351689259454</v>
      </c>
      <c r="K270" s="7">
        <f>'6states'!$O$4</f>
        <v>0.98104277196026479</v>
      </c>
      <c r="L270" s="9">
        <f t="shared" si="109"/>
        <v>0.5</v>
      </c>
      <c r="N270" s="7">
        <f>(Parameters!$B$19*(E270+Parameters!$B$20)^L270+Parameters!$B$18*F270^L270)^(1/L270)</f>
        <v>0.53556370484973559</v>
      </c>
      <c r="O270" s="7">
        <f>(Parameters!$B$10*G270^Parameters!$B$9 + Parameters!$B$11*N270^Parameters!$B$9) ^ (Parameters!$B$7/Parameters!$B$9) * K270</f>
        <v>1.5070071244457419</v>
      </c>
      <c r="P270" s="7">
        <f t="shared" si="99"/>
        <v>1.1491121508306188</v>
      </c>
      <c r="Q270" s="7">
        <f>EXP(-Parameters!$B$55*A270)</f>
        <v>1.8014108906138429E-2</v>
      </c>
      <c r="R270" s="7">
        <f>IF(P270&gt;0,P270^(1-Parameters!$B$52)/(1-Parameters!$B$52)*Q270,-10+P270*1000)</f>
        <v>-4.9025032890597432E-2</v>
      </c>
      <c r="S270" s="7"/>
      <c r="T270" s="7"/>
      <c r="U270" s="7"/>
      <c r="V270" s="7"/>
    </row>
    <row r="271" spans="1:22" x14ac:dyDescent="0.25">
      <c r="A271">
        <f>A270+Parameters!$B$65</f>
        <v>267</v>
      </c>
      <c r="B271" s="9">
        <f t="shared" ref="B271:D271" si="111">B270</f>
        <v>5.191758263687303E-2</v>
      </c>
      <c r="C271" s="9">
        <f t="shared" si="111"/>
        <v>1.0017548050425843E-2</v>
      </c>
      <c r="D271" s="7">
        <f t="shared" si="111"/>
        <v>0.2959598429278244</v>
      </c>
      <c r="E271" s="7">
        <f>MAX((1-Parameters!$B$4)^Parameters!B$65*E270+B270*Parameters!B$65-Parameters!$B$5*B270^2/E270*Parameters!B$65,0.0001)</f>
        <v>0.76972609998450636</v>
      </c>
      <c r="F271" s="9">
        <f>MAX((1-Parameters!$B$4)^Parameters!B$65*F270+C270*Parameters!B$65-Parameters!$B$5*C270^2/F270*Parameters!B$65,0.0001)</f>
        <v>0.14851939940720299</v>
      </c>
      <c r="G271" s="7">
        <f>MAX((1-Parameters!$B$4)^Parameters!B$65*G270+D270*Parameters!B$65-Parameters!$B$5*D270^2/G270*Parameters!B$65,0.0001)</f>
        <v>4.3878779417523166</v>
      </c>
      <c r="I271" s="7">
        <f>I270*(1+Parameters!$B$51)^Parameters!B$65</f>
        <v>17.679815115501647</v>
      </c>
      <c r="J271" s="7">
        <f>J270*(1+Parameters!$B$53)^Parameters!B$65</f>
        <v>1784.9338723044643</v>
      </c>
      <c r="K271" s="7">
        <f>'6states'!$O$4</f>
        <v>0.98104277196026479</v>
      </c>
      <c r="L271" s="9">
        <f t="shared" si="109"/>
        <v>0.5</v>
      </c>
      <c r="N271" s="7">
        <f>(Parameters!$B$19*(E271+Parameters!$B$20)^L271+Parameters!$B$18*F271^L271)^(1/L271)</f>
        <v>0.53556370475209103</v>
      </c>
      <c r="O271" s="7">
        <f>(Parameters!$B$10*G271^Parameters!$B$9 + Parameters!$B$11*N271^Parameters!$B$9) ^ (Parameters!$B$7/Parameters!$B$9) * K271</f>
        <v>1.5070071243631522</v>
      </c>
      <c r="P271" s="7">
        <f t="shared" si="99"/>
        <v>1.1491121507480289</v>
      </c>
      <c r="Q271" s="7">
        <f>EXP(-Parameters!$B$55*A271)</f>
        <v>1.7744139262096965E-2</v>
      </c>
      <c r="R271" s="7">
        <f>IF(P271&gt;0,P271^(1-Parameters!$B$52)/(1-Parameters!$B$52)*Q271,-10+P271*1000)</f>
        <v>-4.8290315968118801E-2</v>
      </c>
      <c r="S271" s="7"/>
      <c r="T271" s="7"/>
      <c r="U271" s="7"/>
      <c r="V271" s="7"/>
    </row>
    <row r="272" spans="1:22" x14ac:dyDescent="0.25">
      <c r="A272">
        <f>A271+Parameters!$B$65</f>
        <v>268</v>
      </c>
      <c r="B272" s="9">
        <f t="shared" ref="B272:D272" si="112">B271</f>
        <v>5.191758263687303E-2</v>
      </c>
      <c r="C272" s="9">
        <f t="shared" si="112"/>
        <v>1.0017548050425843E-2</v>
      </c>
      <c r="D272" s="7">
        <f t="shared" si="112"/>
        <v>0.2959598429278244</v>
      </c>
      <c r="E272" s="7">
        <f>MAX((1-Parameters!$B$4)^Parameters!B$65*E271+B271*Parameters!B$65-Parameters!$B$5*B271^2/E271*Parameters!B$65,0.0001)</f>
        <v>0.76972609985057983</v>
      </c>
      <c r="F272" s="9">
        <f>MAX((1-Parameters!$B$4)^Parameters!B$65*F271+C271*Parameters!B$65-Parameters!$B$5*C271^2/F271*Parameters!B$65,0.0001)</f>
        <v>0.14851939938176573</v>
      </c>
      <c r="G272" s="7">
        <f>MAX((1-Parameters!$B$4)^Parameters!B$65*G271+D271*Parameters!B$65-Parameters!$B$5*D271^2/G271*Parameters!B$65,0.0001)</f>
        <v>4.3878779409972015</v>
      </c>
      <c r="I272" s="7">
        <f>I271*(1+Parameters!$B$51)^Parameters!B$65</f>
        <v>17.731086579336601</v>
      </c>
      <c r="J272" s="7">
        <f>J271*(1+Parameters!$B$53)^Parameters!B$65</f>
        <v>1820.6325497505536</v>
      </c>
      <c r="K272" s="7">
        <f>'6states'!$O$4</f>
        <v>0.98104277196026479</v>
      </c>
      <c r="L272" s="9">
        <f t="shared" si="109"/>
        <v>0.5</v>
      </c>
      <c r="N272" s="7">
        <f>(Parameters!$B$19*(E272+Parameters!$B$20)^L272+Parameters!$B$18*F272^L272)^(1/L272)</f>
        <v>0.5355637046601438</v>
      </c>
      <c r="O272" s="7">
        <f>(Parameters!$B$10*G272^Parameters!$B$9 + Parameters!$B$11*N272^Parameters!$B$9) ^ (Parameters!$B$7/Parameters!$B$9) * K272</f>
        <v>1.5070071242853817</v>
      </c>
      <c r="P272" s="7">
        <f t="shared" si="99"/>
        <v>1.1491121506702586</v>
      </c>
      <c r="Q272" s="7">
        <f>EXP(-Parameters!$B$55*A272)</f>
        <v>1.7478215536123588E-2</v>
      </c>
      <c r="R272" s="7">
        <f>IF(P272&gt;0,P272^(1-Parameters!$B$52)/(1-Parameters!$B$52)*Q272,-10+P272*1000)</f>
        <v>-4.7566609929691146E-2</v>
      </c>
      <c r="S272" s="7"/>
      <c r="T272" s="7"/>
      <c r="U272" s="7"/>
      <c r="V272" s="7"/>
    </row>
    <row r="273" spans="1:22" x14ac:dyDescent="0.25">
      <c r="A273">
        <f>A272+Parameters!$B$65</f>
        <v>269</v>
      </c>
      <c r="B273" s="9">
        <f t="shared" ref="B273:D273" si="113">B272</f>
        <v>5.191758263687303E-2</v>
      </c>
      <c r="C273" s="9">
        <f t="shared" si="113"/>
        <v>1.0017548050425843E-2</v>
      </c>
      <c r="D273" s="7">
        <f t="shared" si="113"/>
        <v>0.2959598429278244</v>
      </c>
      <c r="E273" s="7">
        <f>MAX((1-Parameters!$B$4)^Parameters!B$65*E272+B272*Parameters!B$65-Parameters!$B$5*B272^2/E272*Parameters!B$65,0.0001)</f>
        <v>0.76972609972446804</v>
      </c>
      <c r="F273" s="9">
        <f>MAX((1-Parameters!$B$4)^Parameters!B$65*F272+C272*Parameters!B$65-Parameters!$B$5*C272^2/F272*Parameters!B$65,0.0001)</f>
        <v>0.14851939935781278</v>
      </c>
      <c r="G273" s="7">
        <f>MAX((1-Parameters!$B$4)^Parameters!B$65*G272+D272*Parameters!B$65-Parameters!$B$5*D272^2/G272*Parameters!B$65,0.0001)</f>
        <v>4.3878779402861481</v>
      </c>
      <c r="I273" s="7">
        <f>I272*(1+Parameters!$B$51)^Parameters!B$65</f>
        <v>17.782506730416674</v>
      </c>
      <c r="J273" s="7">
        <f>J272*(1+Parameters!$B$53)^Parameters!B$65</f>
        <v>1857.0452007455647</v>
      </c>
      <c r="K273" s="7">
        <f>'6states'!$O$4</f>
        <v>0.98104277196026479</v>
      </c>
      <c r="L273" s="9">
        <f t="shared" si="109"/>
        <v>0.5</v>
      </c>
      <c r="N273" s="7">
        <f>(Parameters!$B$19*(E273+Parameters!$B$20)^L273+Parameters!$B$18*F273^L273)^(1/L273)</f>
        <v>0.53556370457356184</v>
      </c>
      <c r="O273" s="7">
        <f>(Parameters!$B$10*G273^Parameters!$B$9 + Parameters!$B$11*N273^Parameters!$B$9) ^ (Parameters!$B$7/Parameters!$B$9) * K273</f>
        <v>1.507007124212149</v>
      </c>
      <c r="P273" s="7">
        <f t="shared" si="99"/>
        <v>1.1491121505970257</v>
      </c>
      <c r="Q273" s="7">
        <f>EXP(-Parameters!$B$55*A273)</f>
        <v>1.7216277093797468E-2</v>
      </c>
      <c r="R273" s="7">
        <f>IF(P273&gt;0,P273^(1-Parameters!$B$52)/(1-Parameters!$B$52)*Q273,-10+P273*1000)</f>
        <v>-4.6853749759973015E-2</v>
      </c>
      <c r="S273" s="7"/>
      <c r="T273" s="7"/>
      <c r="U273" s="7"/>
      <c r="V273" s="7"/>
    </row>
    <row r="274" spans="1:22" x14ac:dyDescent="0.25">
      <c r="A274">
        <f>A273+Parameters!$B$65</f>
        <v>270</v>
      </c>
      <c r="B274" s="9">
        <f t="shared" ref="B274:D274" si="114">B273</f>
        <v>5.191758263687303E-2</v>
      </c>
      <c r="C274" s="9">
        <f t="shared" si="114"/>
        <v>1.0017548050425843E-2</v>
      </c>
      <c r="D274" s="7">
        <f t="shared" si="114"/>
        <v>0.2959598429278244</v>
      </c>
      <c r="E274" s="7">
        <f>MAX((1-Parameters!$B$4)^Parameters!B$65*E273+B273*Parameters!B$65-Parameters!$B$5*B273^2/E273*Parameters!B$65,0.0001)</f>
        <v>0.76972609960571492</v>
      </c>
      <c r="F274" s="9">
        <f>MAX((1-Parameters!$B$4)^Parameters!B$65*F273+C273*Parameters!B$65-Parameters!$B$5*C273^2/F273*Parameters!B$65,0.0001)</f>
        <v>0.14851939933525748</v>
      </c>
      <c r="G274" s="7">
        <f>MAX((1-Parameters!$B$4)^Parameters!B$65*G273+D273*Parameters!B$65-Parameters!$B$5*D273^2/G273*Parameters!B$65,0.0001)</f>
        <v>4.387877939616585</v>
      </c>
      <c r="I274" s="7">
        <f>I273*(1+Parameters!$B$51)^Parameters!B$65</f>
        <v>17.834075999934882</v>
      </c>
      <c r="J274" s="7">
        <f>J273*(1+Parameters!$B$53)^Parameters!B$65</f>
        <v>1894.1861047604759</v>
      </c>
      <c r="K274" s="7">
        <f>'6states'!$O$4</f>
        <v>0.98104277196026479</v>
      </c>
      <c r="L274" s="9">
        <f t="shared" si="109"/>
        <v>0.5</v>
      </c>
      <c r="N274" s="7">
        <f>(Parameters!$B$19*(E274+Parameters!$B$20)^L274+Parameters!$B$18*F274^L274)^(1/L274)</f>
        <v>0.53556370449203228</v>
      </c>
      <c r="O274" s="7">
        <f>(Parameters!$B$10*G274^Parameters!$B$9 + Parameters!$B$11*N274^Parameters!$B$9) ^ (Parameters!$B$7/Parameters!$B$9) * K274</f>
        <v>1.5070071241431895</v>
      </c>
      <c r="P274" s="7">
        <f t="shared" si="99"/>
        <v>1.1491121505280661</v>
      </c>
      <c r="Q274" s="7">
        <f>EXP(-Parameters!$B$55*A274)</f>
        <v>1.6958264209399509E-2</v>
      </c>
      <c r="R274" s="7">
        <f>IF(P274&gt;0,P274^(1-Parameters!$B$52)/(1-Parameters!$B$52)*Q274,-10+P274*1000)</f>
        <v>-4.6151572916635776E-2</v>
      </c>
      <c r="S274" s="7"/>
      <c r="T274" s="7"/>
      <c r="U274" s="7"/>
      <c r="V274" s="7"/>
    </row>
    <row r="275" spans="1:22" x14ac:dyDescent="0.25">
      <c r="A275">
        <f>A274+Parameters!$B$65</f>
        <v>271</v>
      </c>
      <c r="B275" s="9">
        <f t="shared" ref="B275:D275" si="115">B274</f>
        <v>5.191758263687303E-2</v>
      </c>
      <c r="C275" s="9">
        <f t="shared" si="115"/>
        <v>1.0017548050425843E-2</v>
      </c>
      <c r="D275" s="7">
        <f t="shared" si="115"/>
        <v>0.2959598429278244</v>
      </c>
      <c r="E275" s="7">
        <f>MAX((1-Parameters!$B$4)^Parameters!B$65*E274+B274*Parameters!B$65-Parameters!$B$5*B274^2/E274*Parameters!B$65,0.0001)</f>
        <v>0.76972609949389115</v>
      </c>
      <c r="F275" s="9">
        <f>MAX((1-Parameters!$B$4)^Parameters!B$65*F274+C274*Parameters!B$65-Parameters!$B$5*C274^2/F274*Parameters!B$65,0.0001)</f>
        <v>0.14851939931401831</v>
      </c>
      <c r="G275" s="7">
        <f>MAX((1-Parameters!$B$4)^Parameters!B$65*G274+D274*Parameters!B$65-Parameters!$B$5*D274^2/G274*Parameters!B$65,0.0001)</f>
        <v>4.3878779389860911</v>
      </c>
      <c r="I275" s="7">
        <f>I274*(1+Parameters!$B$51)^Parameters!B$65</f>
        <v>17.885794820334691</v>
      </c>
      <c r="J275" s="7">
        <f>J274*(1+Parameters!$B$53)^Parameters!B$65</f>
        <v>1932.0698268556855</v>
      </c>
      <c r="K275" s="7">
        <f>'6states'!$O$4</f>
        <v>0.98104277196026479</v>
      </c>
      <c r="L275" s="9">
        <f t="shared" si="109"/>
        <v>0.5</v>
      </c>
      <c r="N275" s="7">
        <f>(Parameters!$B$19*(E275+Parameters!$B$20)^L275+Parameters!$B$18*F275^L275)^(1/L275)</f>
        <v>0.53556370441525969</v>
      </c>
      <c r="O275" s="7">
        <f>(Parameters!$B$10*G275^Parameters!$B$9 + Parameters!$B$11*N275^Parameters!$B$9) ^ (Parameters!$B$7/Parameters!$B$9) * K275</f>
        <v>1.5070071240782541</v>
      </c>
      <c r="P275" s="7">
        <f t="shared" si="99"/>
        <v>1.149112150463131</v>
      </c>
      <c r="Q275" s="7">
        <f>EXP(-Parameters!$B$55*A275)</f>
        <v>1.6704118052294156E-2</v>
      </c>
      <c r="R275" s="7">
        <f>IF(P275&gt;0,P275^(1-Parameters!$B$52)/(1-Parameters!$B$52)*Q275,-10+P275*1000)</f>
        <v>-4.5459919293301981E-2</v>
      </c>
      <c r="S275" s="7"/>
      <c r="T275" s="7"/>
      <c r="U275" s="7"/>
      <c r="V275" s="7"/>
    </row>
    <row r="276" spans="1:22" x14ac:dyDescent="0.25">
      <c r="A276">
        <f>A275+Parameters!$B$65</f>
        <v>272</v>
      </c>
      <c r="B276" s="9">
        <f t="shared" ref="B276:D276" si="116">B275</f>
        <v>5.191758263687303E-2</v>
      </c>
      <c r="C276" s="9">
        <f t="shared" si="116"/>
        <v>1.0017548050425843E-2</v>
      </c>
      <c r="D276" s="7">
        <f t="shared" si="116"/>
        <v>0.2959598429278244</v>
      </c>
      <c r="E276" s="7">
        <f>MAX((1-Parameters!$B$4)^Parameters!B$65*E275+B275*Parameters!B$65-Parameters!$B$5*B275^2/E275*Parameters!B$65,0.0001)</f>
        <v>0.76972609938859238</v>
      </c>
      <c r="F276" s="9">
        <f>MAX((1-Parameters!$B$4)^Parameters!B$65*F275+C275*Parameters!B$65-Parameters!$B$5*C275^2/F275*Parameters!B$65,0.0001)</f>
        <v>0.14851939929401844</v>
      </c>
      <c r="G276" s="7">
        <f>MAX((1-Parameters!$B$4)^Parameters!B$65*G275+D275*Parameters!B$65-Parameters!$B$5*D275^2/G275*Parameters!B$65,0.0001)</f>
        <v>4.3878779383923874</v>
      </c>
      <c r="I276" s="7">
        <f>I275*(1+Parameters!$B$51)^Parameters!B$65</f>
        <v>17.937663625313661</v>
      </c>
      <c r="J276" s="7">
        <f>J275*(1+Parameters!$B$53)^Parameters!B$65</f>
        <v>1970.7112233927992</v>
      </c>
      <c r="K276" s="7">
        <f>'6states'!$O$4</f>
        <v>0.98104277196026479</v>
      </c>
      <c r="L276" s="9">
        <f t="shared" si="109"/>
        <v>0.5</v>
      </c>
      <c r="N276" s="7">
        <f>(Parameters!$B$19*(E276+Parameters!$B$20)^L276+Parameters!$B$18*F276^L276)^(1/L276)</f>
        <v>0.53556370434296685</v>
      </c>
      <c r="O276" s="7">
        <f>(Parameters!$B$10*G276^Parameters!$B$9 + Parameters!$B$11*N276^Parameters!$B$9) ^ (Parameters!$B$7/Parameters!$B$9) * K276</f>
        <v>1.5070071240171075</v>
      </c>
      <c r="P276" s="7">
        <f t="shared" si="99"/>
        <v>1.1491121504019843</v>
      </c>
      <c r="Q276" s="7">
        <f>EXP(-Parameters!$B$55*A276)</f>
        <v>1.6453780673515026E-2</v>
      </c>
      <c r="R276" s="7">
        <f>IF(P276&gt;0,P276^(1-Parameters!$B$52)/(1-Parameters!$B$52)*Q276,-10+P276*1000)</f>
        <v>-4.4778631183038514E-2</v>
      </c>
      <c r="S276" s="7"/>
      <c r="T276" s="7"/>
      <c r="U276" s="7"/>
      <c r="V276" s="7"/>
    </row>
    <row r="277" spans="1:22" x14ac:dyDescent="0.25">
      <c r="A277">
        <f>A276+Parameters!$B$65</f>
        <v>273</v>
      </c>
      <c r="B277" s="9">
        <f t="shared" ref="B277:D277" si="117">B276</f>
        <v>5.191758263687303E-2</v>
      </c>
      <c r="C277" s="9">
        <f t="shared" si="117"/>
        <v>1.0017548050425843E-2</v>
      </c>
      <c r="D277" s="7">
        <f t="shared" si="117"/>
        <v>0.2959598429278244</v>
      </c>
      <c r="E277" s="7">
        <f>MAX((1-Parameters!$B$4)^Parameters!B$65*E276+B276*Parameters!B$65-Parameters!$B$5*B276^2/E276*Parameters!B$65,0.0001)</f>
        <v>0.7697260992894378</v>
      </c>
      <c r="F277" s="9">
        <f>MAX((1-Parameters!$B$4)^Parameters!B$65*F276+C276*Parameters!B$65-Parameters!$B$5*C276^2/F276*Parameters!B$65,0.0001)</f>
        <v>0.14851939927518557</v>
      </c>
      <c r="G277" s="7">
        <f>MAX((1-Parameters!$B$4)^Parameters!B$65*G276+D276*Parameters!B$65-Parameters!$B$5*D276^2/G276*Parameters!B$65,0.0001)</f>
        <v>4.3878779378333261</v>
      </c>
      <c r="I277" s="7">
        <f>I276*(1+Parameters!$B$51)^Parameters!B$65</f>
        <v>17.989682849827069</v>
      </c>
      <c r="J277" s="7">
        <f>J276*(1+Parameters!$B$53)^Parameters!B$65</f>
        <v>2010.1254478606552</v>
      </c>
      <c r="K277" s="7">
        <f>'6states'!$O$4</f>
        <v>0.98104277196026479</v>
      </c>
      <c r="L277" s="9">
        <f t="shared" si="109"/>
        <v>0.5</v>
      </c>
      <c r="N277" s="7">
        <f>(Parameters!$B$19*(E277+Parameters!$B$20)^L277+Parameters!$B$18*F277^L277)^(1/L277)</f>
        <v>0.53556370427489242</v>
      </c>
      <c r="O277" s="7">
        <f>(Parameters!$B$10*G277^Parameters!$B$9 + Parameters!$B$11*N277^Parameters!$B$9) ^ (Parameters!$B$7/Parameters!$B$9) * K277</f>
        <v>1.5070071239595286</v>
      </c>
      <c r="P277" s="7">
        <f t="shared" si="99"/>
        <v>1.1491121503444055</v>
      </c>
      <c r="Q277" s="7">
        <f>EXP(-Parameters!$B$55*A277)</f>
        <v>1.6207194992551837E-2</v>
      </c>
      <c r="R277" s="7">
        <f>IF(P277&gt;0,P277^(1-Parameters!$B$52)/(1-Parameters!$B$52)*Q277,-10+P277*1000)</f>
        <v>-4.4107553242397499E-2</v>
      </c>
      <c r="S277" s="7"/>
      <c r="T277" s="7"/>
      <c r="U277" s="7"/>
      <c r="V277" s="7"/>
    </row>
    <row r="278" spans="1:22" x14ac:dyDescent="0.25">
      <c r="A278">
        <f>A277+Parameters!$B$65</f>
        <v>274</v>
      </c>
      <c r="B278" s="9">
        <f t="shared" ref="B278:D278" si="118">B277</f>
        <v>5.191758263687303E-2</v>
      </c>
      <c r="C278" s="9">
        <f t="shared" si="118"/>
        <v>1.0017548050425843E-2</v>
      </c>
      <c r="D278" s="7">
        <f t="shared" si="118"/>
        <v>0.2959598429278244</v>
      </c>
      <c r="E278" s="7">
        <f>MAX((1-Parameters!$B$4)^Parameters!B$65*E277+B277*Parameters!B$65-Parameters!$B$5*B277^2/E277*Parameters!B$65,0.0001)</f>
        <v>0.76972609919606894</v>
      </c>
      <c r="F278" s="9">
        <f>MAX((1-Parameters!$B$4)^Parameters!B$65*F277+C277*Parameters!B$65-Parameters!$B$5*C277^2/F277*Parameters!B$65,0.0001)</f>
        <v>0.14851939925745161</v>
      </c>
      <c r="G278" s="7">
        <f>MAX((1-Parameters!$B$4)^Parameters!B$65*G277+D277*Parameters!B$65-Parameters!$B$5*D277^2/G277*Parameters!B$65,0.0001)</f>
        <v>4.3878779373068868</v>
      </c>
      <c r="I278" s="7">
        <f>I277*(1+Parameters!$B$51)^Parameters!B$65</f>
        <v>18.041852930091565</v>
      </c>
      <c r="J278" s="7">
        <f>J277*(1+Parameters!$B$53)^Parameters!B$65</f>
        <v>2050.3279568178682</v>
      </c>
      <c r="K278" s="7">
        <f>'6states'!$O$4</f>
        <v>0.98104277196026479</v>
      </c>
      <c r="L278" s="9">
        <f t="shared" si="109"/>
        <v>0.5</v>
      </c>
      <c r="N278" s="7">
        <f>(Parameters!$B$19*(E278+Parameters!$B$20)^L278+Parameters!$B$18*F278^L278)^(1/L278)</f>
        <v>0.53556370421079036</v>
      </c>
      <c r="O278" s="7">
        <f>(Parameters!$B$10*G278^Parameters!$B$9 + Parameters!$B$11*N278^Parameters!$B$9) ^ (Parameters!$B$7/Parameters!$B$9) * K278</f>
        <v>1.50700712390531</v>
      </c>
      <c r="P278" s="7">
        <f t="shared" si="99"/>
        <v>1.1491121502901867</v>
      </c>
      <c r="Q278" s="7">
        <f>EXP(-Parameters!$B$55*A278)</f>
        <v>1.5964304784335175E-2</v>
      </c>
      <c r="R278" s="7">
        <f>IF(P278&gt;0,P278^(1-Parameters!$B$52)/(1-Parameters!$B$52)*Q278,-10+P278*1000)</f>
        <v>-4.3446532455995626E-2</v>
      </c>
      <c r="S278" s="7"/>
      <c r="T278" s="7"/>
      <c r="U278" s="7"/>
      <c r="V278" s="7"/>
    </row>
    <row r="279" spans="1:22" x14ac:dyDescent="0.25">
      <c r="A279">
        <f>A278+Parameters!$B$65</f>
        <v>275</v>
      </c>
      <c r="B279" s="9">
        <f t="shared" ref="B279:D279" si="119">B278</f>
        <v>5.191758263687303E-2</v>
      </c>
      <c r="C279" s="9">
        <f t="shared" si="119"/>
        <v>1.0017548050425843E-2</v>
      </c>
      <c r="D279" s="7">
        <f t="shared" si="119"/>
        <v>0.2959598429278244</v>
      </c>
      <c r="E279" s="7">
        <f>MAX((1-Parameters!$B$4)^Parameters!B$65*E278+B278*Parameters!B$65-Parameters!$B$5*B278^2/E278*Parameters!B$65,0.0001)</f>
        <v>0.76972609910814827</v>
      </c>
      <c r="F279" s="9">
        <f>MAX((1-Parameters!$B$4)^Parameters!B$65*F278+C278*Parameters!B$65-Parameters!$B$5*C278^2/F278*Parameters!B$65,0.0001)</f>
        <v>0.14851939924075244</v>
      </c>
      <c r="G279" s="7">
        <f>MAX((1-Parameters!$B$4)^Parameters!B$65*G278+D278*Parameters!B$65-Parameters!$B$5*D278^2/G278*Parameters!B$65,0.0001)</f>
        <v>4.387877936811166</v>
      </c>
      <c r="I279" s="7">
        <f>I278*(1+Parameters!$B$51)^Parameters!B$65</f>
        <v>18.094174303588829</v>
      </c>
      <c r="J279" s="7">
        <f>J278*(1+Parameters!$B$53)^Parameters!B$65</f>
        <v>2091.3345159542255</v>
      </c>
      <c r="K279" s="7">
        <f>'6states'!$O$4</f>
        <v>0.98104277196026479</v>
      </c>
      <c r="L279" s="9">
        <f t="shared" si="109"/>
        <v>0.5</v>
      </c>
      <c r="N279" s="7">
        <f>(Parameters!$B$19*(E279+Parameters!$B$20)^L279+Parameters!$B$18*F279^L279)^(1/L279)</f>
        <v>0.53556370415042831</v>
      </c>
      <c r="O279" s="7">
        <f>(Parameters!$B$10*G279^Parameters!$B$9 + Parameters!$B$11*N279^Parameters!$B$9) ^ (Parameters!$B$7/Parameters!$B$9) * K279</f>
        <v>1.5070071238542548</v>
      </c>
      <c r="P279" s="7">
        <f t="shared" si="99"/>
        <v>1.1491121502391315</v>
      </c>
      <c r="Q279" s="7">
        <f>EXP(-Parameters!$B$55*A279)</f>
        <v>1.5725054666416334E-2</v>
      </c>
      <c r="R279" s="7">
        <f>IF(P279&gt;0,P279^(1-Parameters!$B$52)/(1-Parameters!$B$52)*Q279,-10+P279*1000)</f>
        <v>-4.2795418101624419E-2</v>
      </c>
      <c r="S279" s="7"/>
      <c r="T279" s="7"/>
      <c r="U279" s="7"/>
      <c r="V279" s="7"/>
    </row>
    <row r="280" spans="1:22" x14ac:dyDescent="0.25">
      <c r="A280">
        <f>A279+Parameters!$B$65</f>
        <v>276</v>
      </c>
      <c r="B280" s="9">
        <f t="shared" ref="B280:D280" si="120">B279</f>
        <v>5.191758263687303E-2</v>
      </c>
      <c r="C280" s="9">
        <f t="shared" si="120"/>
        <v>1.0017548050425843E-2</v>
      </c>
      <c r="D280" s="7">
        <f t="shared" si="120"/>
        <v>0.2959598429278244</v>
      </c>
      <c r="E280" s="7">
        <f>MAX((1-Parameters!$B$4)^Parameters!B$65*E279+B279*Parameters!B$65-Parameters!$B$5*B279^2/E279*Parameters!B$65,0.0001)</f>
        <v>0.76972609902535771</v>
      </c>
      <c r="F280" s="9">
        <f>MAX((1-Parameters!$B$4)^Parameters!B$65*F279+C279*Parameters!B$65-Parameters!$B$5*C279^2/F279*Parameters!B$65,0.0001)</f>
        <v>0.14851939922502769</v>
      </c>
      <c r="G280" s="7">
        <f>MAX((1-Parameters!$B$4)^Parameters!B$65*G279+D279*Parameters!B$65-Parameters!$B$5*D279^2/G279*Parameters!B$65,0.0001)</f>
        <v>4.3878779363443696</v>
      </c>
      <c r="I280" s="7">
        <f>I279*(1+Parameters!$B$51)^Parameters!B$65</f>
        <v>18.146647409069235</v>
      </c>
      <c r="J280" s="7">
        <f>J279*(1+Parameters!$B$53)^Parameters!B$65</f>
        <v>2133.1612062733102</v>
      </c>
      <c r="K280" s="7">
        <f>'6states'!$O$4</f>
        <v>0.98104277196026479</v>
      </c>
      <c r="L280" s="9">
        <f t="shared" si="109"/>
        <v>0.5</v>
      </c>
      <c r="N280" s="7">
        <f>(Parameters!$B$19*(E280+Parameters!$B$20)^L280+Parameters!$B$18*F280^L280)^(1/L280)</f>
        <v>0.53556370409358867</v>
      </c>
      <c r="O280" s="7">
        <f>(Parameters!$B$10*G280^Parameters!$B$9 + Parameters!$B$11*N280^Parameters!$B$9) ^ (Parameters!$B$7/Parameters!$B$9) * K280</f>
        <v>1.5070071238061786</v>
      </c>
      <c r="P280" s="7">
        <f t="shared" si="99"/>
        <v>1.1491121501910553</v>
      </c>
      <c r="Q280" s="7">
        <f>EXP(-Parameters!$B$55*A280)</f>
        <v>1.5489390086339431E-2</v>
      </c>
      <c r="R280" s="7">
        <f>IF(P280&gt;0,P280^(1-Parameters!$B$52)/(1-Parameters!$B$52)*Q280,-10+P280*1000)</f>
        <v>-4.2154061715883685E-2</v>
      </c>
      <c r="S280" s="7"/>
      <c r="T280" s="7"/>
      <c r="U280" s="7"/>
      <c r="V280" s="7"/>
    </row>
    <row r="281" spans="1:22" x14ac:dyDescent="0.25">
      <c r="A281">
        <f>A280+Parameters!$B$65</f>
        <v>277</v>
      </c>
      <c r="B281" s="9">
        <f t="shared" ref="B281:D281" si="121">B280</f>
        <v>5.191758263687303E-2</v>
      </c>
      <c r="C281" s="9">
        <f t="shared" si="121"/>
        <v>1.0017548050425843E-2</v>
      </c>
      <c r="D281" s="7">
        <f t="shared" si="121"/>
        <v>0.2959598429278244</v>
      </c>
      <c r="E281" s="7">
        <f>MAX((1-Parameters!$B$4)^Parameters!B$65*E280+B280*Parameters!B$65-Parameters!$B$5*B280^2/E280*Parameters!B$65,0.0001)</f>
        <v>0.76972609894739819</v>
      </c>
      <c r="F281" s="9">
        <f>MAX((1-Parameters!$B$4)^Parameters!B$65*F280+C280*Parameters!B$65-Parameters!$B$5*C280^2/F280*Parameters!B$65,0.0001)</f>
        <v>0.14851939921022048</v>
      </c>
      <c r="G281" s="7">
        <f>MAX((1-Parameters!$B$4)^Parameters!B$65*G280+D280*Parameters!B$65-Parameters!$B$5*D280^2/G280*Parameters!B$65,0.0001)</f>
        <v>4.387877935904811</v>
      </c>
      <c r="I281" s="7">
        <f>I280*(1+Parameters!$B$51)^Parameters!B$65</f>
        <v>18.199272686555535</v>
      </c>
      <c r="J281" s="7">
        <f>J280*(1+Parameters!$B$53)^Parameters!B$65</f>
        <v>2175.8244303987763</v>
      </c>
      <c r="K281" s="7">
        <f>'6states'!$O$4</f>
        <v>0.98104277196026479</v>
      </c>
      <c r="L281" s="9">
        <f t="shared" si="109"/>
        <v>0.5</v>
      </c>
      <c r="N281" s="7">
        <f>(Parameters!$B$19*(E281+Parameters!$B$20)^L281+Parameters!$B$18*F281^L281)^(1/L281)</f>
        <v>0.53556370404006581</v>
      </c>
      <c r="O281" s="7">
        <f>(Parameters!$B$10*G281^Parameters!$B$9 + Parameters!$B$11*N281^Parameters!$B$9) ^ (Parameters!$B$7/Parameters!$B$9) * K281</f>
        <v>1.507007123760908</v>
      </c>
      <c r="P281" s="7">
        <f t="shared" si="99"/>
        <v>1.1491121501457848</v>
      </c>
      <c r="Q281" s="7">
        <f>EXP(-Parameters!$B$55*A281)</f>
        <v>1.5257257309202531E-2</v>
      </c>
      <c r="R281" s="7">
        <f>IF(P281&gt;0,P281^(1-Parameters!$B$52)/(1-Parameters!$B$52)*Q281,-10+P281*1000)</f>
        <v>-4.1522317060329418E-2</v>
      </c>
      <c r="S281" s="7"/>
      <c r="T281" s="7"/>
      <c r="U281" s="7"/>
      <c r="V281" s="7"/>
    </row>
    <row r="282" spans="1:22" x14ac:dyDescent="0.25">
      <c r="A282">
        <f>A281+Parameters!$B$65</f>
        <v>278</v>
      </c>
      <c r="B282" s="9">
        <f t="shared" ref="B282:D282" si="122">B281</f>
        <v>5.191758263687303E-2</v>
      </c>
      <c r="C282" s="9">
        <f t="shared" si="122"/>
        <v>1.0017548050425843E-2</v>
      </c>
      <c r="D282" s="7">
        <f t="shared" si="122"/>
        <v>0.2959598429278244</v>
      </c>
      <c r="E282" s="7">
        <f>MAX((1-Parameters!$B$4)^Parameters!B$65*E281+B281*Parameters!B$65-Parameters!$B$5*B281^2/E281*Parameters!B$65,0.0001)</f>
        <v>0.76972609887398757</v>
      </c>
      <c r="F282" s="9">
        <f>MAX((1-Parameters!$B$4)^Parameters!B$65*F281+C281*Parameters!B$65-Parameters!$B$5*C281^2/F281*Parameters!B$65,0.0001)</f>
        <v>0.14851939919627727</v>
      </c>
      <c r="G282" s="7">
        <f>MAX((1-Parameters!$B$4)^Parameters!B$65*G281+D281*Parameters!B$65-Parameters!$B$5*D281^2/G281*Parameters!B$65,0.0001)</f>
        <v>4.3878779354909012</v>
      </c>
      <c r="I282" s="7">
        <f>I281*(1+Parameters!$B$51)^Parameters!B$65</f>
        <v>18.252050577346544</v>
      </c>
      <c r="J282" s="7">
        <f>J281*(1+Parameters!$B$53)^Parameters!B$65</f>
        <v>2219.3409190067518</v>
      </c>
      <c r="K282" s="7">
        <f>'6states'!$O$4</f>
        <v>0.98104277196026479</v>
      </c>
      <c r="L282" s="9">
        <f t="shared" si="109"/>
        <v>0.5</v>
      </c>
      <c r="N282" s="7">
        <f>(Parameters!$B$19*(E282+Parameters!$B$20)^L282+Parameters!$B$18*F282^L282)^(1/L282)</f>
        <v>0.5355637039896658</v>
      </c>
      <c r="O282" s="7">
        <f>(Parameters!$B$10*G282^Parameters!$B$9 + Parameters!$B$11*N282^Parameters!$B$9) ^ (Parameters!$B$7/Parameters!$B$9) * K282</f>
        <v>1.5070071237182785</v>
      </c>
      <c r="P282" s="7">
        <f t="shared" si="99"/>
        <v>1.1491121501031554</v>
      </c>
      <c r="Q282" s="7">
        <f>EXP(-Parameters!$B$55*A282)</f>
        <v>1.5028603405405443E-2</v>
      </c>
      <c r="R282" s="7">
        <f>IF(P282&gt;0,P282^(1-Parameters!$B$52)/(1-Parameters!$B$52)*Q282,-10+P282*1000)</f>
        <v>-4.0900040088129717E-2</v>
      </c>
      <c r="S282" s="7"/>
      <c r="T282" s="7"/>
      <c r="U282" s="7"/>
      <c r="V282" s="7"/>
    </row>
    <row r="283" spans="1:22" x14ac:dyDescent="0.25">
      <c r="A283">
        <f>A282+Parameters!$B$65</f>
        <v>279</v>
      </c>
      <c r="B283" s="9">
        <f t="shared" ref="B283:D283" si="123">B282</f>
        <v>5.191758263687303E-2</v>
      </c>
      <c r="C283" s="9">
        <f t="shared" si="123"/>
        <v>1.0017548050425843E-2</v>
      </c>
      <c r="D283" s="7">
        <f t="shared" si="123"/>
        <v>0.2959598429278244</v>
      </c>
      <c r="E283" s="7">
        <f>MAX((1-Parameters!$B$4)^Parameters!B$65*E282+B282*Parameters!B$65-Parameters!$B$5*B282^2/E282*Parameters!B$65,0.0001)</f>
        <v>0.76972609880486054</v>
      </c>
      <c r="F283" s="9">
        <f>MAX((1-Parameters!$B$4)^Parameters!B$65*F282+C282*Parameters!B$65-Parameters!$B$5*C282^2/F282*Parameters!B$65,0.0001)</f>
        <v>0.14851939918314766</v>
      </c>
      <c r="G283" s="7">
        <f>MAX((1-Parameters!$B$4)^Parameters!B$65*G282+D282*Parameters!B$65-Parameters!$B$5*D282^2/G282*Parameters!B$65,0.0001)</f>
        <v>4.3878779351011437</v>
      </c>
      <c r="I283" s="7">
        <f>I282*(1+Parameters!$B$51)^Parameters!B$65</f>
        <v>18.304981524020846</v>
      </c>
      <c r="J283" s="7">
        <f>J282*(1+Parameters!$B$53)^Parameters!B$65</f>
        <v>2263.7277373868869</v>
      </c>
      <c r="K283" s="7">
        <f>'6states'!$O$4</f>
        <v>0.98104277196026479</v>
      </c>
      <c r="L283" s="9">
        <f t="shared" si="109"/>
        <v>0.5</v>
      </c>
      <c r="N283" s="7">
        <f>(Parameters!$B$19*(E283+Parameters!$B$20)^L283+Parameters!$B$18*F283^L283)^(1/L283)</f>
        <v>0.53556370394220676</v>
      </c>
      <c r="O283" s="7">
        <f>(Parameters!$B$10*G283^Parameters!$B$9 + Parameters!$B$11*N283^Parameters!$B$9) ^ (Parameters!$B$7/Parameters!$B$9) * K283</f>
        <v>1.5070071236781368</v>
      </c>
      <c r="P283" s="7">
        <f t="shared" si="99"/>
        <v>1.1491121500630137</v>
      </c>
      <c r="Q283" s="7">
        <f>EXP(-Parameters!$B$55*A283)</f>
        <v>1.480337623858095E-2</v>
      </c>
      <c r="R283" s="7">
        <f>IF(P283&gt;0,P283^(1-Parameters!$B$52)/(1-Parameters!$B$52)*Q283,-10+P283*1000)</f>
        <v>-4.0287088911219848E-2</v>
      </c>
      <c r="S283" s="7"/>
      <c r="T283" s="7"/>
      <c r="U283" s="7"/>
      <c r="V283" s="7"/>
    </row>
    <row r="284" spans="1:22" x14ac:dyDescent="0.25">
      <c r="A284">
        <f>A283+Parameters!$B$65</f>
        <v>280</v>
      </c>
      <c r="B284" s="9">
        <f t="shared" ref="B284:D284" si="124">B283</f>
        <v>5.191758263687303E-2</v>
      </c>
      <c r="C284" s="9">
        <f t="shared" si="124"/>
        <v>1.0017548050425843E-2</v>
      </c>
      <c r="D284" s="7">
        <f t="shared" si="124"/>
        <v>0.2959598429278244</v>
      </c>
      <c r="E284" s="7">
        <f>MAX((1-Parameters!$B$4)^Parameters!B$65*E283+B283*Parameters!B$65-Parameters!$B$5*B283^2/E283*Parameters!B$65,0.0001)</f>
        <v>0.76972609873976705</v>
      </c>
      <c r="F284" s="9">
        <f>MAX((1-Parameters!$B$4)^Parameters!B$65*F283+C283*Parameters!B$65-Parameters!$B$5*C283^2/F283*Parameters!B$65,0.0001)</f>
        <v>0.14851939917078416</v>
      </c>
      <c r="G284" s="7">
        <f>MAX((1-Parameters!$B$4)^Parameters!B$65*G283+D283*Parameters!B$65-Parameters!$B$5*D283^2/G283*Parameters!B$65,0.0001)</f>
        <v>4.3878779347341279</v>
      </c>
      <c r="I284" s="7">
        <f>I283*(1+Parameters!$B$51)^Parameters!B$65</f>
        <v>18.358065970440503</v>
      </c>
      <c r="J284" s="7">
        <f>J283*(1+Parameters!$B$53)^Parameters!B$65</f>
        <v>2309.0022921346249</v>
      </c>
      <c r="K284" s="7">
        <f>'6states'!$O$4</f>
        <v>0.98104277196026479</v>
      </c>
      <c r="L284" s="9">
        <f t="shared" si="109"/>
        <v>0.5</v>
      </c>
      <c r="N284" s="7">
        <f>(Parameters!$B$19*(E284+Parameters!$B$20)^L284+Parameters!$B$18*F284^L284)^(1/L284)</f>
        <v>0.53556370389751673</v>
      </c>
      <c r="O284" s="7">
        <f>(Parameters!$B$10*G284^Parameters!$B$9 + Parameters!$B$11*N284^Parameters!$B$9) ^ (Parameters!$B$7/Parameters!$B$9) * K284</f>
        <v>1.5070071236403373</v>
      </c>
      <c r="P284" s="7">
        <f t="shared" si="99"/>
        <v>1.1491121500252142</v>
      </c>
      <c r="Q284" s="7">
        <f>EXP(-Parameters!$B$55*A284)</f>
        <v>1.4581524453706942E-2</v>
      </c>
      <c r="R284" s="7">
        <f>IF(P284&gt;0,P284^(1-Parameters!$B$52)/(1-Parameters!$B$52)*Q284,-10+P284*1000)</f>
        <v>-3.9683323767949703E-2</v>
      </c>
      <c r="S284" s="7"/>
      <c r="T284" s="7"/>
      <c r="U284" s="7"/>
      <c r="V284" s="7"/>
    </row>
    <row r="285" spans="1:22" x14ac:dyDescent="0.25">
      <c r="A285">
        <f>A284+Parameters!$B$65</f>
        <v>281</v>
      </c>
      <c r="B285" s="9">
        <f t="shared" ref="B285:D285" si="125">B284</f>
        <v>5.191758263687303E-2</v>
      </c>
      <c r="C285" s="9">
        <f t="shared" si="125"/>
        <v>1.0017548050425843E-2</v>
      </c>
      <c r="D285" s="7">
        <f t="shared" si="125"/>
        <v>0.2959598429278244</v>
      </c>
      <c r="E285" s="7">
        <f>MAX((1-Parameters!$B$4)^Parameters!B$65*E284+B284*Parameters!B$65-Parameters!$B$5*B284^2/E284*Parameters!B$65,0.0001)</f>
        <v>0.76972609867847186</v>
      </c>
      <c r="F285" s="9">
        <f>MAX((1-Parameters!$B$4)^Parameters!B$65*F284+C284*Parameters!B$65-Parameters!$B$5*C284^2/F284*Parameters!B$65,0.0001)</f>
        <v>0.14851939915914208</v>
      </c>
      <c r="G285" s="7">
        <f>MAX((1-Parameters!$B$4)^Parameters!B$65*G284+D284*Parameters!B$65-Parameters!$B$5*D284^2/G284*Parameters!B$65,0.0001)</f>
        <v>4.3878779343885279</v>
      </c>
      <c r="I285" s="7">
        <f>I284*(1+Parameters!$B$51)^Parameters!B$65</f>
        <v>18.41130436175478</v>
      </c>
      <c r="J285" s="7">
        <f>J284*(1+Parameters!$B$53)^Parameters!B$65</f>
        <v>2355.1823379773173</v>
      </c>
      <c r="K285" s="7">
        <f>'6states'!$O$4</f>
        <v>0.98104277196026479</v>
      </c>
      <c r="L285" s="9">
        <f t="shared" si="109"/>
        <v>0.5</v>
      </c>
      <c r="N285" s="7">
        <f>(Parameters!$B$19*(E285+Parameters!$B$20)^L285+Parameters!$B$18*F285^L285)^(1/L285)</f>
        <v>0.53556370385543461</v>
      </c>
      <c r="O285" s="7">
        <f>(Parameters!$B$10*G285^Parameters!$B$9 + Parameters!$B$11*N285^Parameters!$B$9) ^ (Parameters!$B$7/Parameters!$B$9) * K285</f>
        <v>1.5070071236047435</v>
      </c>
      <c r="P285" s="7">
        <f t="shared" si="99"/>
        <v>1.1491121499896204</v>
      </c>
      <c r="Q285" s="7">
        <f>EXP(-Parameters!$B$55*A285)</f>
        <v>1.4362997465396809E-2</v>
      </c>
      <c r="R285" s="7">
        <f>IF(P285&gt;0,P285^(1-Parameters!$B$52)/(1-Parameters!$B$52)*Q285,-10+P285*1000)</f>
        <v>-3.9088606991216371E-2</v>
      </c>
      <c r="S285" s="7"/>
      <c r="T285" s="7"/>
      <c r="U285" s="7"/>
      <c r="V285" s="7"/>
    </row>
    <row r="286" spans="1:22" x14ac:dyDescent="0.25">
      <c r="A286">
        <f>A285+Parameters!$B$65</f>
        <v>282</v>
      </c>
      <c r="B286" s="9">
        <f t="shared" ref="B286:D286" si="126">B285</f>
        <v>5.191758263687303E-2</v>
      </c>
      <c r="C286" s="9">
        <f t="shared" si="126"/>
        <v>1.0017548050425843E-2</v>
      </c>
      <c r="D286" s="7">
        <f t="shared" si="126"/>
        <v>0.2959598429278244</v>
      </c>
      <c r="E286" s="7">
        <f>MAX((1-Parameters!$B$4)^Parameters!B$65*E285+B285*Parameters!B$65-Parameters!$B$5*B285^2/E285*Parameters!B$65,0.0001)</f>
        <v>0.76972609862075325</v>
      </c>
      <c r="F286" s="9">
        <f>MAX((1-Parameters!$B$4)^Parameters!B$65*F285+C285*Parameters!B$65-Parameters!$B$5*C285^2/F285*Parameters!B$65,0.0001)</f>
        <v>0.14851939914817935</v>
      </c>
      <c r="G286" s="7">
        <f>MAX((1-Parameters!$B$4)^Parameters!B$65*G285+D285*Parameters!B$65-Parameters!$B$5*D285^2/G285*Parameters!B$65,0.0001)</f>
        <v>4.387877934063094</v>
      </c>
      <c r="I286" s="7">
        <f>I285*(1+Parameters!$B$51)^Parameters!B$65</f>
        <v>18.464697144403868</v>
      </c>
      <c r="J286" s="7">
        <f>J285*(1+Parameters!$B$53)^Parameters!B$65</f>
        <v>2402.2859847368636</v>
      </c>
      <c r="K286" s="7">
        <f>'6states'!$O$4</f>
        <v>0.98104277196026479</v>
      </c>
      <c r="L286" s="9">
        <f t="shared" si="109"/>
        <v>0.5</v>
      </c>
      <c r="N286" s="7">
        <f>(Parameters!$B$19*(E286+Parameters!$B$20)^L286+Parameters!$B$18*F286^L286)^(1/L286)</f>
        <v>0.53556370381580798</v>
      </c>
      <c r="O286" s="7">
        <f>(Parameters!$B$10*G286^Parameters!$B$9 + Parameters!$B$11*N286^Parameters!$B$9) ^ (Parameters!$B$7/Parameters!$B$9) * K286</f>
        <v>1.5070071235712266</v>
      </c>
      <c r="P286" s="7">
        <f t="shared" si="99"/>
        <v>1.1491121499561032</v>
      </c>
      <c r="Q286" s="7">
        <f>EXP(-Parameters!$B$55*A286)</f>
        <v>1.4147745446365208E-2</v>
      </c>
      <c r="R286" s="7">
        <f>IF(P286&gt;0,P286^(1-Parameters!$B$52)/(1-Parameters!$B$52)*Q286,-10+P286*1000)</f>
        <v>-3.8502802977073994E-2</v>
      </c>
      <c r="S286" s="7"/>
      <c r="T286" s="7"/>
      <c r="U286" s="7"/>
      <c r="V286" s="7"/>
    </row>
    <row r="287" spans="1:22" x14ac:dyDescent="0.25">
      <c r="A287">
        <f>A286+Parameters!$B$65</f>
        <v>283</v>
      </c>
      <c r="B287" s="9">
        <f t="shared" ref="B287:D287" si="127">B286</f>
        <v>5.191758263687303E-2</v>
      </c>
      <c r="C287" s="9">
        <f t="shared" si="127"/>
        <v>1.0017548050425843E-2</v>
      </c>
      <c r="D287" s="7">
        <f t="shared" si="127"/>
        <v>0.2959598429278244</v>
      </c>
      <c r="E287" s="7">
        <f>MAX((1-Parameters!$B$4)^Parameters!B$65*E286+B286*Parameters!B$65-Parameters!$B$5*B286^2/E286*Parameters!B$65,0.0001)</f>
        <v>0.76972609856640251</v>
      </c>
      <c r="F287" s="9">
        <f>MAX((1-Parameters!$B$4)^Parameters!B$65*F286+C286*Parameters!B$65-Parameters!$B$5*C286^2/F286*Parameters!B$65,0.0001)</f>
        <v>0.14851939913785631</v>
      </c>
      <c r="G287" s="7">
        <f>MAX((1-Parameters!$B$4)^Parameters!B$65*G286+D286*Parameters!B$65-Parameters!$B$5*D286^2/G286*Parameters!B$65,0.0001)</f>
        <v>4.3878779337566494</v>
      </c>
      <c r="I287" s="7">
        <f>I286*(1+Parameters!$B$51)^Parameters!B$65</f>
        <v>18.518244766122638</v>
      </c>
      <c r="J287" s="7">
        <f>J286*(1+Parameters!$B$53)^Parameters!B$65</f>
        <v>2450.3317044316009</v>
      </c>
      <c r="K287" s="7">
        <f>'6states'!$O$4</f>
        <v>0.98104277196026479</v>
      </c>
      <c r="L287" s="9">
        <f t="shared" si="109"/>
        <v>0.5</v>
      </c>
      <c r="N287" s="7">
        <f>(Parameters!$B$19*(E287+Parameters!$B$20)^L287+Parameters!$B$18*F287^L287)^(1/L287)</f>
        <v>0.5355637037784936</v>
      </c>
      <c r="O287" s="7">
        <f>(Parameters!$B$10*G287^Parameters!$B$9 + Parameters!$B$11*N287^Parameters!$B$9) ^ (Parameters!$B$7/Parameters!$B$9) * K287</f>
        <v>1.5070071235396651</v>
      </c>
      <c r="P287" s="7">
        <f t="shared" si="99"/>
        <v>1.1491121499245418</v>
      </c>
      <c r="Q287" s="7">
        <f>EXP(-Parameters!$B$55*A287)</f>
        <v>1.3935719316066698E-2</v>
      </c>
      <c r="R287" s="7">
        <f>IF(P287&gt;0,P287^(1-Parameters!$B$52)/(1-Parameters!$B$52)*Q287,-10+P287*1000)</f>
        <v>-3.7925778153813941E-2</v>
      </c>
      <c r="S287" s="7"/>
      <c r="T287" s="7"/>
      <c r="U287" s="7"/>
      <c r="V287" s="7"/>
    </row>
    <row r="288" spans="1:22" x14ac:dyDescent="0.25">
      <c r="A288">
        <f>A287+Parameters!$B$65</f>
        <v>284</v>
      </c>
      <c r="B288" s="9">
        <f t="shared" ref="B288:D288" si="128">B287</f>
        <v>5.191758263687303E-2</v>
      </c>
      <c r="C288" s="9">
        <f t="shared" si="128"/>
        <v>1.0017548050425843E-2</v>
      </c>
      <c r="D288" s="7">
        <f t="shared" si="128"/>
        <v>0.2959598429278244</v>
      </c>
      <c r="E288" s="7">
        <f>MAX((1-Parameters!$B$4)^Parameters!B$65*E287+B287*Parameters!B$65-Parameters!$B$5*B287^2/E287*Parameters!B$65,0.0001)</f>
        <v>0.76972609851522322</v>
      </c>
      <c r="F288" s="9">
        <f>MAX((1-Parameters!$B$4)^Parameters!B$65*F287+C287*Parameters!B$65-Parameters!$B$5*C287^2/F287*Parameters!B$65,0.0001)</f>
        <v>0.14851939912813561</v>
      </c>
      <c r="G288" s="7">
        <f>MAX((1-Parameters!$B$4)^Parameters!B$65*G287+D287*Parameters!B$65-Parameters!$B$5*D287^2/G287*Parameters!B$65,0.0001)</f>
        <v>4.3878779334680864</v>
      </c>
      <c r="I288" s="7">
        <f>I287*(1+Parameters!$B$51)^Parameters!B$65</f>
        <v>18.571947675944394</v>
      </c>
      <c r="J288" s="7">
        <f>J287*(1+Parameters!$B$53)^Parameters!B$65</f>
        <v>2499.3383385202328</v>
      </c>
      <c r="K288" s="7">
        <f>'6states'!$O$4</f>
        <v>0.98104277196026479</v>
      </c>
      <c r="L288" s="9">
        <f t="shared" si="109"/>
        <v>0.5</v>
      </c>
      <c r="N288" s="7">
        <f>(Parameters!$B$19*(E288+Parameters!$B$20)^L288+Parameters!$B$18*F288^L288)^(1/L288)</f>
        <v>0.53556370374335649</v>
      </c>
      <c r="O288" s="7">
        <f>(Parameters!$B$10*G288^Parameters!$B$9 + Parameters!$B$11*N288^Parameters!$B$9) ^ (Parameters!$B$7/Parameters!$B$9) * K288</f>
        <v>1.5070071235099458</v>
      </c>
      <c r="P288" s="7">
        <f t="shared" si="99"/>
        <v>1.1491121498948225</v>
      </c>
      <c r="Q288" s="7">
        <f>EXP(-Parameters!$B$55*A288)</f>
        <v>1.3726870729504735E-2</v>
      </c>
      <c r="R288" s="7">
        <f>IF(P288&gt;0,P288^(1-Parameters!$B$52)/(1-Parameters!$B$52)*Q288,-10+P288*1000)</f>
        <v>-3.7357400951508919E-2</v>
      </c>
      <c r="S288" s="7"/>
      <c r="T288" s="7"/>
      <c r="U288" s="7"/>
      <c r="V288" s="7"/>
    </row>
    <row r="289" spans="1:22" x14ac:dyDescent="0.25">
      <c r="A289">
        <f>A288+Parameters!$B$65</f>
        <v>285</v>
      </c>
      <c r="B289" s="9">
        <f t="shared" ref="B289:D289" si="129">B288</f>
        <v>5.191758263687303E-2</v>
      </c>
      <c r="C289" s="9">
        <f t="shared" si="129"/>
        <v>1.0017548050425843E-2</v>
      </c>
      <c r="D289" s="7">
        <f t="shared" si="129"/>
        <v>0.2959598429278244</v>
      </c>
      <c r="E289" s="7">
        <f>MAX((1-Parameters!$B$4)^Parameters!B$65*E288+B288*Parameters!B$65-Parameters!$B$5*B288^2/E288*Parameters!B$65,0.0001)</f>
        <v>0.76972609846703022</v>
      </c>
      <c r="F289" s="9">
        <f>MAX((1-Parameters!$B$4)^Parameters!B$65*F288+C288*Parameters!B$65-Parameters!$B$5*C288^2/F288*Parameters!B$65,0.0001)</f>
        <v>0.1485193991189821</v>
      </c>
      <c r="G289" s="7">
        <f>MAX((1-Parameters!$B$4)^Parameters!B$65*G288+D288*Parameters!B$65-Parameters!$B$5*D288^2/G288*Parameters!B$65,0.0001)</f>
        <v>4.3878779331963607</v>
      </c>
      <c r="I289" s="7">
        <f>I288*(1+Parameters!$B$51)^Parameters!B$65</f>
        <v>18.625806324204632</v>
      </c>
      <c r="J289" s="7">
        <f>J288*(1+Parameters!$B$53)^Parameters!B$65</f>
        <v>2549.3251052906376</v>
      </c>
      <c r="K289" s="7">
        <f>'6states'!$O$4</f>
        <v>0.98104277196026479</v>
      </c>
      <c r="L289" s="9">
        <f t="shared" si="109"/>
        <v>0.5</v>
      </c>
      <c r="N289" s="7">
        <f>(Parameters!$B$19*(E289+Parameters!$B$20)^L289+Parameters!$B$18*F289^L289)^(1/L289)</f>
        <v>0.53556370371026962</v>
      </c>
      <c r="O289" s="7">
        <f>(Parameters!$B$10*G289^Parameters!$B$9 + Parameters!$B$11*N289^Parameters!$B$9) ^ (Parameters!$B$7/Parameters!$B$9) * K289</f>
        <v>1.5070071234819602</v>
      </c>
      <c r="P289" s="7">
        <f t="shared" si="99"/>
        <v>1.1491121498668369</v>
      </c>
      <c r="Q289" s="7">
        <f>EXP(-Parameters!$B$55*A289)</f>
        <v>1.3521152066208289E-2</v>
      </c>
      <c r="R289" s="7">
        <f>IF(P289&gt;0,P289^(1-Parameters!$B$52)/(1-Parameters!$B$52)*Q289,-10+P289*1000)</f>
        <v>-3.6797541772012915E-2</v>
      </c>
      <c r="S289" s="7"/>
      <c r="T289" s="7"/>
      <c r="U289" s="7"/>
      <c r="V289" s="7"/>
    </row>
    <row r="290" spans="1:22" x14ac:dyDescent="0.25">
      <c r="A290">
        <f>A289+Parameters!$B$65</f>
        <v>286</v>
      </c>
      <c r="B290" s="9">
        <f t="shared" ref="B290:D290" si="130">B289</f>
        <v>5.191758263687303E-2</v>
      </c>
      <c r="C290" s="9">
        <f t="shared" si="130"/>
        <v>1.0017548050425843E-2</v>
      </c>
      <c r="D290" s="7">
        <f t="shared" si="130"/>
        <v>0.2959598429278244</v>
      </c>
      <c r="E290" s="7">
        <f>MAX((1-Parameters!$B$4)^Parameters!B$65*E289+B289*Parameters!B$65-Parameters!$B$5*B289^2/E289*Parameters!B$65,0.0001)</f>
        <v>0.76972609842164941</v>
      </c>
      <c r="F290" s="9">
        <f>MAX((1-Parameters!$B$4)^Parameters!B$65*F289+C289*Parameters!B$65-Parameters!$B$5*C289^2/F289*Parameters!B$65,0.0001)</f>
        <v>0.14851939911036272</v>
      </c>
      <c r="G290" s="7">
        <f>MAX((1-Parameters!$B$4)^Parameters!B$65*G289+D289*Parameters!B$65-Parameters!$B$5*D289^2/G289*Parameters!B$65,0.0001)</f>
        <v>4.3878779329404907</v>
      </c>
      <c r="I290" s="7">
        <f>I289*(1+Parameters!$B$51)^Parameters!B$65</f>
        <v>18.679821162544822</v>
      </c>
      <c r="J290" s="7">
        <f>J289*(1+Parameters!$B$53)^Parameters!B$65</f>
        <v>2600.3116073964502</v>
      </c>
      <c r="K290" s="7">
        <f>'6states'!$O$4</f>
        <v>0.98104277196026479</v>
      </c>
      <c r="L290" s="9">
        <f t="shared" si="109"/>
        <v>0.5</v>
      </c>
      <c r="N290" s="7">
        <f>(Parameters!$B$19*(E290+Parameters!$B$20)^L290+Parameters!$B$18*F290^L290)^(1/L290)</f>
        <v>0.53556370367911343</v>
      </c>
      <c r="O290" s="7">
        <f>(Parameters!$B$10*G290^Parameters!$B$9 + Parameters!$B$11*N290^Parameters!$B$9) ^ (Parameters!$B$7/Parameters!$B$9) * K290</f>
        <v>1.5070071234556075</v>
      </c>
      <c r="P290" s="7">
        <f t="shared" si="99"/>
        <v>1.1491121498404842</v>
      </c>
      <c r="Q290" s="7">
        <f>EXP(-Parameters!$B$55*A290)</f>
        <v>1.3318516419373662E-2</v>
      </c>
      <c r="R290" s="7">
        <f>IF(P290&gt;0,P290^(1-Parameters!$B$52)/(1-Parameters!$B$52)*Q290,-10+P290*1000)</f>
        <v>-3.6246072959410951E-2</v>
      </c>
      <c r="S290" s="7"/>
      <c r="T290" s="7"/>
      <c r="U290" s="7"/>
      <c r="V290" s="7"/>
    </row>
    <row r="291" spans="1:22" x14ac:dyDescent="0.25">
      <c r="A291">
        <f>A290+Parameters!$B$65</f>
        <v>287</v>
      </c>
      <c r="B291" s="9">
        <f t="shared" ref="B291:D291" si="131">B290</f>
        <v>5.191758263687303E-2</v>
      </c>
      <c r="C291" s="9">
        <f t="shared" si="131"/>
        <v>1.0017548050425843E-2</v>
      </c>
      <c r="D291" s="7">
        <f t="shared" si="131"/>
        <v>0.2959598429278244</v>
      </c>
      <c r="E291" s="7">
        <f>MAX((1-Parameters!$B$4)^Parameters!B$65*E290+B290*Parameters!B$65-Parameters!$B$5*B290^2/E290*Parameters!B$65,0.0001)</f>
        <v>0.76972609837891648</v>
      </c>
      <c r="F291" s="9">
        <f>MAX((1-Parameters!$B$4)^Parameters!B$65*F290+C290*Parameters!B$65-Parameters!$B$5*C290^2/F290*Parameters!B$65,0.0001)</f>
        <v>0.14851939910224626</v>
      </c>
      <c r="G291" s="7">
        <f>MAX((1-Parameters!$B$4)^Parameters!B$65*G290+D290*Parameters!B$65-Parameters!$B$5*D290^2/G290*Parameters!B$65,0.0001)</f>
        <v>4.387877932699551</v>
      </c>
      <c r="I291" s="7">
        <f>I290*(1+Parameters!$B$51)^Parameters!B$65</f>
        <v>18.733992643916199</v>
      </c>
      <c r="J291" s="7">
        <f>J290*(1+Parameters!$B$53)^Parameters!B$65</f>
        <v>2652.3178395443792</v>
      </c>
      <c r="K291" s="7">
        <f>'6states'!$O$4</f>
        <v>0.98104277196026479</v>
      </c>
      <c r="L291" s="9">
        <f t="shared" si="109"/>
        <v>0.5</v>
      </c>
      <c r="N291" s="7">
        <f>(Parameters!$B$19*(E291+Parameters!$B$20)^L291+Parameters!$B$18*F291^L291)^(1/L291)</f>
        <v>0.53556370364977535</v>
      </c>
      <c r="O291" s="7">
        <f>(Parameters!$B$10*G291^Parameters!$B$9 + Parameters!$B$11*N291^Parameters!$B$9) ^ (Parameters!$B$7/Parameters!$B$9) * K291</f>
        <v>1.5070071234307931</v>
      </c>
      <c r="P291" s="7">
        <f t="shared" si="99"/>
        <v>1.1491121498156698</v>
      </c>
      <c r="Q291" s="7">
        <f>EXP(-Parameters!$B$55*A291)</f>
        <v>1.3118917585169141E-2</v>
      </c>
      <c r="R291" s="7">
        <f>IF(P291&gt;0,P291^(1-Parameters!$B$52)/(1-Parameters!$B$52)*Q291,-10+P291*1000)</f>
        <v>-3.5702868770911965E-2</v>
      </c>
      <c r="S291" s="7"/>
      <c r="T291" s="7"/>
      <c r="U291" s="7"/>
      <c r="V291" s="7"/>
    </row>
    <row r="292" spans="1:22" x14ac:dyDescent="0.25">
      <c r="A292">
        <f>A291+Parameters!$B$65</f>
        <v>288</v>
      </c>
      <c r="B292" s="9">
        <f t="shared" ref="B292:D292" si="132">B291</f>
        <v>5.191758263687303E-2</v>
      </c>
      <c r="C292" s="9">
        <f t="shared" si="132"/>
        <v>1.0017548050425843E-2</v>
      </c>
      <c r="D292" s="7">
        <f t="shared" si="132"/>
        <v>0.2959598429278244</v>
      </c>
      <c r="E292" s="7">
        <f>MAX((1-Parameters!$B$4)^Parameters!B$65*E291+B291*Parameters!B$65-Parameters!$B$5*B291^2/E291*Parameters!B$65,0.0001)</f>
        <v>0.76972609833867711</v>
      </c>
      <c r="F292" s="9">
        <f>MAX((1-Parameters!$B$4)^Parameters!B$65*F291+C291*Parameters!B$65-Parameters!$B$5*C291^2/F291*Parameters!B$65,0.0001)</f>
        <v>0.14851939909460343</v>
      </c>
      <c r="G292" s="7">
        <f>MAX((1-Parameters!$B$4)^Parameters!B$65*G291+D291*Parameters!B$65-Parameters!$B$5*D291^2/G291*Parameters!B$65,0.0001)</f>
        <v>4.3878779324726702</v>
      </c>
      <c r="I292" s="7">
        <f>I291*(1+Parameters!$B$51)^Parameters!B$65</f>
        <v>18.788321222583555</v>
      </c>
      <c r="J292" s="7">
        <f>J291*(1+Parameters!$B$53)^Parameters!B$65</f>
        <v>2705.364196335267</v>
      </c>
      <c r="K292" s="7">
        <f>'6states'!$O$4</f>
        <v>0.98104277196026479</v>
      </c>
      <c r="L292" s="9">
        <f t="shared" si="109"/>
        <v>0.5</v>
      </c>
      <c r="N292" s="7">
        <f>(Parameters!$B$19*(E292+Parameters!$B$20)^L292+Parameters!$B$18*F292^L292)^(1/L292)</f>
        <v>0.53556370362214911</v>
      </c>
      <c r="O292" s="7">
        <f>(Parameters!$B$10*G292^Parameters!$B$9 + Parameters!$B$11*N292^Parameters!$B$9) ^ (Parameters!$B$7/Parameters!$B$9) * K292</f>
        <v>1.507007123407426</v>
      </c>
      <c r="P292" s="7">
        <f t="shared" si="99"/>
        <v>1.1491121497923027</v>
      </c>
      <c r="Q292" s="7">
        <f>EXP(-Parameters!$B$55*A292)</f>
        <v>1.2922310052199772E-2</v>
      </c>
      <c r="R292" s="7">
        <f>IF(P292&gt;0,P292^(1-Parameters!$B$52)/(1-Parameters!$B$52)*Q292,-10+P292*1000)</f>
        <v>-3.5167805348177296E-2</v>
      </c>
      <c r="S292" s="7"/>
      <c r="T292" s="7"/>
      <c r="U292" s="7"/>
      <c r="V292" s="7"/>
    </row>
    <row r="293" spans="1:22" x14ac:dyDescent="0.25">
      <c r="A293">
        <f>A292+Parameters!$B$65</f>
        <v>289</v>
      </c>
      <c r="B293" s="9">
        <f t="shared" ref="B293:D293" si="133">B292</f>
        <v>5.191758263687303E-2</v>
      </c>
      <c r="C293" s="9">
        <f t="shared" si="133"/>
        <v>1.0017548050425843E-2</v>
      </c>
      <c r="D293" s="7">
        <f t="shared" si="133"/>
        <v>0.2959598429278244</v>
      </c>
      <c r="E293" s="7">
        <f>MAX((1-Parameters!$B$4)^Parameters!B$65*E292+B292*Parameters!B$65-Parameters!$B$5*B292^2/E292*Parameters!B$65,0.0001)</f>
        <v>0.76972609830078564</v>
      </c>
      <c r="F293" s="9">
        <f>MAX((1-Parameters!$B$4)^Parameters!B$65*F292+C292*Parameters!B$65-Parameters!$B$5*C292^2/F292*Parameters!B$65,0.0001)</f>
        <v>0.14851939908740655</v>
      </c>
      <c r="G293" s="7">
        <f>MAX((1-Parameters!$B$4)^Parameters!B$65*G292+D292*Parameters!B$65-Parameters!$B$5*D292^2/G292*Parameters!B$65,0.0001)</f>
        <v>4.3878779322590287</v>
      </c>
      <c r="I293" s="7">
        <f>I292*(1+Parameters!$B$51)^Parameters!B$65</f>
        <v>18.842807354129047</v>
      </c>
      <c r="J293" s="7">
        <f>J292*(1+Parameters!$B$53)^Parameters!B$65</f>
        <v>2759.4714802619724</v>
      </c>
      <c r="K293" s="7">
        <f>'6states'!$O$4</f>
        <v>0.98104277196026479</v>
      </c>
      <c r="L293" s="9">
        <f t="shared" si="109"/>
        <v>0.5</v>
      </c>
      <c r="N293" s="7">
        <f>(Parameters!$B$19*(E293+Parameters!$B$20)^L293+Parameters!$B$18*F293^L293)^(1/L293)</f>
        <v>0.5355637035961347</v>
      </c>
      <c r="O293" s="7">
        <f>(Parameters!$B$10*G293^Parameters!$B$9 + Parameters!$B$11*N293^Parameters!$B$9) ^ (Parameters!$B$7/Parameters!$B$9) * K293</f>
        <v>1.5070071233854228</v>
      </c>
      <c r="P293" s="7">
        <f t="shared" si="99"/>
        <v>1.1491121497702994</v>
      </c>
      <c r="Q293" s="7">
        <f>EXP(-Parameters!$B$55*A293)</f>
        <v>1.2728648991130187E-2</v>
      </c>
      <c r="R293" s="7">
        <f>IF(P293&gt;0,P293^(1-Parameters!$B$52)/(1-Parameters!$B$52)*Q293,-10+P293*1000)</f>
        <v>-3.4640760689079578E-2</v>
      </c>
      <c r="S293" s="7"/>
      <c r="T293" s="7"/>
      <c r="U293" s="7"/>
      <c r="V293" s="7"/>
    </row>
    <row r="294" spans="1:22" x14ac:dyDescent="0.25">
      <c r="A294">
        <f>A293+Parameters!$B$65</f>
        <v>290</v>
      </c>
      <c r="B294" s="9">
        <f t="shared" ref="B294:D294" si="134">B293</f>
        <v>5.191758263687303E-2</v>
      </c>
      <c r="C294" s="9">
        <f t="shared" si="134"/>
        <v>1.0017548050425843E-2</v>
      </c>
      <c r="D294" s="7">
        <f t="shared" si="134"/>
        <v>0.2959598429278244</v>
      </c>
      <c r="E294" s="7">
        <f>MAX((1-Parameters!$B$4)^Parameters!B$65*E293+B293*Parameters!B$65-Parameters!$B$5*B293^2/E293*Parameters!B$65,0.0001)</f>
        <v>0.76972609826510519</v>
      </c>
      <c r="F294" s="9">
        <f>MAX((1-Parameters!$B$4)^Parameters!B$65*F293+C293*Parameters!B$65-Parameters!$B$5*C293^2/F293*Parameters!B$65,0.0001)</f>
        <v>0.14851939908062961</v>
      </c>
      <c r="G294" s="7">
        <f>MAX((1-Parameters!$B$4)^Parameters!B$65*G293+D293*Parameters!B$65-Parameters!$B$5*D293^2/G293*Parameters!B$65,0.0001)</f>
        <v>4.3878779320578518</v>
      </c>
      <c r="I294" s="7">
        <f>I293*(1+Parameters!$B$51)^Parameters!B$65</f>
        <v>18.897451495456018</v>
      </c>
      <c r="J294" s="7">
        <f>J293*(1+Parameters!$B$53)^Parameters!B$65</f>
        <v>2814.660909867212</v>
      </c>
      <c r="K294" s="7">
        <f>'6states'!$O$4</f>
        <v>0.98104277196026479</v>
      </c>
      <c r="L294" s="9">
        <f t="shared" si="109"/>
        <v>0.5</v>
      </c>
      <c r="N294" s="7">
        <f>(Parameters!$B$19*(E294+Parameters!$B$20)^L294+Parameters!$B$18*F294^L294)^(1/L294)</f>
        <v>0.53556370357163841</v>
      </c>
      <c r="O294" s="7">
        <f>(Parameters!$B$10*G294^Parameters!$B$9 + Parameters!$B$11*N294^Parameters!$B$9) ^ (Parameters!$B$7/Parameters!$B$9) * K294</f>
        <v>1.5070071233647031</v>
      </c>
      <c r="P294" s="7">
        <f t="shared" si="99"/>
        <v>1.14911214974958</v>
      </c>
      <c r="Q294" s="7">
        <f>EXP(-Parameters!$B$55*A294)</f>
        <v>1.2537890244462845E-2</v>
      </c>
      <c r="R294" s="7">
        <f>IF(P294&gt;0,P294^(1-Parameters!$B$52)/(1-Parameters!$B$52)*Q294,-10+P294*1000)</f>
        <v>-3.4121614619884333E-2</v>
      </c>
      <c r="S294" s="7"/>
      <c r="T294" s="7"/>
      <c r="U294" s="7"/>
      <c r="V294" s="7"/>
    </row>
    <row r="295" spans="1:22" x14ac:dyDescent="0.25">
      <c r="A295">
        <f>A294+Parameters!$B$65</f>
        <v>291</v>
      </c>
      <c r="B295" s="9">
        <f t="shared" ref="B295:D295" si="135">B294</f>
        <v>5.191758263687303E-2</v>
      </c>
      <c r="C295" s="9">
        <f t="shared" si="135"/>
        <v>1.0017548050425843E-2</v>
      </c>
      <c r="D295" s="7">
        <f t="shared" si="135"/>
        <v>0.2959598429278244</v>
      </c>
      <c r="E295" s="7">
        <f>MAX((1-Parameters!$B$4)^Parameters!B$65*E294+B294*Parameters!B$65-Parameters!$B$5*B294^2/E294*Parameters!B$65,0.0001)</f>
        <v>0.76972609823150673</v>
      </c>
      <c r="F295" s="9">
        <f>MAX((1-Parameters!$B$4)^Parameters!B$65*F294+C294*Parameters!B$65-Parameters!$B$5*C294^2/F294*Parameters!B$65,0.0001)</f>
        <v>0.14851939907424813</v>
      </c>
      <c r="G295" s="7">
        <f>MAX((1-Parameters!$B$4)^Parameters!B$65*G294+D294*Parameters!B$65-Parameters!$B$5*D294^2/G294*Parameters!B$65,0.0001)</f>
        <v>4.3878779318684149</v>
      </c>
      <c r="I295" s="7">
        <f>I294*(1+Parameters!$B$51)^Parameters!B$65</f>
        <v>18.952254104792839</v>
      </c>
      <c r="J295" s="7">
        <f>J294*(1+Parameters!$B$53)^Parameters!B$65</f>
        <v>2870.9541280645562</v>
      </c>
      <c r="K295" s="7">
        <f>'6states'!$O$4</f>
        <v>0.98104277196026479</v>
      </c>
      <c r="L295" s="9">
        <f t="shared" si="109"/>
        <v>0.5</v>
      </c>
      <c r="N295" s="7">
        <f>(Parameters!$B$19*(E295+Parameters!$B$20)^L295+Parameters!$B$18*F295^L295)^(1/L295)</f>
        <v>0.53556370354857152</v>
      </c>
      <c r="O295" s="7">
        <f>(Parameters!$B$10*G295^Parameters!$B$9 + Parameters!$B$11*N295^Parameters!$B$9) ^ (Parameters!$B$7/Parameters!$B$9) * K295</f>
        <v>1.5070071233451927</v>
      </c>
      <c r="P295" s="7">
        <f t="shared" si="99"/>
        <v>1.1491121497300694</v>
      </c>
      <c r="Q295" s="7">
        <f>EXP(-Parameters!$B$55*A295)</f>
        <v>1.234999031646945E-2</v>
      </c>
      <c r="R295" s="7">
        <f>IF(P295&gt;0,P295^(1-Parameters!$B$52)/(1-Parameters!$B$52)*Q295,-10+P295*1000)</f>
        <v>-3.3610248767848593E-2</v>
      </c>
      <c r="S295" s="7"/>
      <c r="T295" s="7"/>
      <c r="U295" s="7"/>
      <c r="V295" s="7"/>
    </row>
    <row r="296" spans="1:22" x14ac:dyDescent="0.25">
      <c r="A296">
        <f>A295+Parameters!$B$65</f>
        <v>292</v>
      </c>
      <c r="B296" s="9">
        <f t="shared" ref="B296:D296" si="136">B295</f>
        <v>5.191758263687303E-2</v>
      </c>
      <c r="C296" s="9">
        <f t="shared" si="136"/>
        <v>1.0017548050425843E-2</v>
      </c>
      <c r="D296" s="7">
        <f t="shared" si="136"/>
        <v>0.2959598429278244</v>
      </c>
      <c r="E296" s="7">
        <f>MAX((1-Parameters!$B$4)^Parameters!B$65*E295+B295*Parameters!B$65-Parameters!$B$5*B295^2/E295*Parameters!B$65,0.0001)</f>
        <v>0.7697260981998687</v>
      </c>
      <c r="F296" s="9">
        <f>MAX((1-Parameters!$B$4)^Parameters!B$65*F295+C295*Parameters!B$65-Parameters!$B$5*C295^2/F295*Parameters!B$65,0.0001)</f>
        <v>0.14851939906823899</v>
      </c>
      <c r="G296" s="7">
        <f>MAX((1-Parameters!$B$4)^Parameters!B$65*G295+D295*Parameters!B$65-Parameters!$B$5*D295^2/G295*Parameters!B$65,0.0001)</f>
        <v>4.3878779316900314</v>
      </c>
      <c r="I296" s="7">
        <f>I295*(1+Parameters!$B$51)^Parameters!B$65</f>
        <v>19.007215641696735</v>
      </c>
      <c r="J296" s="7">
        <f>J295*(1+Parameters!$B$53)^Parameters!B$65</f>
        <v>2928.3732106258476</v>
      </c>
      <c r="K296" s="7">
        <f>'6states'!$O$4</f>
        <v>0.98104277196026479</v>
      </c>
      <c r="L296" s="9">
        <f t="shared" si="109"/>
        <v>0.5</v>
      </c>
      <c r="N296" s="7">
        <f>(Parameters!$B$19*(E296+Parameters!$B$20)^L296+Parameters!$B$18*F296^L296)^(1/L296)</f>
        <v>0.53556370352685034</v>
      </c>
      <c r="O296" s="7">
        <f>(Parameters!$B$10*G296^Parameters!$B$9 + Parameters!$B$11*N296^Parameters!$B$9) ^ (Parameters!$B$7/Parameters!$B$9) * K296</f>
        <v>1.5070071233268207</v>
      </c>
      <c r="P296" s="7">
        <f t="shared" si="99"/>
        <v>1.1491121497116974</v>
      </c>
      <c r="Q296" s="7">
        <f>EXP(-Parameters!$B$55*A296)</f>
        <v>1.2164906363273381E-2</v>
      </c>
      <c r="R296" s="7">
        <f>IF(P296&gt;0,P296^(1-Parameters!$B$52)/(1-Parameters!$B$52)*Q296,-10+P296*1000)</f>
        <v>-3.310654653423039E-2</v>
      </c>
      <c r="S296" s="7"/>
      <c r="T296" s="7"/>
      <c r="U296" s="7"/>
      <c r="V296" s="7"/>
    </row>
    <row r="297" spans="1:22" x14ac:dyDescent="0.25">
      <c r="A297">
        <f>A296+Parameters!$B$65</f>
        <v>293</v>
      </c>
      <c r="B297" s="9">
        <f t="shared" ref="B297:D297" si="137">B296</f>
        <v>5.191758263687303E-2</v>
      </c>
      <c r="C297" s="9">
        <f t="shared" si="137"/>
        <v>1.0017548050425843E-2</v>
      </c>
      <c r="D297" s="7">
        <f t="shared" si="137"/>
        <v>0.2959598429278244</v>
      </c>
      <c r="E297" s="7">
        <f>MAX((1-Parameters!$B$4)^Parameters!B$65*E296+B296*Parameters!B$65-Parameters!$B$5*B296^2/E296*Parameters!B$65,0.0001)</f>
        <v>0.76972609817007687</v>
      </c>
      <c r="F297" s="9">
        <f>MAX((1-Parameters!$B$4)^Parameters!B$65*F296+C296*Parameters!B$65-Parameters!$B$5*C296^2/F296*Parameters!B$65,0.0001)</f>
        <v>0.14851939906258049</v>
      </c>
      <c r="G297" s="7">
        <f>MAX((1-Parameters!$B$4)^Parameters!B$65*G296+D296*Parameters!B$65-Parameters!$B$5*D296^2/G296*Parameters!B$65,0.0001)</f>
        <v>4.3878779315220564</v>
      </c>
      <c r="I297" s="7">
        <f>I296*(1+Parameters!$B$51)^Parameters!B$65</f>
        <v>19.062336567057653</v>
      </c>
      <c r="J297" s="7">
        <f>J296*(1+Parameters!$B$53)^Parameters!B$65</f>
        <v>2986.9406748383644</v>
      </c>
      <c r="K297" s="7">
        <f>'6states'!$O$4</f>
        <v>0.98104277196026479</v>
      </c>
      <c r="L297" s="9">
        <f t="shared" si="109"/>
        <v>0.5</v>
      </c>
      <c r="N297" s="7">
        <f>(Parameters!$B$19*(E297+Parameters!$B$20)^L297+Parameters!$B$18*F297^L297)^(1/L297)</f>
        <v>0.53556370350639682</v>
      </c>
      <c r="O297" s="7">
        <f>(Parameters!$B$10*G297^Parameters!$B$9 + Parameters!$B$11*N297^Parameters!$B$9) ^ (Parameters!$B$7/Parameters!$B$9) * K297</f>
        <v>1.5070071233095208</v>
      </c>
      <c r="P297" s="7">
        <f t="shared" si="99"/>
        <v>1.1491121496943975</v>
      </c>
      <c r="Q297" s="7">
        <f>EXP(-Parameters!$B$55*A297)</f>
        <v>1.198259618308059E-2</v>
      </c>
      <c r="R297" s="7">
        <f>IF(P297&gt;0,P297^(1-Parameters!$B$52)/(1-Parameters!$B$52)*Q297,-10+P297*1000)</f>
        <v>-3.2610393067702421E-2</v>
      </c>
      <c r="S297" s="7"/>
      <c r="T297" s="7"/>
      <c r="U297" s="7"/>
      <c r="V297" s="7"/>
    </row>
    <row r="298" spans="1:22" x14ac:dyDescent="0.25">
      <c r="A298">
        <f>A297+Parameters!$B$65</f>
        <v>294</v>
      </c>
      <c r="B298" s="9">
        <f t="shared" ref="B298:D298" si="138">B297</f>
        <v>5.191758263687303E-2</v>
      </c>
      <c r="C298" s="9">
        <f t="shared" si="138"/>
        <v>1.0017548050425843E-2</v>
      </c>
      <c r="D298" s="7">
        <f t="shared" si="138"/>
        <v>0.2959598429278244</v>
      </c>
      <c r="E298" s="7">
        <f>MAX((1-Parameters!$B$4)^Parameters!B$65*E297+B297*Parameters!B$65-Parameters!$B$5*B297^2/E297*Parameters!B$65,0.0001)</f>
        <v>0.76972609814202331</v>
      </c>
      <c r="F298" s="9">
        <f>MAX((1-Parameters!$B$4)^Parameters!B$65*F297+C297*Parameters!B$65-Parameters!$B$5*C297^2/F297*Parameters!B$65,0.0001)</f>
        <v>0.14851939905725217</v>
      </c>
      <c r="G298" s="7">
        <f>MAX((1-Parameters!$B$4)^Parameters!B$65*G297+D297*Parameters!B$65-Parameters!$B$5*D297^2/G297*Parameters!B$65,0.0001)</f>
        <v>4.3878779313638834</v>
      </c>
      <c r="I298" s="7">
        <f>I297*(1+Parameters!$B$51)^Parameters!B$65</f>
        <v>19.117617343102118</v>
      </c>
      <c r="J298" s="7">
        <f>J297*(1+Parameters!$B$53)^Parameters!B$65</f>
        <v>3046.6794883351317</v>
      </c>
      <c r="K298" s="7">
        <f>'6states'!$O$4</f>
        <v>0.98104277196026479</v>
      </c>
      <c r="L298" s="9">
        <f t="shared" si="109"/>
        <v>0.5</v>
      </c>
      <c r="N298" s="7">
        <f>(Parameters!$B$19*(E298+Parameters!$B$20)^L298+Parameters!$B$18*F298^L298)^(1/L298)</f>
        <v>0.53556370348713667</v>
      </c>
      <c r="O298" s="7">
        <f>(Parameters!$B$10*G298^Parameters!$B$9 + Parameters!$B$11*N298^Parameters!$B$9) ^ (Parameters!$B$7/Parameters!$B$9) * K298</f>
        <v>1.5070071232932303</v>
      </c>
      <c r="P298" s="7">
        <f t="shared" si="99"/>
        <v>1.1491121496781069</v>
      </c>
      <c r="Q298" s="7">
        <f>EXP(-Parameters!$B$55*A298)</f>
        <v>1.1803018206557056E-2</v>
      </c>
      <c r="R298" s="7">
        <f>IF(P298&gt;0,P298^(1-Parameters!$B$52)/(1-Parameters!$B$52)*Q298,-10+P298*1000)</f>
        <v>-3.2121675238164442E-2</v>
      </c>
      <c r="S298" s="7"/>
      <c r="T298" s="7"/>
      <c r="U298" s="7"/>
      <c r="V298" s="7"/>
    </row>
    <row r="299" spans="1:22" x14ac:dyDescent="0.25">
      <c r="A299">
        <f>A298+Parameters!$B$65</f>
        <v>295</v>
      </c>
      <c r="B299" s="9">
        <f t="shared" ref="B299:D299" si="139">B298</f>
        <v>5.191758263687303E-2</v>
      </c>
      <c r="C299" s="9">
        <f t="shared" si="139"/>
        <v>1.0017548050425843E-2</v>
      </c>
      <c r="D299" s="7">
        <f t="shared" si="139"/>
        <v>0.2959598429278244</v>
      </c>
      <c r="E299" s="7">
        <f>MAX((1-Parameters!$B$4)^Parameters!B$65*E298+B298*Parameters!B$65-Parameters!$B$5*B298^2/E298*Parameters!B$65,0.0001)</f>
        <v>0.76972609811560677</v>
      </c>
      <c r="F299" s="9">
        <f>MAX((1-Parameters!$B$4)^Parameters!B$65*F298+C298*Parameters!B$65-Parameters!$B$5*C298^2/F298*Parameters!B$65,0.0001)</f>
        <v>0.14851939905223477</v>
      </c>
      <c r="G299" s="7">
        <f>MAX((1-Parameters!$B$4)^Parameters!B$65*G298+D298*Parameters!B$65-Parameters!$B$5*D298^2/G298*Parameters!B$65,0.0001)</f>
        <v>4.3878779312149394</v>
      </c>
      <c r="I299" s="7">
        <f>I298*(1+Parameters!$B$51)^Parameters!B$65</f>
        <v>19.173058433397113</v>
      </c>
      <c r="J299" s="7">
        <f>J298*(1+Parameters!$B$53)^Parameters!B$65</f>
        <v>3107.6130781018346</v>
      </c>
      <c r="K299" s="7">
        <f>'6states'!$O$4</f>
        <v>0.98104277196026479</v>
      </c>
      <c r="L299" s="9">
        <f t="shared" si="109"/>
        <v>0.5</v>
      </c>
      <c r="N299" s="7">
        <f>(Parameters!$B$19*(E299+Parameters!$B$20)^L299+Parameters!$B$18*F299^L299)^(1/L299)</f>
        <v>0.53556370346900051</v>
      </c>
      <c r="O299" s="7">
        <f>(Parameters!$B$10*G299^Parameters!$B$9 + Parameters!$B$11*N299^Parameters!$B$9) ^ (Parameters!$B$7/Parameters!$B$9) * K299</f>
        <v>1.5070071232778903</v>
      </c>
      <c r="P299" s="7">
        <f t="shared" si="99"/>
        <v>1.1491121496627672</v>
      </c>
      <c r="Q299" s="7">
        <f>EXP(-Parameters!$B$55*A299)</f>
        <v>1.1626131487350361E-2</v>
      </c>
      <c r="R299" s="7">
        <f>IF(P299&gt;0,P299^(1-Parameters!$B$52)/(1-Parameters!$B$52)*Q299,-10+P299*1000)</f>
        <v>-3.164028161094793E-2</v>
      </c>
      <c r="S299" s="7"/>
      <c r="T299" s="7"/>
      <c r="U299" s="7"/>
      <c r="V299" s="7"/>
    </row>
    <row r="300" spans="1:22" x14ac:dyDescent="0.25">
      <c r="A300">
        <f>A299+Parameters!$B$65</f>
        <v>296</v>
      </c>
      <c r="B300" s="9">
        <f t="shared" ref="B300:D300" si="140">B299</f>
        <v>5.191758263687303E-2</v>
      </c>
      <c r="C300" s="9">
        <f t="shared" si="140"/>
        <v>1.0017548050425843E-2</v>
      </c>
      <c r="D300" s="7">
        <f t="shared" si="140"/>
        <v>0.2959598429278244</v>
      </c>
      <c r="E300" s="7">
        <f>MAX((1-Parameters!$B$4)^Parameters!B$65*E299+B299*Parameters!B$65-Parameters!$B$5*B299^2/E299*Parameters!B$65,0.0001)</f>
        <v>0.76972609809073167</v>
      </c>
      <c r="F300" s="9">
        <f>MAX((1-Parameters!$B$4)^Parameters!B$65*F299+C299*Parameters!B$65-Parameters!$B$5*C299^2/F299*Parameters!B$65,0.0001)</f>
        <v>0.1485193990475101</v>
      </c>
      <c r="G300" s="7">
        <f>MAX((1-Parameters!$B$4)^Parameters!B$65*G299+D299*Parameters!B$65-Parameters!$B$5*D299^2/G299*Parameters!B$65,0.0001)</f>
        <v>4.3878779310746863</v>
      </c>
      <c r="I300" s="7">
        <f>I299*(1+Parameters!$B$51)^Parameters!B$65</f>
        <v>19.228660302853964</v>
      </c>
      <c r="J300" s="7">
        <f>J299*(1+Parameters!$B$53)^Parameters!B$65</f>
        <v>3169.7653396638711</v>
      </c>
      <c r="K300" s="7">
        <f>'6states'!$O$4</f>
        <v>0.98104277196026479</v>
      </c>
      <c r="L300" s="9">
        <f t="shared" si="109"/>
        <v>0.5</v>
      </c>
      <c r="N300" s="7">
        <f>(Parameters!$B$19*(E300+Parameters!$B$20)^L300+Parameters!$B$18*F300^L300)^(1/L300)</f>
        <v>0.53556370345192239</v>
      </c>
      <c r="O300" s="7">
        <f>(Parameters!$B$10*G300^Parameters!$B$9 + Parameters!$B$11*N300^Parameters!$B$9) ^ (Parameters!$B$7/Parameters!$B$9) * K300</f>
        <v>1.5070071232634452</v>
      </c>
      <c r="P300" s="7">
        <f t="shared" si="99"/>
        <v>1.1491121496483219</v>
      </c>
      <c r="Q300" s="7">
        <f>EXP(-Parameters!$B$55*A300)</f>
        <v>1.1451895692753287E-2</v>
      </c>
      <c r="R300" s="7">
        <f>IF(P300&gt;0,P300^(1-Parameters!$B$52)/(1-Parameters!$B$52)*Q300,-10+P300*1000)</f>
        <v>-3.1166102421407313E-2</v>
      </c>
      <c r="S300" s="7"/>
      <c r="T300" s="7"/>
      <c r="U300" s="7"/>
      <c r="V300" s="7"/>
    </row>
    <row r="301" spans="1:22" x14ac:dyDescent="0.25">
      <c r="A301">
        <f>A300+Parameters!$B$65</f>
        <v>297</v>
      </c>
      <c r="B301" s="9">
        <f t="shared" ref="B301:D301" si="141">B300</f>
        <v>5.191758263687303E-2</v>
      </c>
      <c r="C301" s="9">
        <f t="shared" si="141"/>
        <v>1.0017548050425843E-2</v>
      </c>
      <c r="D301" s="7">
        <f t="shared" si="141"/>
        <v>0.2959598429278244</v>
      </c>
      <c r="E301" s="7">
        <f>MAX((1-Parameters!$B$4)^Parameters!B$65*E300+B300*Parameters!B$65-Parameters!$B$5*B300^2/E300*Parameters!B$65,0.0001)</f>
        <v>0.76972609806730807</v>
      </c>
      <c r="F301" s="9">
        <f>MAX((1-Parameters!$B$4)^Parameters!B$65*F300+C300*Parameters!B$65-Parameters!$B$5*C300^2/F300*Parameters!B$65,0.0001)</f>
        <v>0.14851939904306113</v>
      </c>
      <c r="G301" s="7">
        <f>MAX((1-Parameters!$B$4)^Parameters!B$65*G300+D300*Parameters!B$65-Parameters!$B$5*D300^2/G300*Parameters!B$65,0.0001)</f>
        <v>4.3878779309426177</v>
      </c>
      <c r="I301" s="7">
        <f>I300*(1+Parameters!$B$51)^Parameters!B$65</f>
        <v>19.284423417732238</v>
      </c>
      <c r="J301" s="7">
        <f>J300*(1+Parameters!$B$53)^Parameters!B$65</f>
        <v>3233.1606464571487</v>
      </c>
      <c r="K301" s="7">
        <f>'6states'!$O$4</f>
        <v>0.98104277196026479</v>
      </c>
      <c r="L301" s="9">
        <f t="shared" si="109"/>
        <v>0.5</v>
      </c>
      <c r="N301" s="7">
        <f>(Parameters!$B$19*(E301+Parameters!$B$20)^L301+Parameters!$B$18*F301^L301)^(1/L301)</f>
        <v>0.53556370343584103</v>
      </c>
      <c r="O301" s="7">
        <f>(Parameters!$B$10*G301^Parameters!$B$9 + Parameters!$B$11*N301^Parameters!$B$9) ^ (Parameters!$B$7/Parameters!$B$9) * K301</f>
        <v>1.5070071232498434</v>
      </c>
      <c r="P301" s="7">
        <f t="shared" si="99"/>
        <v>1.1491121496347203</v>
      </c>
      <c r="Q301" s="7">
        <f>EXP(-Parameters!$B$55*A301)</f>
        <v>1.1280271094507461E-2</v>
      </c>
      <c r="R301" s="7">
        <f>IF(P301&gt;0,P301^(1-Parameters!$B$52)/(1-Parameters!$B$52)*Q301,-10+P301*1000)</f>
        <v>-3.0699029549892197E-2</v>
      </c>
      <c r="S301" s="7"/>
      <c r="T301" s="7"/>
      <c r="U301" s="7"/>
      <c r="V301" s="7"/>
    </row>
    <row r="302" spans="1:22" x14ac:dyDescent="0.25">
      <c r="A302">
        <f>A301+Parameters!$B$65</f>
        <v>298</v>
      </c>
      <c r="B302" s="9">
        <f t="shared" ref="B302:D302" si="142">B301</f>
        <v>5.191758263687303E-2</v>
      </c>
      <c r="C302" s="9">
        <f t="shared" si="142"/>
        <v>1.0017548050425843E-2</v>
      </c>
      <c r="D302" s="7">
        <f t="shared" si="142"/>
        <v>0.2959598429278244</v>
      </c>
      <c r="E302" s="7">
        <f>MAX((1-Parameters!$B$4)^Parameters!B$65*E301+B301*Parameters!B$65-Parameters!$B$5*B301^2/E301*Parameters!B$65,0.0001)</f>
        <v>0.76972609804525116</v>
      </c>
      <c r="F302" s="9">
        <f>MAX((1-Parameters!$B$4)^Parameters!B$65*F301+C301*Parameters!B$65-Parameters!$B$5*C301^2/F301*Parameters!B$65,0.0001)</f>
        <v>0.14851939903887179</v>
      </c>
      <c r="G302" s="7">
        <f>MAX((1-Parameters!$B$4)^Parameters!B$65*G301+D301*Parameters!B$65-Parameters!$B$5*D301^2/G301*Parameters!B$65,0.0001)</f>
        <v>4.3878779308182549</v>
      </c>
      <c r="I302" s="7">
        <f>I301*(1+Parameters!$B$51)^Parameters!B$65</f>
        <v>19.340348245643661</v>
      </c>
      <c r="J302" s="7">
        <f>J301*(1+Parameters!$B$53)^Parameters!B$65</f>
        <v>3297.8238593862916</v>
      </c>
      <c r="K302" s="7">
        <f>'6states'!$O$4</f>
        <v>0.98104277196026479</v>
      </c>
      <c r="L302" s="9">
        <f t="shared" si="109"/>
        <v>0.5</v>
      </c>
      <c r="N302" s="7">
        <f>(Parameters!$B$19*(E302+Parameters!$B$20)^L302+Parameters!$B$18*F302^L302)^(1/L302)</f>
        <v>0.53556370342069792</v>
      </c>
      <c r="O302" s="7">
        <f>(Parameters!$B$10*G302^Parameters!$B$9 + Parameters!$B$11*N302^Parameters!$B$9) ^ (Parameters!$B$7/Parameters!$B$9) * K302</f>
        <v>1.507007123237035</v>
      </c>
      <c r="P302" s="7">
        <f t="shared" si="99"/>
        <v>1.1491121496219119</v>
      </c>
      <c r="Q302" s="7">
        <f>EXP(-Parameters!$B$55*A302)</f>
        <v>1.1111218559744694E-2</v>
      </c>
      <c r="R302" s="7">
        <f>IF(P302&gt;0,P302^(1-Parameters!$B$52)/(1-Parameters!$B$52)*Q302,-10+P302*1000)</f>
        <v>-3.0238956497094502E-2</v>
      </c>
      <c r="S302" s="7"/>
      <c r="T302" s="7"/>
      <c r="U302" s="7"/>
      <c r="V302" s="7"/>
    </row>
    <row r="303" spans="1:22" x14ac:dyDescent="0.25">
      <c r="A303">
        <f>A302+Parameters!$B$65</f>
        <v>299</v>
      </c>
      <c r="B303" s="9">
        <f t="shared" ref="B303:D303" si="143">B302</f>
        <v>5.191758263687303E-2</v>
      </c>
      <c r="C303" s="9">
        <f t="shared" si="143"/>
        <v>1.0017548050425843E-2</v>
      </c>
      <c r="D303" s="7">
        <f t="shared" si="143"/>
        <v>0.2959598429278244</v>
      </c>
      <c r="E303" s="7">
        <f>MAX((1-Parameters!$B$4)^Parameters!B$65*E302+B302*Parameters!B$65-Parameters!$B$5*B302^2/E302*Parameters!B$65,0.0001)</f>
        <v>0.76972609802448133</v>
      </c>
      <c r="F303" s="9">
        <f>MAX((1-Parameters!$B$4)^Parameters!B$65*F302+C302*Parameters!B$65-Parameters!$B$5*C302^2/F302*Parameters!B$65,0.0001)</f>
        <v>0.14851939903492689</v>
      </c>
      <c r="G303" s="7">
        <f>MAX((1-Parameters!$B$4)^Parameters!B$65*G302+D302*Parameters!B$65-Parameters!$B$5*D302^2/G302*Parameters!B$65,0.0001)</f>
        <v>4.3878779307011495</v>
      </c>
      <c r="I303" s="7">
        <f>I302*(1+Parameters!$B$51)^Parameters!B$65</f>
        <v>19.396435255556025</v>
      </c>
      <c r="J303" s="7">
        <f>J302*(1+Parameters!$B$53)^Parameters!B$65</f>
        <v>3363.7803365740174</v>
      </c>
      <c r="K303" s="7">
        <f>'6states'!$O$4</f>
        <v>0.98104277196026479</v>
      </c>
      <c r="L303" s="9">
        <f t="shared" si="109"/>
        <v>0.5</v>
      </c>
      <c r="N303" s="7">
        <f>(Parameters!$B$19*(E303+Parameters!$B$20)^L303+Parameters!$B$18*F303^L303)^(1/L303)</f>
        <v>0.53556370340643844</v>
      </c>
      <c r="O303" s="7">
        <f>(Parameters!$B$10*G303^Parameters!$B$9 + Parameters!$B$11*N303^Parameters!$B$9) ^ (Parameters!$B$7/Parameters!$B$9) * K303</f>
        <v>1.5070071232249742</v>
      </c>
      <c r="P303" s="7">
        <f t="shared" si="99"/>
        <v>1.1491121496098509</v>
      </c>
      <c r="Q303" s="7">
        <f>EXP(-Parameters!$B$55*A303)</f>
        <v>1.0944699542064111E-2</v>
      </c>
      <c r="R303" s="7">
        <f>IF(P303&gt;0,P303^(1-Parameters!$B$52)/(1-Parameters!$B$52)*Q303,-10+P303*1000)</f>
        <v>-2.9785778359764981E-2</v>
      </c>
      <c r="S303" s="7"/>
      <c r="T303" s="7"/>
      <c r="U303" s="7"/>
      <c r="V303" s="7"/>
    </row>
    <row r="304" spans="1:22" x14ac:dyDescent="0.25">
      <c r="A304">
        <f>A303+Parameters!$B$65</f>
        <v>300</v>
      </c>
      <c r="B304" s="9">
        <f t="shared" ref="B304:D304" si="144">B303</f>
        <v>5.191758263687303E-2</v>
      </c>
      <c r="C304" s="9">
        <f t="shared" si="144"/>
        <v>1.0017548050425843E-2</v>
      </c>
      <c r="D304" s="7">
        <f t="shared" si="144"/>
        <v>0.2959598429278244</v>
      </c>
      <c r="E304" s="7">
        <f>MAX((1-Parameters!$B$4)^Parameters!B$65*E303+B303*Parameters!B$65-Parameters!$B$5*B303^2/E303*Parameters!B$65,0.0001)</f>
        <v>0.76972609800492342</v>
      </c>
      <c r="F304" s="9">
        <f>MAX((1-Parameters!$B$4)^Parameters!B$65*F303+C303*Parameters!B$65-Parameters!$B$5*C303^2/F303*Parameters!B$65,0.0001)</f>
        <v>0.14851939903121217</v>
      </c>
      <c r="G304" s="7">
        <f>MAX((1-Parameters!$B$4)^Parameters!B$65*G303+D303*Parameters!B$65-Parameters!$B$5*D303^2/G303*Parameters!B$65,0.0001)</f>
        <v>4.3878779305908768</v>
      </c>
      <c r="I304" s="7">
        <f>I303*(1+Parameters!$B$51)^Parameters!B$65</f>
        <v>19.452684917797136</v>
      </c>
      <c r="J304" s="7">
        <f>J303*(1+Parameters!$B$53)^Parameters!B$65</f>
        <v>3431.0559433054977</v>
      </c>
      <c r="K304" s="7">
        <f>'6states'!$O$4</f>
        <v>0.98104277196026479</v>
      </c>
      <c r="L304" s="9">
        <f t="shared" si="109"/>
        <v>0.5</v>
      </c>
      <c r="N304" s="7">
        <f>(Parameters!$B$19*(E304+Parameters!$B$20)^L304+Parameters!$B$18*F304^L304)^(1/L304)</f>
        <v>0.53556370339301096</v>
      </c>
      <c r="O304" s="7">
        <f>(Parameters!$B$10*G304^Parameters!$B$9 + Parameters!$B$11*N304^Parameters!$B$9) ^ (Parameters!$B$7/Parameters!$B$9) * K304</f>
        <v>1.5070071232136171</v>
      </c>
      <c r="P304" s="7">
        <f t="shared" si="99"/>
        <v>1.1491121495984937</v>
      </c>
      <c r="Q304" s="7">
        <f>EXP(-Parameters!$B$55*A304)</f>
        <v>1.0780676072743073E-2</v>
      </c>
      <c r="R304" s="7">
        <f>IF(P304&gt;0,P304^(1-Parameters!$B$52)/(1-Parameters!$B$52)*Q304/Parameters!$B$55,-10+P304*1000)</f>
        <v>-1.9430060799201305</v>
      </c>
      <c r="S304" s="7"/>
      <c r="T304" s="7"/>
      <c r="U304" s="7"/>
      <c r="V304" s="7"/>
    </row>
    <row r="305" spans="2:22" x14ac:dyDescent="0.2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  <c r="T305" s="7"/>
      <c r="U305" s="7"/>
      <c r="V305" s="7"/>
    </row>
    <row r="306" spans="2:22" x14ac:dyDescent="0.2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  <c r="T306" s="7"/>
      <c r="U306" s="7"/>
      <c r="V306" s="7"/>
    </row>
    <row r="307" spans="2:22" x14ac:dyDescent="0.2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  <c r="T307" s="7"/>
      <c r="U307" s="7"/>
      <c r="V307" s="7"/>
    </row>
    <row r="308" spans="2:22" x14ac:dyDescent="0.2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  <c r="T308" s="7"/>
      <c r="U308" s="7"/>
      <c r="V308" s="7"/>
    </row>
    <row r="309" spans="2:22" x14ac:dyDescent="0.2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  <c r="T309" s="7"/>
      <c r="U309" s="7"/>
      <c r="V309" s="7"/>
    </row>
    <row r="310" spans="2:22" x14ac:dyDescent="0.2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  <c r="T310" s="7"/>
      <c r="U310" s="7"/>
      <c r="V310" s="7"/>
    </row>
    <row r="311" spans="2:22" x14ac:dyDescent="0.2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  <c r="T311" s="7"/>
      <c r="U311" s="7"/>
      <c r="V311" s="7"/>
    </row>
    <row r="312" spans="2:22" x14ac:dyDescent="0.2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  <c r="T312" s="7"/>
      <c r="U312" s="7"/>
      <c r="V312" s="7"/>
    </row>
    <row r="313" spans="2:22" x14ac:dyDescent="0.2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  <c r="T313" s="7"/>
      <c r="U313" s="7"/>
      <c r="V313" s="7"/>
    </row>
    <row r="314" spans="2:22" x14ac:dyDescent="0.2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  <c r="T314" s="7"/>
      <c r="U314" s="7"/>
      <c r="V314" s="7"/>
    </row>
    <row r="315" spans="2:22" x14ac:dyDescent="0.2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  <c r="T315" s="7"/>
      <c r="U315" s="7"/>
      <c r="V315" s="7"/>
    </row>
    <row r="316" spans="2:22" x14ac:dyDescent="0.2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  <c r="T316" s="7"/>
      <c r="U316" s="7"/>
      <c r="V316" s="7"/>
    </row>
    <row r="317" spans="2:22" x14ac:dyDescent="0.2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  <c r="T317" s="7"/>
      <c r="U317" s="7"/>
      <c r="V317" s="7"/>
    </row>
    <row r="318" spans="2:22" x14ac:dyDescent="0.2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  <c r="T318" s="7"/>
      <c r="U318" s="7"/>
      <c r="V318" s="7"/>
    </row>
    <row r="319" spans="2:22" x14ac:dyDescent="0.2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  <c r="T319" s="7"/>
      <c r="U319" s="7"/>
      <c r="V319" s="7"/>
    </row>
    <row r="320" spans="2:22" x14ac:dyDescent="0.2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  <c r="T320" s="7"/>
      <c r="U320" s="7"/>
      <c r="V320" s="7"/>
    </row>
    <row r="321" spans="2:22" x14ac:dyDescent="0.2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  <c r="T321" s="7"/>
      <c r="U321" s="7"/>
      <c r="V321" s="7"/>
    </row>
    <row r="322" spans="2:22" x14ac:dyDescent="0.2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  <c r="T322" s="7"/>
      <c r="U322" s="7"/>
      <c r="V322" s="7"/>
    </row>
    <row r="323" spans="2:22" x14ac:dyDescent="0.2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  <c r="T323" s="7"/>
      <c r="U323" s="7"/>
      <c r="V323" s="7"/>
    </row>
    <row r="324" spans="2:22" x14ac:dyDescent="0.2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  <c r="T324" s="7"/>
      <c r="U324" s="7"/>
      <c r="V324" s="7"/>
    </row>
    <row r="325" spans="2:22" x14ac:dyDescent="0.2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  <c r="T325" s="7"/>
      <c r="U325" s="7"/>
      <c r="V325" s="7"/>
    </row>
    <row r="326" spans="2:22" x14ac:dyDescent="0.2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  <c r="T326" s="7"/>
      <c r="U326" s="7"/>
      <c r="V326" s="7"/>
    </row>
    <row r="327" spans="2:22" x14ac:dyDescent="0.2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  <c r="T327" s="7"/>
      <c r="U327" s="7"/>
      <c r="V327" s="7"/>
    </row>
    <row r="328" spans="2:22" x14ac:dyDescent="0.2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  <c r="T328" s="7"/>
      <c r="U328" s="7"/>
      <c r="V328" s="7"/>
    </row>
    <row r="329" spans="2:22" x14ac:dyDescent="0.2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  <c r="T329" s="7"/>
      <c r="U329" s="7"/>
      <c r="V329" s="7"/>
    </row>
    <row r="330" spans="2:22" x14ac:dyDescent="0.2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  <c r="T330" s="7"/>
      <c r="U330" s="7"/>
      <c r="V330" s="7"/>
    </row>
    <row r="331" spans="2:22" x14ac:dyDescent="0.2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  <c r="T331" s="7"/>
      <c r="U331" s="7"/>
      <c r="V331" s="7"/>
    </row>
    <row r="332" spans="2:22" x14ac:dyDescent="0.2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  <c r="T332" s="7"/>
      <c r="U332" s="7"/>
      <c r="V332" s="7"/>
    </row>
    <row r="333" spans="2:22" x14ac:dyDescent="0.2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  <c r="T333" s="7"/>
      <c r="U333" s="7"/>
      <c r="V333" s="7"/>
    </row>
    <row r="334" spans="2:22" x14ac:dyDescent="0.2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  <c r="T334" s="7"/>
      <c r="U334" s="7"/>
      <c r="V334" s="7"/>
    </row>
    <row r="335" spans="2:22" x14ac:dyDescent="0.2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  <c r="T335" s="7"/>
      <c r="U335" s="7"/>
      <c r="V335" s="7"/>
    </row>
    <row r="336" spans="2:22" x14ac:dyDescent="0.2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  <c r="T336" s="7"/>
      <c r="U336" s="7"/>
      <c r="V336" s="7"/>
    </row>
    <row r="337" spans="2:22" x14ac:dyDescent="0.2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  <c r="T337" s="7"/>
      <c r="U337" s="7"/>
      <c r="V337" s="7"/>
    </row>
    <row r="338" spans="2:22" x14ac:dyDescent="0.2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  <c r="T338" s="7"/>
      <c r="U338" s="7"/>
      <c r="V338" s="7"/>
    </row>
    <row r="339" spans="2:22" x14ac:dyDescent="0.2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  <c r="T339" s="7"/>
      <c r="U339" s="7"/>
      <c r="V339" s="7"/>
    </row>
    <row r="340" spans="2:22" x14ac:dyDescent="0.2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  <c r="T340" s="7"/>
      <c r="U340" s="7"/>
      <c r="V340" s="7"/>
    </row>
    <row r="341" spans="2:22" x14ac:dyDescent="0.2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  <c r="T341" s="7"/>
      <c r="U341" s="7"/>
      <c r="V341" s="7"/>
    </row>
    <row r="342" spans="2:22" x14ac:dyDescent="0.2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  <c r="T342" s="7"/>
      <c r="U342" s="7"/>
      <c r="V342" s="7"/>
    </row>
    <row r="343" spans="2:22" x14ac:dyDescent="0.2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  <c r="T343" s="7"/>
      <c r="U343" s="7"/>
      <c r="V343" s="7"/>
    </row>
    <row r="344" spans="2:22" x14ac:dyDescent="0.2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  <c r="T344" s="7"/>
      <c r="U344" s="7"/>
      <c r="V344" s="7"/>
    </row>
    <row r="345" spans="2:22" x14ac:dyDescent="0.2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  <c r="T345" s="7"/>
      <c r="U345" s="7"/>
      <c r="V345" s="7"/>
    </row>
    <row r="346" spans="2:22" x14ac:dyDescent="0.2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  <c r="T346" s="7"/>
      <c r="U346" s="7"/>
      <c r="V346" s="7"/>
    </row>
    <row r="347" spans="2:22" x14ac:dyDescent="0.2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  <c r="T347" s="7"/>
      <c r="U347" s="7"/>
      <c r="V347" s="7"/>
    </row>
    <row r="348" spans="2:22" x14ac:dyDescent="0.2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  <c r="T348" s="7"/>
      <c r="U348" s="7"/>
      <c r="V348" s="7"/>
    </row>
    <row r="349" spans="2:22" x14ac:dyDescent="0.2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  <c r="T349" s="7"/>
      <c r="U349" s="7"/>
      <c r="V349" s="7"/>
    </row>
    <row r="350" spans="2:22" x14ac:dyDescent="0.2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  <c r="T350" s="7"/>
      <c r="U350" s="7"/>
      <c r="V350" s="7"/>
    </row>
    <row r="351" spans="2:22" x14ac:dyDescent="0.2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  <c r="T351" s="7"/>
      <c r="U351" s="7"/>
      <c r="V351" s="7"/>
    </row>
    <row r="352" spans="2:22" x14ac:dyDescent="0.2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  <c r="T352" s="7"/>
      <c r="U352" s="7"/>
      <c r="V352" s="7"/>
    </row>
    <row r="353" spans="2:22" x14ac:dyDescent="0.2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  <c r="T353" s="7"/>
      <c r="U353" s="7"/>
      <c r="V35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7</vt:i4>
      </vt:variant>
    </vt:vector>
  </HeadingPairs>
  <TitlesOfParts>
    <vt:vector size="11" baseType="lpstr">
      <vt:lpstr>Parameters</vt:lpstr>
      <vt:lpstr>6states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Energy capital per AL</vt:lpstr>
      <vt:lpstr>Final energy</vt:lpstr>
      <vt:lpstr>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2026-01-15T12:38:43Z</dcterms:modified>
</cp:coreProperties>
</file>